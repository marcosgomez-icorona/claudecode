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Disponibilidad" sheetId="2" state="visible" r:id="rId4"/>
    <sheet name="Incidentes" sheetId="3" state="visible" r:id="rId5"/>
    <sheet name="Proyectos" sheetId="4" state="visible" r:id="rId6"/>
    <sheet name="Presupuesto" sheetId="5" state="visible" r:id="rId7"/>
    <sheet name="Seguridad" sheetId="6" state="visible" r:id="rId8"/>
    <sheet name="Licencias" sheetId="7" state="visible" r:id="rId9"/>
    <sheet name="Inventari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TI</author>
  </authors>
  <commentList>
    <comment ref="B4" authorId="0">
      <text>
        <r>
          <rPr>
            <sz val="10"/>
            <rFont val="Arial"/>
            <family val="2"/>
          </rPr>
          <t xml:space="preserve">Texto del mes (ej. Abril, Mayo)</t>
        </r>
      </text>
    </comment>
    <comment ref="B5" authorId="0">
      <text>
        <r>
          <rPr>
            <sz val="10"/>
            <rFont val="Arial"/>
            <family val="2"/>
          </rPr>
          <t xml:space="preserve">Año de cuatro dígitos</t>
        </r>
      </text>
    </comment>
    <comment ref="B6" authorId="0">
      <text>
        <r>
          <rPr>
            <sz val="10"/>
            <rFont val="Arial"/>
            <family val="2"/>
          </rPr>
          <t xml:space="preserve">Identificación del periodo de zafra</t>
        </r>
      </text>
    </comment>
    <comment ref="B7" authorId="0">
      <text>
        <r>
          <rPr>
            <sz val="10"/>
            <rFont val="Arial"/>
            <family val="2"/>
          </rPr>
          <t xml:space="preserve">Quien firma el reporte</t>
        </r>
      </text>
    </comment>
    <comment ref="B8" authorId="0">
      <text>
        <r>
          <rPr>
            <sz val="10"/>
            <rFont val="Arial"/>
            <family val="2"/>
          </rPr>
          <t xml:space="preserve">Fecha de cierre del reporte (YYYY-MM-DD)</t>
        </r>
      </text>
    </comment>
    <comment ref="B9" authorId="0">
      <text>
        <r>
          <rPr>
            <sz val="10"/>
            <rFont val="Arial"/>
            <family val="2"/>
          </rPr>
          <t xml:space="preserve">Una frase para Dirección</t>
        </r>
      </text>
    </comment>
  </commentList>
</comments>
</file>

<file path=xl/sharedStrings.xml><?xml version="1.0" encoding="utf-8"?>
<sst xmlns="http://schemas.openxmlformats.org/spreadsheetml/2006/main" count="231" uniqueCount="209">
  <si>
    <t xml:space="preserve">Reporte Ejecutivo Mensual de TI — Ingenio La Corona</t>
  </si>
  <si>
    <t xml:space="preserve">Plantilla de captura — celdas en azul son de entrada manual</t>
  </si>
  <si>
    <t xml:space="preserve">Mes</t>
  </si>
  <si>
    <t xml:space="preserve">Abril</t>
  </si>
  <si>
    <t xml:space="preserve">Año</t>
  </si>
  <si>
    <t xml:space="preserve">Periodo de zafra</t>
  </si>
  <si>
    <t xml:space="preserve">Zafra 2025-2026</t>
  </si>
  <si>
    <t xml:space="preserve">Responsable de TI</t>
  </si>
  <si>
    <t xml:space="preserve">[Nombre del Encargado de Sistemas]</t>
  </si>
  <si>
    <t xml:space="preserve">Fecha de elaboración</t>
  </si>
  <si>
    <t xml:space="preserve">2026-04-28</t>
  </si>
  <si>
    <t xml:space="preserve">Mensaje clave del mes</t>
  </si>
  <si>
    <t xml:space="preserve">Zafra opera con 99.6% de disponibilidad; sin incidentes mayores en sistemas de fábrica.</t>
  </si>
  <si>
    <t xml:space="preserve">Resumen ejecutivo (3 a 5 puntos clave)</t>
  </si>
  <si>
    <t xml:space="preserve">Punto 1</t>
  </si>
  <si>
    <t xml:space="preserve">Disponibilidad global de sistemas críticos en 99.6% durante el mes.</t>
  </si>
  <si>
    <t xml:space="preserve">Punto 2</t>
  </si>
  <si>
    <t xml:space="preserve">Avance de 3 proyectos estratégicos según plan; 1 en riesgo amarillo.</t>
  </si>
  <si>
    <t xml:space="preserve">Punto 3</t>
  </si>
  <si>
    <t xml:space="preserve">Ejecución presupuestal de TI al 92% sin desvíos materiales.</t>
  </si>
  <si>
    <t xml:space="preserve">Punto 4</t>
  </si>
  <si>
    <t xml:space="preserve">Cero incidentes mayores en SCADA/Báscula durante zafra.</t>
  </si>
  <si>
    <t xml:space="preserve">Punto 5</t>
  </si>
  <si>
    <t xml:space="preserve">Renovación de 4 licencias críticas asegurada para próximos 90 días.</t>
  </si>
  <si>
    <t xml:space="preserve">Disponibilidad de sistemas críticos</t>
  </si>
  <si>
    <t xml:space="preserve">Captura uptime real vs objetivo. La columna Estado se calcula automáticamente.</t>
  </si>
  <si>
    <t xml:space="preserve">Sistema</t>
  </si>
  <si>
    <t xml:space="preserve">Categoría</t>
  </si>
  <si>
    <t xml:space="preserve">Uptime objetivo (%)</t>
  </si>
  <si>
    <t xml:space="preserve">Uptime real (%)</t>
  </si>
  <si>
    <t xml:space="preserve">Horas fuera de servicio</t>
  </si>
  <si>
    <t xml:space="preserve">Estado</t>
  </si>
  <si>
    <t xml:space="preserve">Comentario</t>
  </si>
  <si>
    <t xml:space="preserve">ERP / Sistema central</t>
  </si>
  <si>
    <t xml:space="preserve">Negocio</t>
  </si>
  <si>
    <t xml:space="preserve">Sin novedad.</t>
  </si>
  <si>
    <t xml:space="preserve">Báscula camionera</t>
  </si>
  <si>
    <t xml:space="preserve">Operación</t>
  </si>
  <si>
    <t xml:space="preserve">Operación continua durante zafra.</t>
  </si>
  <si>
    <t xml:space="preserve">SCADA fábrica</t>
  </si>
  <si>
    <t xml:space="preserve">Industrial</t>
  </si>
  <si>
    <t xml:space="preserve">Sin paros por TI.</t>
  </si>
  <si>
    <t xml:space="preserve">Correo corporativo</t>
  </si>
  <si>
    <t xml:space="preserve">Colaboración</t>
  </si>
  <si>
    <t xml:space="preserve">Microcortes resueltos por proveedor.</t>
  </si>
  <si>
    <t xml:space="preserve">Enlace WAN principal</t>
  </si>
  <si>
    <t xml:space="preserve">Red</t>
  </si>
  <si>
    <t xml:space="preserve">Falla de fibra resuelta el día 12.</t>
  </si>
  <si>
    <t xml:space="preserve">Servidor de archivos</t>
  </si>
  <si>
    <t xml:space="preserve">Infraestructura</t>
  </si>
  <si>
    <t xml:space="preserve">OK.</t>
  </si>
  <si>
    <t xml:space="preserve">Sistema de nómina</t>
  </si>
  <si>
    <t xml:space="preserve">RH</t>
  </si>
  <si>
    <t xml:space="preserve">Backup central</t>
  </si>
  <si>
    <t xml:space="preserve">Continuidad</t>
  </si>
  <si>
    <t xml:space="preserve">1 ventana de mantenimiento programada.</t>
  </si>
  <si>
    <t xml:space="preserve">Incidentes mayores del mes</t>
  </si>
  <si>
    <t xml:space="preserve">Solo incidentes con impacto al negocio. Severidad: Crítica, Alta, Media.</t>
  </si>
  <si>
    <t xml:space="preserve">Fecha</t>
  </si>
  <si>
    <t xml:space="preserve">Severidad</t>
  </si>
  <si>
    <t xml:space="preserve">Descripción</t>
  </si>
  <si>
    <t xml:space="preserve">Causa raíz</t>
  </si>
  <si>
    <t xml:space="preserve">Resolución (h)</t>
  </si>
  <si>
    <t xml:space="preserve">Acción correctiva</t>
  </si>
  <si>
    <t xml:space="preserve">2026-04-12</t>
  </si>
  <si>
    <t xml:space="preserve">Alta</t>
  </si>
  <si>
    <t xml:space="preserve">Caída de fibra principal de 5h con failover a respaldo.</t>
  </si>
  <si>
    <t xml:space="preserve">Corte físico de fibra en tramo externo (proveedor).</t>
  </si>
  <si>
    <t xml:space="preserve">Activación de SLA con proveedor; programada redundancia adicional.</t>
  </si>
  <si>
    <t xml:space="preserve">2026-04-19</t>
  </si>
  <si>
    <t xml:space="preserve">Media</t>
  </si>
  <si>
    <t xml:space="preserve">Latencia de envío y rebotes intermitentes durante 2h.</t>
  </si>
  <si>
    <t xml:space="preserve">Saturación de cola en proveedor cloud.</t>
  </si>
  <si>
    <t xml:space="preserve">Ajuste de filtros antispam y monitoreo activo.</t>
  </si>
  <si>
    <t xml:space="preserve">2026-04-23</t>
  </si>
  <si>
    <t xml:space="preserve">Job de backup falló para servidor de archivos.</t>
  </si>
  <si>
    <t xml:space="preserve">Espacio insuficiente en repositorio.</t>
  </si>
  <si>
    <t xml:space="preserve">Limpieza de retención y ampliación de cuota.</t>
  </si>
  <si>
    <t xml:space="preserve">Avance de proyectos estratégicos de TI</t>
  </si>
  <si>
    <t xml:space="preserve">Estado: Verde (en plan), Amarillo (en riesgo), Rojo (atrasado), Completado.</t>
  </si>
  <si>
    <t xml:space="preserve">Proyecto</t>
  </si>
  <si>
    <t xml:space="preserve">Responsable</t>
  </si>
  <si>
    <t xml:space="preserve">% Avance</t>
  </si>
  <si>
    <t xml:space="preserve">Inicio</t>
  </si>
  <si>
    <t xml:space="preserve">Fin previsto</t>
  </si>
  <si>
    <t xml:space="preserve">Próximo hito</t>
  </si>
  <si>
    <t xml:space="preserve">Riesgo / observación</t>
  </si>
  <si>
    <t xml:space="preserve">Renovación de switches de fábrica</t>
  </si>
  <si>
    <t xml:space="preserve">Jefe de Redes</t>
  </si>
  <si>
    <t xml:space="preserve">Verde</t>
  </si>
  <si>
    <t xml:space="preserve">2026-02-01</t>
  </si>
  <si>
    <t xml:space="preserve">2026-06-30</t>
  </si>
  <si>
    <t xml:space="preserve">Migración del último anillo industrial.</t>
  </si>
  <si>
    <t xml:space="preserve">Ventana de migración acordada con producción.</t>
  </si>
  <si>
    <t xml:space="preserve">Nueva báscula camionera 2 (TI)</t>
  </si>
  <si>
    <t xml:space="preserve">Encargado Sistemas</t>
  </si>
  <si>
    <t xml:space="preserve">Amarillo</t>
  </si>
  <si>
    <t xml:space="preserve">2026-01-15</t>
  </si>
  <si>
    <t xml:space="preserve">2026-05-31</t>
  </si>
  <si>
    <t xml:space="preserve">Pruebas de integración con ERP.</t>
  </si>
  <si>
    <t xml:space="preserve">Atraso por entrega de equipos del proveedor.</t>
  </si>
  <si>
    <t xml:space="preserve">Implementación EDR en endpoints</t>
  </si>
  <si>
    <t xml:space="preserve">Especialista Seguridad</t>
  </si>
  <si>
    <t xml:space="preserve">2026-03-01</t>
  </si>
  <si>
    <t xml:space="preserve">2026-05-15</t>
  </si>
  <si>
    <t xml:space="preserve">Despliegue masa final en oficinas.</t>
  </si>
  <si>
    <t xml:space="preserve">Sin riesgos abiertos.</t>
  </si>
  <si>
    <t xml:space="preserve">Continuidad de negocio: DRP</t>
  </si>
  <si>
    <t xml:space="preserve">2026-02-15</t>
  </si>
  <si>
    <t xml:space="preserve">2026-08-31</t>
  </si>
  <si>
    <t xml:space="preserve">Pruebas de restauración en sitio alterno.</t>
  </si>
  <si>
    <t xml:space="preserve">Avance según plan.</t>
  </si>
  <si>
    <t xml:space="preserve">Tablero BI de zafra</t>
  </si>
  <si>
    <t xml:space="preserve">Analista BI</t>
  </si>
  <si>
    <t xml:space="preserve">2026-01-10</t>
  </si>
  <si>
    <t xml:space="preserve">2026-05-30</t>
  </si>
  <si>
    <t xml:space="preserve">Validación con jefes de fábrica y campo.</t>
  </si>
  <si>
    <t xml:space="preserve">Buena tracción del usuario.</t>
  </si>
  <si>
    <t xml:space="preserve">Presupuesto y ejecución de TI — del mes</t>
  </si>
  <si>
    <t xml:space="preserve">Captura presupuesto y ejecutado en moneda local. Totales y % se calculan solos.</t>
  </si>
  <si>
    <t xml:space="preserve">Presupuesto mensual</t>
  </si>
  <si>
    <t xml:space="preserve">Ejecutado</t>
  </si>
  <si>
    <t xml:space="preserve">Variación</t>
  </si>
  <si>
    <t xml:space="preserve">% Ejecución</t>
  </si>
  <si>
    <t xml:space="preserve">Hardware (servidores, equipos)</t>
  </si>
  <si>
    <t xml:space="preserve">Compra diferida de un servidor.</t>
  </si>
  <si>
    <t xml:space="preserve">Software y licencias</t>
  </si>
  <si>
    <t xml:space="preserve">Renovación anual de antivirus.</t>
  </si>
  <si>
    <t xml:space="preserve">Servicios cloud</t>
  </si>
  <si>
    <t xml:space="preserve">Sin desvío.</t>
  </si>
  <si>
    <t xml:space="preserve">Telecomunicaciones / enlaces</t>
  </si>
  <si>
    <t xml:space="preserve">Plan estable.</t>
  </si>
  <si>
    <t xml:space="preserve">Mantenimiento e infraestructura</t>
  </si>
  <si>
    <t xml:space="preserve">Servicios menores.</t>
  </si>
  <si>
    <t xml:space="preserve">Consultoría y servicios profesionales</t>
  </si>
  <si>
    <t xml:space="preserve">Pendiente factura del mes.</t>
  </si>
  <si>
    <t xml:space="preserve">Capacitación</t>
  </si>
  <si>
    <t xml:space="preserve">1 curso ejecutado.</t>
  </si>
  <si>
    <t xml:space="preserve">Otros / contingencia</t>
  </si>
  <si>
    <t xml:space="preserve">Disponible.</t>
  </si>
  <si>
    <t xml:space="preserve">TOTAL</t>
  </si>
  <si>
    <t xml:space="preserve">Seguridad e indicadores del mes</t>
  </si>
  <si>
    <t xml:space="preserve">Indicadores comparados con mes anterior. Valores en azul son de entrada manual.</t>
  </si>
  <si>
    <t xml:space="preserve">Indicador</t>
  </si>
  <si>
    <t xml:space="preserve">Valor mes actual</t>
  </si>
  <si>
    <t xml:space="preserve">Valor mes anterior</t>
  </si>
  <si>
    <t xml:space="preserve">Tendencia</t>
  </si>
  <si>
    <t xml:space="preserve">Intentos de phishing detectados</t>
  </si>
  <si>
    <t xml:space="preserve">Mayor volumen tras campañas de zafra.</t>
  </si>
  <si>
    <t xml:space="preserve">Clicks en phishing (usuarios)</t>
  </si>
  <si>
    <t xml:space="preserve">Reducción del 57% post capacitación.</t>
  </si>
  <si>
    <t xml:space="preserve">Equipos sin parche crítico</t>
  </si>
  <si>
    <t xml:space="preserve">Ventana de actualización aplicada.</t>
  </si>
  <si>
    <t xml:space="preserve">Cuentas privilegiadas revisadas</t>
  </si>
  <si>
    <t xml:space="preserve">Revisión trimestral.</t>
  </si>
  <si>
    <t xml:space="preserve">Backups verificados (de los críticos)</t>
  </si>
  <si>
    <t xml:space="preserve">100% verificados.</t>
  </si>
  <si>
    <t xml:space="preserve">Hallazgos de auditoría abiertos</t>
  </si>
  <si>
    <t xml:space="preserve">Cierre de 3 hallazgos.</t>
  </si>
  <si>
    <t xml:space="preserve">Capacitaciones de seguridad realizadas</t>
  </si>
  <si>
    <t xml:space="preserve">Foco en personal de zafra.</t>
  </si>
  <si>
    <t xml:space="preserve">Eventos críticos en EDR/SIEM</t>
  </si>
  <si>
    <t xml:space="preserve">Sin compromisos confirmados.</t>
  </si>
  <si>
    <t xml:space="preserve">Licencias y vencimientos próximos</t>
  </si>
  <si>
    <t xml:space="preserve">Solo licencias con vencimiento en próximos 12 meses.</t>
  </si>
  <si>
    <t xml:space="preserve">Producto</t>
  </si>
  <si>
    <t xml:space="preserve">Proveedor</t>
  </si>
  <si>
    <t xml:space="preserve">Cantidad</t>
  </si>
  <si>
    <t xml:space="preserve">Vence</t>
  </si>
  <si>
    <t xml:space="preserve">Días para vencer</t>
  </si>
  <si>
    <t xml:space="preserve">Costo renovación</t>
  </si>
  <si>
    <t xml:space="preserve">Antivirus EDR corporativo</t>
  </si>
  <si>
    <t xml:space="preserve">Vendor A</t>
  </si>
  <si>
    <t xml:space="preserve">Renovación en gestión</t>
  </si>
  <si>
    <t xml:space="preserve">Suite de oficina (correo + ofimática)</t>
  </si>
  <si>
    <t xml:space="preserve">Vendor B</t>
  </si>
  <si>
    <t xml:space="preserve">2026-09-15</t>
  </si>
  <si>
    <t xml:space="preserve">Vigente</t>
  </si>
  <si>
    <t xml:space="preserve">Sistema ERP (mantenimiento)</t>
  </si>
  <si>
    <t xml:space="preserve">Vendor C</t>
  </si>
  <si>
    <t xml:space="preserve">2026-12-01</t>
  </si>
  <si>
    <t xml:space="preserve">Backup empresarial</t>
  </si>
  <si>
    <t xml:space="preserve">Vendor D</t>
  </si>
  <si>
    <t xml:space="preserve">Cotizada renovación</t>
  </si>
  <si>
    <t xml:space="preserve">Firewall (soporte)</t>
  </si>
  <si>
    <t xml:space="preserve">Vendor E</t>
  </si>
  <si>
    <t xml:space="preserve">2026-08-20</t>
  </si>
  <si>
    <t xml:space="preserve">Plataforma BI</t>
  </si>
  <si>
    <t xml:space="preserve">Vendor F</t>
  </si>
  <si>
    <t xml:space="preserve">2026-11-10</t>
  </si>
  <si>
    <t xml:space="preserve">Total renovaciones próximas</t>
  </si>
  <si>
    <t xml:space="preserve">Inventario de equipos — visión general</t>
  </si>
  <si>
    <t xml:space="preserve">Resumen agregado por categoría para visibilidad ejecutiva.</t>
  </si>
  <si>
    <t xml:space="preserve">Cantidad total</t>
  </si>
  <si>
    <t xml:space="preserve">Edad promedio (años)</t>
  </si>
  <si>
    <t xml:space="preserve">A reemplazar &lt; 3 meses</t>
  </si>
  <si>
    <t xml:space="preserve">A reemplazar 3-12 meses</t>
  </si>
  <si>
    <t xml:space="preserve">Estaciones de trabajo (PC/laptop)</t>
  </si>
  <si>
    <t xml:space="preserve">Plan de renovación trianual en marcha.</t>
  </si>
  <si>
    <t xml:space="preserve">Servidores físicos</t>
  </si>
  <si>
    <t xml:space="preserve">Dos en evaluación de migración a HCI.</t>
  </si>
  <si>
    <t xml:space="preserve">Equipos de red (switches/AP)</t>
  </si>
  <si>
    <t xml:space="preserve">Proyecto de renovación en ejecución.</t>
  </si>
  <si>
    <t xml:space="preserve">Impresoras / multifuncionales</t>
  </si>
  <si>
    <t xml:space="preserve">Contratos por servicio.</t>
  </si>
  <si>
    <t xml:space="preserve">Equipos de planta (PLC, HMI TI)</t>
  </si>
  <si>
    <t xml:space="preserve">Coordinación con Mantenimiento.</t>
  </si>
  <si>
    <t xml:space="preserve">Dispositivos móviles corporativos</t>
  </si>
  <si>
    <t xml:space="preserve">Renovación gradual.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</si>
</sst>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"/>
    <numFmt numFmtId="167" formatCode="yyyy\-mm\-dd"/>
    <numFmt numFmtId="168" formatCode="0%"/>
    <numFmt numFmtId="169" formatCode="\$#,##0;[RED]&quot;($&quot;#,##0\);\-"/>
    <numFmt numFmtId="170" formatCode="0.0%"/>
    <numFmt numFmtId="171" formatCode="#,##0"/>
    <numFmt numFmtId="172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5A5A5A"/>
      <name val="Calibri"/>
      <family val="0"/>
      <charset val="1"/>
    </font>
    <font>
      <b val="true"/>
      <sz val="11"/>
      <color rgb="FF1A2E1A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b val="true"/>
      <sz val="12"/>
      <color rgb="FF1A2E1A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2C"/>
        <bgColor rgb="FF1A2E1A"/>
      </patternFill>
    </fill>
    <fill>
      <patternFill patternType="solid">
        <fgColor rgb="FFD9E8DA"/>
        <bgColor rgb="FFF8F4E9"/>
      </patternFill>
    </fill>
    <fill>
      <patternFill patternType="solid">
        <fgColor rgb="FFFFFFFF"/>
        <bgColor rgb="FFF8F4E9"/>
      </patternFill>
    </fill>
    <fill>
      <patternFill patternType="solid">
        <fgColor rgb="FFF8F4E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8F4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1F4E2C"/>
      <rgbColor rgb="FF993300"/>
      <rgbColor rgb="FF993366"/>
      <rgbColor rgb="FF333399"/>
      <rgbColor rgb="FF1A2E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4" min="3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n">
        <v>2026</v>
      </c>
    </row>
    <row r="6" customFormat="false" ht="21.75" hidden="false" customHeight="true" outlineLevel="0" collapsed="false">
      <c r="A6" s="3" t="s">
        <v>5</v>
      </c>
      <c r="B6" s="4" t="s">
        <v>6</v>
      </c>
    </row>
    <row r="7" customFormat="false" ht="21.75" hidden="false" customHeight="true" outlineLevel="0" collapsed="false">
      <c r="A7" s="3" t="s">
        <v>7</v>
      </c>
      <c r="B7" s="4" t="s">
        <v>8</v>
      </c>
    </row>
    <row r="8" customFormat="false" ht="21.75" hidden="false" customHeight="true" outlineLevel="0" collapsed="false">
      <c r="A8" s="3" t="s">
        <v>9</v>
      </c>
      <c r="B8" s="4" t="s">
        <v>10</v>
      </c>
    </row>
    <row r="9" customFormat="false" ht="21.75" hidden="false" customHeight="true" outlineLevel="0" collapsed="false">
      <c r="A9" s="3" t="s">
        <v>11</v>
      </c>
      <c r="B9" s="4" t="s">
        <v>12</v>
      </c>
    </row>
    <row r="11" customFormat="false" ht="21.75" hidden="false" customHeight="true" outlineLevel="0" collapsed="false">
      <c r="A11" s="5" t="s">
        <v>13</v>
      </c>
      <c r="B11" s="5"/>
      <c r="C11" s="5"/>
      <c r="D11" s="5"/>
    </row>
    <row r="12" customFormat="false" ht="27.75" hidden="false" customHeight="true" outlineLevel="0" collapsed="false">
      <c r="A12" s="3" t="s">
        <v>14</v>
      </c>
      <c r="B12" s="6" t="s">
        <v>15</v>
      </c>
      <c r="C12" s="6"/>
      <c r="D12" s="6"/>
    </row>
    <row r="13" customFormat="false" ht="27.75" hidden="false" customHeight="true" outlineLevel="0" collapsed="false">
      <c r="A13" s="3" t="s">
        <v>16</v>
      </c>
      <c r="B13" s="6" t="s">
        <v>17</v>
      </c>
      <c r="C13" s="6"/>
      <c r="D13" s="6"/>
    </row>
    <row r="14" customFormat="false" ht="27.75" hidden="false" customHeight="true" outlineLevel="0" collapsed="false">
      <c r="A14" s="3" t="s">
        <v>18</v>
      </c>
      <c r="B14" s="6" t="s">
        <v>19</v>
      </c>
      <c r="C14" s="6"/>
      <c r="D14" s="6"/>
    </row>
    <row r="15" customFormat="false" ht="27.75" hidden="false" customHeight="true" outlineLevel="0" collapsed="false">
      <c r="A15" s="3" t="s">
        <v>20</v>
      </c>
      <c r="B15" s="6" t="s">
        <v>21</v>
      </c>
      <c r="C15" s="6"/>
      <c r="D15" s="6"/>
    </row>
    <row r="16" customFormat="false" ht="27.75" hidden="false" customHeight="true" outlineLevel="0" collapsed="false">
      <c r="A16" s="3" t="s">
        <v>22</v>
      </c>
      <c r="B16" s="6" t="s">
        <v>23</v>
      </c>
      <c r="C16" s="6"/>
      <c r="D16" s="6"/>
    </row>
  </sheetData>
  <mergeCells count="8">
    <mergeCell ref="A1:D1"/>
    <mergeCell ref="A2:D2"/>
    <mergeCell ref="A11:D11"/>
    <mergeCell ref="B12:D12"/>
    <mergeCell ref="B13:D13"/>
    <mergeCell ref="B14:D14"/>
    <mergeCell ref="B15:D15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38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</row>
    <row r="5" customFormat="false" ht="21.75" hidden="false" customHeight="true" outlineLevel="0" collapsed="false">
      <c r="A5" s="4" t="s">
        <v>33</v>
      </c>
      <c r="B5" s="4" t="s">
        <v>34</v>
      </c>
      <c r="C5" s="8" t="n">
        <v>99.5</v>
      </c>
      <c r="D5" s="8" t="n">
        <v>99.8</v>
      </c>
      <c r="E5" s="9" t="n">
        <v>1.4</v>
      </c>
      <c r="F5" s="10" t="str">
        <f aca="false">IF(D5="","",IF(D5&gt;=C5,"Verde",IF(D5&gt;=C5-0.5,"Amarillo","Rojo")))</f>
        <v>Verde</v>
      </c>
      <c r="G5" s="4" t="s">
        <v>35</v>
      </c>
    </row>
    <row r="6" customFormat="false" ht="21.75" hidden="false" customHeight="true" outlineLevel="0" collapsed="false">
      <c r="A6" s="4" t="s">
        <v>36</v>
      </c>
      <c r="B6" s="4" t="s">
        <v>37</v>
      </c>
      <c r="C6" s="8" t="n">
        <v>99.9</v>
      </c>
      <c r="D6" s="8" t="n">
        <v>99.95</v>
      </c>
      <c r="E6" s="9" t="n">
        <v>0.4</v>
      </c>
      <c r="F6" s="10" t="str">
        <f aca="false">IF(D6="","",IF(D6&gt;=C6,"Verde",IF(D6&gt;=C6-0.5,"Amarillo","Rojo")))</f>
        <v>Verde</v>
      </c>
      <c r="G6" s="4" t="s">
        <v>38</v>
      </c>
    </row>
    <row r="7" customFormat="false" ht="21.75" hidden="false" customHeight="true" outlineLevel="0" collapsed="false">
      <c r="A7" s="4" t="s">
        <v>39</v>
      </c>
      <c r="B7" s="4" t="s">
        <v>40</v>
      </c>
      <c r="C7" s="8" t="n">
        <v>99.9</v>
      </c>
      <c r="D7" s="8" t="n">
        <v>100</v>
      </c>
      <c r="E7" s="9" t="n">
        <v>0</v>
      </c>
      <c r="F7" s="10" t="str">
        <f aca="false">IF(D7="","",IF(D7&gt;=C7,"Verde",IF(D7&gt;=C7-0.5,"Amarillo","Rojo")))</f>
        <v>Verde</v>
      </c>
      <c r="G7" s="4" t="s">
        <v>41</v>
      </c>
    </row>
    <row r="8" customFormat="false" ht="21.75" hidden="false" customHeight="true" outlineLevel="0" collapsed="false">
      <c r="A8" s="4" t="s">
        <v>42</v>
      </c>
      <c r="B8" s="4" t="s">
        <v>43</v>
      </c>
      <c r="C8" s="8" t="n">
        <v>99.5</v>
      </c>
      <c r="D8" s="8" t="n">
        <v>99.6</v>
      </c>
      <c r="E8" s="9" t="n">
        <v>2.9</v>
      </c>
      <c r="F8" s="10" t="str">
        <f aca="false">IF(D8="","",IF(D8&gt;=C8,"Verde",IF(D8&gt;=C8-0.5,"Amarillo","Rojo")))</f>
        <v>Verde</v>
      </c>
      <c r="G8" s="4" t="s">
        <v>44</v>
      </c>
    </row>
    <row r="9" customFormat="false" ht="21.75" hidden="false" customHeight="true" outlineLevel="0" collapsed="false">
      <c r="A9" s="4" t="s">
        <v>45</v>
      </c>
      <c r="B9" s="4" t="s">
        <v>46</v>
      </c>
      <c r="C9" s="8" t="n">
        <v>99.5</v>
      </c>
      <c r="D9" s="8" t="n">
        <v>99.2</v>
      </c>
      <c r="E9" s="9" t="n">
        <v>5.8</v>
      </c>
      <c r="F9" s="10" t="str">
        <f aca="false">IF(D9="","",IF(D9&gt;=C9,"Verde",IF(D9&gt;=C9-0.5,"Amarillo","Rojo")))</f>
        <v>Amarillo</v>
      </c>
      <c r="G9" s="4" t="s">
        <v>47</v>
      </c>
    </row>
    <row r="10" customFormat="false" ht="21.75" hidden="false" customHeight="true" outlineLevel="0" collapsed="false">
      <c r="A10" s="4" t="s">
        <v>48</v>
      </c>
      <c r="B10" s="4" t="s">
        <v>49</v>
      </c>
      <c r="C10" s="8" t="n">
        <v>99.5</v>
      </c>
      <c r="D10" s="8" t="n">
        <v>99.9</v>
      </c>
      <c r="E10" s="9" t="n">
        <v>0.7</v>
      </c>
      <c r="F10" s="10" t="str">
        <f aca="false">IF(D10="","",IF(D10&gt;=C10,"Verde",IF(D10&gt;=C10-0.5,"Amarillo","Rojo")))</f>
        <v>Verde</v>
      </c>
      <c r="G10" s="4" t="s">
        <v>50</v>
      </c>
    </row>
    <row r="11" customFormat="false" ht="21.75" hidden="false" customHeight="true" outlineLevel="0" collapsed="false">
      <c r="A11" s="4" t="s">
        <v>51</v>
      </c>
      <c r="B11" s="4" t="s">
        <v>52</v>
      </c>
      <c r="C11" s="8" t="n">
        <v>99</v>
      </c>
      <c r="D11" s="8" t="n">
        <v>100</v>
      </c>
      <c r="E11" s="9" t="n">
        <v>0</v>
      </c>
      <c r="F11" s="10" t="str">
        <f aca="false">IF(D11="","",IF(D11&gt;=C11,"Verde",IF(D11&gt;=C11-0.5,"Amarillo","Rojo")))</f>
        <v>Verde</v>
      </c>
      <c r="G11" s="4" t="s">
        <v>50</v>
      </c>
    </row>
    <row r="12" customFormat="false" ht="21.75" hidden="false" customHeight="true" outlineLevel="0" collapsed="false">
      <c r="A12" s="4" t="s">
        <v>53</v>
      </c>
      <c r="B12" s="4" t="s">
        <v>54</v>
      </c>
      <c r="C12" s="8" t="n">
        <v>99</v>
      </c>
      <c r="D12" s="8" t="n">
        <v>99.5</v>
      </c>
      <c r="E12" s="9" t="n">
        <v>3.6</v>
      </c>
      <c r="F12" s="10" t="str">
        <f aca="false">IF(D12="","",IF(D12&gt;=C12,"Verde",IF(D12&gt;=C12-0.5,"Amarillo","Rojo")))</f>
        <v>Verde</v>
      </c>
      <c r="G12" s="4" t="s">
        <v>55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56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7" t="s">
        <v>58</v>
      </c>
      <c r="B4" s="7" t="s">
        <v>26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</row>
    <row r="5" customFormat="false" ht="36" hidden="false" customHeight="true" outlineLevel="0" collapsed="false">
      <c r="A5" s="11" t="s">
        <v>64</v>
      </c>
      <c r="B5" s="4" t="s">
        <v>45</v>
      </c>
      <c r="C5" s="4" t="s">
        <v>65</v>
      </c>
      <c r="D5" s="4" t="s">
        <v>66</v>
      </c>
      <c r="E5" s="4" t="s">
        <v>67</v>
      </c>
      <c r="F5" s="9" t="n">
        <v>5</v>
      </c>
      <c r="G5" s="4" t="s">
        <v>68</v>
      </c>
    </row>
    <row r="6" customFormat="false" ht="36" hidden="false" customHeight="true" outlineLevel="0" collapsed="false">
      <c r="A6" s="11" t="s">
        <v>69</v>
      </c>
      <c r="B6" s="4" t="s">
        <v>42</v>
      </c>
      <c r="C6" s="4" t="s">
        <v>70</v>
      </c>
      <c r="D6" s="4" t="s">
        <v>71</v>
      </c>
      <c r="E6" s="4" t="s">
        <v>72</v>
      </c>
      <c r="F6" s="9" t="n">
        <v>2</v>
      </c>
      <c r="G6" s="4" t="s">
        <v>73</v>
      </c>
    </row>
    <row r="7" customFormat="false" ht="36" hidden="false" customHeight="true" outlineLevel="0" collapsed="false">
      <c r="A7" s="11" t="s">
        <v>74</v>
      </c>
      <c r="B7" s="4" t="s">
        <v>53</v>
      </c>
      <c r="C7" s="4" t="s">
        <v>70</v>
      </c>
      <c r="D7" s="4" t="s">
        <v>75</v>
      </c>
      <c r="E7" s="4" t="s">
        <v>76</v>
      </c>
      <c r="F7" s="9" t="n">
        <v>3.6</v>
      </c>
      <c r="G7" s="4" t="s">
        <v>77</v>
      </c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C5:C50" type="list">
      <formula1>"Crítica,Alta,Media,Baja"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32"/>
    <col collapsed="false" customWidth="true" hidden="false" outlineLevel="0" max="8" min="8" style="0" width="36"/>
  </cols>
  <sheetData>
    <row r="1" customFormat="false" ht="30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7" t="s">
        <v>80</v>
      </c>
      <c r="B4" s="7" t="s">
        <v>81</v>
      </c>
      <c r="C4" s="7" t="s">
        <v>31</v>
      </c>
      <c r="D4" s="7" t="s">
        <v>82</v>
      </c>
      <c r="E4" s="7" t="s">
        <v>83</v>
      </c>
      <c r="F4" s="7" t="s">
        <v>84</v>
      </c>
      <c r="G4" s="7" t="s">
        <v>85</v>
      </c>
      <c r="H4" s="7" t="s">
        <v>86</v>
      </c>
    </row>
    <row r="5" customFormat="false" ht="31.5" hidden="false" customHeight="true" outlineLevel="0" collapsed="false">
      <c r="A5" s="4" t="s">
        <v>87</v>
      </c>
      <c r="B5" s="4" t="s">
        <v>88</v>
      </c>
      <c r="C5" s="4" t="s">
        <v>89</v>
      </c>
      <c r="D5" s="12" t="n">
        <v>0.65</v>
      </c>
      <c r="E5" s="11" t="s">
        <v>90</v>
      </c>
      <c r="F5" s="11" t="s">
        <v>91</v>
      </c>
      <c r="G5" s="4" t="s">
        <v>92</v>
      </c>
      <c r="H5" s="4" t="s">
        <v>93</v>
      </c>
    </row>
    <row r="6" customFormat="false" ht="31.5" hidden="false" customHeight="true" outlineLevel="0" collapsed="false">
      <c r="A6" s="4" t="s">
        <v>94</v>
      </c>
      <c r="B6" s="4" t="s">
        <v>95</v>
      </c>
      <c r="C6" s="4" t="s">
        <v>96</v>
      </c>
      <c r="D6" s="12" t="n">
        <v>0.45</v>
      </c>
      <c r="E6" s="11" t="s">
        <v>97</v>
      </c>
      <c r="F6" s="11" t="s">
        <v>98</v>
      </c>
      <c r="G6" s="4" t="s">
        <v>99</v>
      </c>
      <c r="H6" s="4" t="s">
        <v>100</v>
      </c>
    </row>
    <row r="7" customFormat="false" ht="31.5" hidden="false" customHeight="true" outlineLevel="0" collapsed="false">
      <c r="A7" s="4" t="s">
        <v>101</v>
      </c>
      <c r="B7" s="4" t="s">
        <v>102</v>
      </c>
      <c r="C7" s="4" t="s">
        <v>89</v>
      </c>
      <c r="D7" s="12" t="n">
        <v>0.8</v>
      </c>
      <c r="E7" s="11" t="s">
        <v>103</v>
      </c>
      <c r="F7" s="11" t="s">
        <v>104</v>
      </c>
      <c r="G7" s="4" t="s">
        <v>105</v>
      </c>
      <c r="H7" s="4" t="s">
        <v>106</v>
      </c>
    </row>
    <row r="8" customFormat="false" ht="31.5" hidden="false" customHeight="true" outlineLevel="0" collapsed="false">
      <c r="A8" s="4" t="s">
        <v>107</v>
      </c>
      <c r="B8" s="4" t="s">
        <v>95</v>
      </c>
      <c r="C8" s="4" t="s">
        <v>89</v>
      </c>
      <c r="D8" s="12" t="n">
        <v>0.4</v>
      </c>
      <c r="E8" s="11" t="s">
        <v>108</v>
      </c>
      <c r="F8" s="11" t="s">
        <v>109</v>
      </c>
      <c r="G8" s="4" t="s">
        <v>110</v>
      </c>
      <c r="H8" s="4" t="s">
        <v>111</v>
      </c>
    </row>
    <row r="9" customFormat="false" ht="31.5" hidden="false" customHeight="true" outlineLevel="0" collapsed="false">
      <c r="A9" s="4" t="s">
        <v>112</v>
      </c>
      <c r="B9" s="4" t="s">
        <v>113</v>
      </c>
      <c r="C9" s="4" t="s">
        <v>89</v>
      </c>
      <c r="D9" s="12" t="n">
        <v>0.7</v>
      </c>
      <c r="E9" s="11" t="s">
        <v>114</v>
      </c>
      <c r="F9" s="11" t="s">
        <v>115</v>
      </c>
      <c r="G9" s="4" t="s">
        <v>116</v>
      </c>
      <c r="H9" s="4" t="s">
        <v>117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C5:C50" type="list">
      <formula1>"Verde,Amarillo,Rojo,Completado"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30" hidden="false" customHeight="true" outlineLevel="0" collapsed="false">
      <c r="A1" s="1" t="s">
        <v>118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119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7" t="s">
        <v>27</v>
      </c>
      <c r="B4" s="7" t="s">
        <v>120</v>
      </c>
      <c r="C4" s="7" t="s">
        <v>121</v>
      </c>
      <c r="D4" s="7" t="s">
        <v>122</v>
      </c>
      <c r="E4" s="7" t="s">
        <v>123</v>
      </c>
      <c r="F4" s="7" t="s">
        <v>32</v>
      </c>
    </row>
    <row r="5" customFormat="false" ht="21.75" hidden="false" customHeight="true" outlineLevel="0" collapsed="false">
      <c r="A5" s="4" t="s">
        <v>124</v>
      </c>
      <c r="B5" s="13" t="n">
        <v>120000</v>
      </c>
      <c r="C5" s="13" t="n">
        <v>95000</v>
      </c>
      <c r="D5" s="14" t="n">
        <f aca="false">B5-C5</f>
        <v>25000</v>
      </c>
      <c r="E5" s="15" t="n">
        <f aca="false">IF(B5=0,0,C5/B5)</f>
        <v>0.791666666666667</v>
      </c>
      <c r="F5" s="4" t="s">
        <v>125</v>
      </c>
    </row>
    <row r="6" customFormat="false" ht="21.75" hidden="false" customHeight="true" outlineLevel="0" collapsed="false">
      <c r="A6" s="4" t="s">
        <v>126</v>
      </c>
      <c r="B6" s="13" t="n">
        <v>85000</v>
      </c>
      <c r="C6" s="13" t="n">
        <v>88000</v>
      </c>
      <c r="D6" s="14" t="n">
        <f aca="false">B6-C6</f>
        <v>-3000</v>
      </c>
      <c r="E6" s="15" t="n">
        <f aca="false">IF(B6=0,0,C6/B6)</f>
        <v>1.03529411764706</v>
      </c>
      <c r="F6" s="4" t="s">
        <v>127</v>
      </c>
    </row>
    <row r="7" customFormat="false" ht="21.75" hidden="false" customHeight="true" outlineLevel="0" collapsed="false">
      <c r="A7" s="4" t="s">
        <v>128</v>
      </c>
      <c r="B7" s="13" t="n">
        <v>60000</v>
      </c>
      <c r="C7" s="13" t="n">
        <v>58000</v>
      </c>
      <c r="D7" s="14" t="n">
        <f aca="false">B7-C7</f>
        <v>2000</v>
      </c>
      <c r="E7" s="15" t="n">
        <f aca="false">IF(B7=0,0,C7/B7)</f>
        <v>0.966666666666667</v>
      </c>
      <c r="F7" s="4" t="s">
        <v>129</v>
      </c>
    </row>
    <row r="8" customFormat="false" ht="21.75" hidden="false" customHeight="true" outlineLevel="0" collapsed="false">
      <c r="A8" s="4" t="s">
        <v>130</v>
      </c>
      <c r="B8" s="13" t="n">
        <v>95000</v>
      </c>
      <c r="C8" s="13" t="n">
        <v>95000</v>
      </c>
      <c r="D8" s="14" t="n">
        <f aca="false">B8-C8</f>
        <v>0</v>
      </c>
      <c r="E8" s="15" t="n">
        <f aca="false">IF(B8=0,0,C8/B8)</f>
        <v>1</v>
      </c>
      <c r="F8" s="4" t="s">
        <v>131</v>
      </c>
    </row>
    <row r="9" customFormat="false" ht="21.75" hidden="false" customHeight="true" outlineLevel="0" collapsed="false">
      <c r="A9" s="4" t="s">
        <v>132</v>
      </c>
      <c r="B9" s="13" t="n">
        <v>45000</v>
      </c>
      <c r="C9" s="13" t="n">
        <v>40000</v>
      </c>
      <c r="D9" s="14" t="n">
        <f aca="false">B9-C9</f>
        <v>5000</v>
      </c>
      <c r="E9" s="15" t="n">
        <f aca="false">IF(B9=0,0,C9/B9)</f>
        <v>0.888888888888889</v>
      </c>
      <c r="F9" s="4" t="s">
        <v>133</v>
      </c>
    </row>
    <row r="10" customFormat="false" ht="21.75" hidden="false" customHeight="true" outlineLevel="0" collapsed="false">
      <c r="A10" s="4" t="s">
        <v>134</v>
      </c>
      <c r="B10" s="13" t="n">
        <v>30000</v>
      </c>
      <c r="C10" s="13" t="n">
        <v>22000</v>
      </c>
      <c r="D10" s="14" t="n">
        <f aca="false">B10-C10</f>
        <v>8000</v>
      </c>
      <c r="E10" s="15" t="n">
        <f aca="false">IF(B10=0,0,C10/B10)</f>
        <v>0.733333333333333</v>
      </c>
      <c r="F10" s="4" t="s">
        <v>135</v>
      </c>
    </row>
    <row r="11" customFormat="false" ht="21.75" hidden="false" customHeight="true" outlineLevel="0" collapsed="false">
      <c r="A11" s="4" t="s">
        <v>136</v>
      </c>
      <c r="B11" s="13" t="n">
        <v>15000</v>
      </c>
      <c r="C11" s="13" t="n">
        <v>12000</v>
      </c>
      <c r="D11" s="14" t="n">
        <f aca="false">B11-C11</f>
        <v>3000</v>
      </c>
      <c r="E11" s="15" t="n">
        <f aca="false">IF(B11=0,0,C11/B11)</f>
        <v>0.8</v>
      </c>
      <c r="F11" s="4" t="s">
        <v>137</v>
      </c>
    </row>
    <row r="12" customFormat="false" ht="21.75" hidden="false" customHeight="true" outlineLevel="0" collapsed="false">
      <c r="A12" s="4" t="s">
        <v>138</v>
      </c>
      <c r="B12" s="13" t="n">
        <v>20000</v>
      </c>
      <c r="C12" s="13" t="n">
        <v>5000</v>
      </c>
      <c r="D12" s="14" t="n">
        <f aca="false">B12-C12</f>
        <v>15000</v>
      </c>
      <c r="E12" s="15" t="n">
        <f aca="false">IF(B12=0,0,C12/B12)</f>
        <v>0.25</v>
      </c>
      <c r="F12" s="4" t="s">
        <v>139</v>
      </c>
    </row>
    <row r="13" customFormat="false" ht="15" hidden="false" customHeight="false" outlineLevel="0" collapsed="false">
      <c r="A13" s="16" t="s">
        <v>140</v>
      </c>
      <c r="B13" s="17" t="n">
        <f aca="false">SUM(B5:B12)</f>
        <v>470000</v>
      </c>
      <c r="C13" s="17" t="n">
        <f aca="false">SUM(C5:C12)</f>
        <v>415000</v>
      </c>
      <c r="D13" s="17" t="n">
        <f aca="false">SUM(D5:D12)</f>
        <v>55000</v>
      </c>
      <c r="E13" s="18" t="n">
        <f aca="false">IF(B13=0,0,C13/B13)</f>
        <v>0.882978723404255</v>
      </c>
      <c r="F13" s="1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141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142</v>
      </c>
      <c r="B2" s="2"/>
      <c r="C2" s="2"/>
      <c r="D2" s="2"/>
      <c r="E2" s="2"/>
    </row>
    <row r="4" customFormat="false" ht="31.5" hidden="false" customHeight="true" outlineLevel="0" collapsed="false">
      <c r="A4" s="7" t="s">
        <v>143</v>
      </c>
      <c r="B4" s="7" t="s">
        <v>144</v>
      </c>
      <c r="C4" s="7" t="s">
        <v>145</v>
      </c>
      <c r="D4" s="7" t="s">
        <v>146</v>
      </c>
      <c r="E4" s="7" t="s">
        <v>32</v>
      </c>
    </row>
    <row r="5" customFormat="false" ht="21.75" hidden="false" customHeight="true" outlineLevel="0" collapsed="false">
      <c r="A5" s="4" t="s">
        <v>147</v>
      </c>
      <c r="B5" s="20" t="n">
        <v>142</v>
      </c>
      <c r="C5" s="20" t="n">
        <v>128</v>
      </c>
      <c r="D5" s="21" t="str">
        <f aca="false">IF(B5=C5,"=",IF(B5&gt;C5,"▲","▼"))</f>
        <v>▲</v>
      </c>
      <c r="E5" s="4" t="s">
        <v>148</v>
      </c>
    </row>
    <row r="6" customFormat="false" ht="21.75" hidden="false" customHeight="true" outlineLevel="0" collapsed="false">
      <c r="A6" s="4" t="s">
        <v>149</v>
      </c>
      <c r="B6" s="20" t="n">
        <v>3</v>
      </c>
      <c r="C6" s="20" t="n">
        <v>7</v>
      </c>
      <c r="D6" s="21" t="str">
        <f aca="false">IF(B6=C6,"=",IF(B6&gt;C6,"▲","▼"))</f>
        <v>▼</v>
      </c>
      <c r="E6" s="4" t="s">
        <v>150</v>
      </c>
    </row>
    <row r="7" customFormat="false" ht="21.75" hidden="false" customHeight="true" outlineLevel="0" collapsed="false">
      <c r="A7" s="4" t="s">
        <v>151</v>
      </c>
      <c r="B7" s="20" t="n">
        <v>8</v>
      </c>
      <c r="C7" s="20" t="n">
        <v>14</v>
      </c>
      <c r="D7" s="21" t="str">
        <f aca="false">IF(B7=C7,"=",IF(B7&gt;C7,"▲","▼"))</f>
        <v>▼</v>
      </c>
      <c r="E7" s="4" t="s">
        <v>152</v>
      </c>
    </row>
    <row r="8" customFormat="false" ht="21.75" hidden="false" customHeight="true" outlineLevel="0" collapsed="false">
      <c r="A8" s="4" t="s">
        <v>153</v>
      </c>
      <c r="B8" s="20" t="n">
        <v>24</v>
      </c>
      <c r="C8" s="20" t="n">
        <v>20</v>
      </c>
      <c r="D8" s="21" t="str">
        <f aca="false">IF(B8=C8,"=",IF(B8&gt;C8,"▲","▼"))</f>
        <v>▲</v>
      </c>
      <c r="E8" s="4" t="s">
        <v>154</v>
      </c>
    </row>
    <row r="9" customFormat="false" ht="21.75" hidden="false" customHeight="true" outlineLevel="0" collapsed="false">
      <c r="A9" s="4" t="s">
        <v>155</v>
      </c>
      <c r="B9" s="20" t="n">
        <v>28</v>
      </c>
      <c r="C9" s="20" t="n">
        <v>28</v>
      </c>
      <c r="D9" s="21" t="str">
        <f aca="false">IF(B9=C9,"=",IF(B9&gt;C9,"▲","▼"))</f>
        <v>=</v>
      </c>
      <c r="E9" s="4" t="s">
        <v>156</v>
      </c>
    </row>
    <row r="10" customFormat="false" ht="21.75" hidden="false" customHeight="true" outlineLevel="0" collapsed="false">
      <c r="A10" s="4" t="s">
        <v>157</v>
      </c>
      <c r="B10" s="20" t="n">
        <v>6</v>
      </c>
      <c r="C10" s="20" t="n">
        <v>9</v>
      </c>
      <c r="D10" s="21" t="str">
        <f aca="false">IF(B10=C10,"=",IF(B10&gt;C10,"▲","▼"))</f>
        <v>▼</v>
      </c>
      <c r="E10" s="4" t="s">
        <v>158</v>
      </c>
    </row>
    <row r="11" customFormat="false" ht="21.75" hidden="false" customHeight="true" outlineLevel="0" collapsed="false">
      <c r="A11" s="4" t="s">
        <v>159</v>
      </c>
      <c r="B11" s="20" t="n">
        <v>4</v>
      </c>
      <c r="C11" s="20" t="n">
        <v>2</v>
      </c>
      <c r="D11" s="21" t="str">
        <f aca="false">IF(B11=C11,"=",IF(B11&gt;C11,"▲","▼"))</f>
        <v>▲</v>
      </c>
      <c r="E11" s="4" t="s">
        <v>160</v>
      </c>
    </row>
    <row r="12" customFormat="false" ht="21.75" hidden="false" customHeight="true" outlineLevel="0" collapsed="false">
      <c r="A12" s="4" t="s">
        <v>161</v>
      </c>
      <c r="B12" s="20" t="n">
        <v>12</v>
      </c>
      <c r="C12" s="20" t="n">
        <v>18</v>
      </c>
      <c r="D12" s="21" t="str">
        <f aca="false">IF(B12=C12,"=",IF(B12&gt;C12,"▲","▼"))</f>
        <v>▼</v>
      </c>
      <c r="E12" s="4" t="s">
        <v>162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164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7" t="s">
        <v>165</v>
      </c>
      <c r="B4" s="7" t="s">
        <v>166</v>
      </c>
      <c r="C4" s="7" t="s">
        <v>167</v>
      </c>
      <c r="D4" s="7" t="s">
        <v>168</v>
      </c>
      <c r="E4" s="7" t="s">
        <v>169</v>
      </c>
      <c r="F4" s="7" t="s">
        <v>31</v>
      </c>
      <c r="G4" s="7" t="s">
        <v>170</v>
      </c>
    </row>
    <row r="5" customFormat="false" ht="21.75" hidden="false" customHeight="true" outlineLevel="0" collapsed="false">
      <c r="A5" s="4" t="s">
        <v>171</v>
      </c>
      <c r="B5" s="4" t="s">
        <v>172</v>
      </c>
      <c r="C5" s="20" t="n">
        <v>180</v>
      </c>
      <c r="D5" s="11" t="s">
        <v>91</v>
      </c>
      <c r="E5" s="22" t="n">
        <f aca="true">IF(D5="","",D5-TODAY())</f>
        <v>63</v>
      </c>
      <c r="F5" s="4" t="s">
        <v>173</v>
      </c>
      <c r="G5" s="13" t="n">
        <v>18500</v>
      </c>
    </row>
    <row r="6" customFormat="false" ht="21.75" hidden="false" customHeight="true" outlineLevel="0" collapsed="false">
      <c r="A6" s="4" t="s">
        <v>174</v>
      </c>
      <c r="B6" s="4" t="s">
        <v>175</v>
      </c>
      <c r="C6" s="20" t="n">
        <v>120</v>
      </c>
      <c r="D6" s="11" t="s">
        <v>176</v>
      </c>
      <c r="E6" s="22" t="n">
        <f aca="true">IF(D6="","",D6-TODAY())</f>
        <v>140</v>
      </c>
      <c r="F6" s="4" t="s">
        <v>177</v>
      </c>
      <c r="G6" s="13" t="n">
        <v>42000</v>
      </c>
    </row>
    <row r="7" customFormat="false" ht="21.75" hidden="false" customHeight="true" outlineLevel="0" collapsed="false">
      <c r="A7" s="4" t="s">
        <v>178</v>
      </c>
      <c r="B7" s="4" t="s">
        <v>179</v>
      </c>
      <c r="C7" s="20" t="n">
        <v>1</v>
      </c>
      <c r="D7" s="11" t="s">
        <v>180</v>
      </c>
      <c r="E7" s="22" t="n">
        <f aca="true">IF(D7="","",D7-TODAY())</f>
        <v>217</v>
      </c>
      <c r="F7" s="4" t="s">
        <v>177</v>
      </c>
      <c r="G7" s="13" t="n">
        <v>65000</v>
      </c>
    </row>
    <row r="8" customFormat="false" ht="21.75" hidden="false" customHeight="true" outlineLevel="0" collapsed="false">
      <c r="A8" s="4" t="s">
        <v>181</v>
      </c>
      <c r="B8" s="4" t="s">
        <v>182</v>
      </c>
      <c r="C8" s="20" t="n">
        <v>1</v>
      </c>
      <c r="D8" s="11" t="s">
        <v>98</v>
      </c>
      <c r="E8" s="22" t="n">
        <f aca="true">IF(D8="","",D8-TODAY())</f>
        <v>33</v>
      </c>
      <c r="F8" s="4" t="s">
        <v>183</v>
      </c>
      <c r="G8" s="13" t="n">
        <v>15800</v>
      </c>
    </row>
    <row r="9" customFormat="false" ht="21.75" hidden="false" customHeight="true" outlineLevel="0" collapsed="false">
      <c r="A9" s="4" t="s">
        <v>184</v>
      </c>
      <c r="B9" s="4" t="s">
        <v>185</v>
      </c>
      <c r="C9" s="20" t="n">
        <v>2</v>
      </c>
      <c r="D9" s="11" t="s">
        <v>186</v>
      </c>
      <c r="E9" s="22" t="n">
        <f aca="true">IF(D9="","",D9-TODAY())</f>
        <v>114</v>
      </c>
      <c r="F9" s="4" t="s">
        <v>177</v>
      </c>
      <c r="G9" s="13" t="n">
        <v>12500</v>
      </c>
    </row>
    <row r="10" customFormat="false" ht="21.75" hidden="false" customHeight="true" outlineLevel="0" collapsed="false">
      <c r="A10" s="4" t="s">
        <v>187</v>
      </c>
      <c r="B10" s="4" t="s">
        <v>188</v>
      </c>
      <c r="C10" s="20" t="n">
        <v>25</v>
      </c>
      <c r="D10" s="11" t="s">
        <v>189</v>
      </c>
      <c r="E10" s="22" t="n">
        <f aca="true">IF(D10="","",D10-TODAY())</f>
        <v>196</v>
      </c>
      <c r="F10" s="4" t="s">
        <v>177</v>
      </c>
      <c r="G10" s="13" t="n">
        <v>22000</v>
      </c>
    </row>
    <row r="11" customFormat="false" ht="15" hidden="false" customHeight="false" outlineLevel="0" collapsed="false">
      <c r="F11" s="23" t="s">
        <v>190</v>
      </c>
      <c r="G11" s="17" t="n">
        <f aca="false">SUM(G5:G10)</f>
        <v>175800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24"/>
    <col collapsed="false" customWidth="true" hidden="false" outlineLevel="0" max="6" min="6" style="0" width="36"/>
  </cols>
  <sheetData>
    <row r="1" customFormat="false" ht="30" hidden="false" customHeight="true" outlineLevel="0" collapsed="false">
      <c r="A1" s="1" t="s">
        <v>191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192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7" t="s">
        <v>27</v>
      </c>
      <c r="B4" s="7" t="s">
        <v>193</v>
      </c>
      <c r="C4" s="7" t="s">
        <v>194</v>
      </c>
      <c r="D4" s="7" t="s">
        <v>195</v>
      </c>
      <c r="E4" s="7" t="s">
        <v>196</v>
      </c>
      <c r="F4" s="7" t="s">
        <v>32</v>
      </c>
    </row>
    <row r="5" customFormat="false" ht="21.75" hidden="false" customHeight="true" outlineLevel="0" collapsed="false">
      <c r="A5" s="4" t="s">
        <v>197</v>
      </c>
      <c r="B5" s="20" t="n">
        <v>142</v>
      </c>
      <c r="C5" s="9" t="n">
        <v>4.2</v>
      </c>
      <c r="D5" s="20" t="n">
        <v>6</v>
      </c>
      <c r="E5" s="20" t="n">
        <v>18</v>
      </c>
      <c r="F5" s="4" t="s">
        <v>198</v>
      </c>
    </row>
    <row r="6" customFormat="false" ht="21.75" hidden="false" customHeight="true" outlineLevel="0" collapsed="false">
      <c r="A6" s="4" t="s">
        <v>199</v>
      </c>
      <c r="B6" s="20" t="n">
        <v>12</v>
      </c>
      <c r="C6" s="9" t="n">
        <v>5.1</v>
      </c>
      <c r="D6" s="20" t="n">
        <v>1</v>
      </c>
      <c r="E6" s="20" t="n">
        <v>2</v>
      </c>
      <c r="F6" s="4" t="s">
        <v>200</v>
      </c>
    </row>
    <row r="7" customFormat="false" ht="21.75" hidden="false" customHeight="true" outlineLevel="0" collapsed="false">
      <c r="A7" s="4" t="s">
        <v>201</v>
      </c>
      <c r="B7" s="20" t="n">
        <v>86</v>
      </c>
      <c r="C7" s="9" t="n">
        <v>6.3</v>
      </c>
      <c r="D7" s="20" t="n">
        <v>4</v>
      </c>
      <c r="E7" s="20" t="n">
        <v>12</v>
      </c>
      <c r="F7" s="4" t="s">
        <v>202</v>
      </c>
    </row>
    <row r="8" customFormat="false" ht="21.75" hidden="false" customHeight="true" outlineLevel="0" collapsed="false">
      <c r="A8" s="4" t="s">
        <v>203</v>
      </c>
      <c r="B8" s="20" t="n">
        <v>28</v>
      </c>
      <c r="C8" s="9" t="n">
        <v>5.5</v>
      </c>
      <c r="D8" s="20" t="n">
        <v>2</v>
      </c>
      <c r="E8" s="20" t="n">
        <v>5</v>
      </c>
      <c r="F8" s="4" t="s">
        <v>204</v>
      </c>
    </row>
    <row r="9" customFormat="false" ht="21.75" hidden="false" customHeight="true" outlineLevel="0" collapsed="false">
      <c r="A9" s="4" t="s">
        <v>205</v>
      </c>
      <c r="B9" s="20" t="n">
        <v>34</v>
      </c>
      <c r="C9" s="9" t="n">
        <v>7.8</v>
      </c>
      <c r="D9" s="20" t="n">
        <v>0</v>
      </c>
      <c r="E9" s="20" t="n">
        <v>4</v>
      </c>
      <c r="F9" s="4" t="s">
        <v>206</v>
      </c>
    </row>
    <row r="10" customFormat="false" ht="21.75" hidden="false" customHeight="true" outlineLevel="0" collapsed="false">
      <c r="A10" s="4" t="s">
        <v>207</v>
      </c>
      <c r="B10" s="20" t="n">
        <v>48</v>
      </c>
      <c r="C10" s="9" t="n">
        <v>2.4</v>
      </c>
      <c r="D10" s="20" t="n">
        <v>0</v>
      </c>
      <c r="E10" s="20" t="n">
        <v>6</v>
      </c>
      <c r="F10" s="4" t="s">
        <v>208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2026-04-28T16:02:15Z</dcterms:created>
  <dc:creator>openpyxl</dc:creator>
  <dc:description/>
  <dc:language>en-US</dc:language>
  <cp:lastModifiedBy/>
  <dcterms:modified xsi:type="dcterms:W3CDTF">2026-04-28T16:02:15Z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