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dor\Documents\Ingenio La Corona\ZAFRA 2026\controles contabilidad\"/>
    </mc:Choice>
  </mc:AlternateContent>
  <xr:revisionPtr revIDLastSave="0" documentId="13_ncr:1_{2C4A2790-99AF-4B2F-82B5-9C029F959E9E}" xr6:coauthVersionLast="47" xr6:coauthVersionMax="47" xr10:uidLastSave="{00000000-0000-0000-0000-000000000000}"/>
  <bookViews>
    <workbookView xWindow="-120" yWindow="-120" windowWidth="20730" windowHeight="11160" activeTab="3" xr2:uid="{67784DF0-7D1F-4556-9169-27AA0B0DF94D}"/>
  </bookViews>
  <sheets>
    <sheet name="BLC" sheetId="1" r:id="rId1"/>
    <sheet name="SAS" sheetId="2" r:id="rId2"/>
    <sheet name="ING" sheetId="3" r:id="rId3"/>
    <sheet name="Resumen" sheetId="4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97" i="4" l="1"/>
  <c r="E497" i="4"/>
  <c r="C497" i="4"/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3" i="3"/>
  <c r="F3" i="4"/>
  <c r="F4" i="4"/>
</calcChain>
</file>

<file path=xl/sharedStrings.xml><?xml version="1.0" encoding="utf-8"?>
<sst xmlns="http://schemas.openxmlformats.org/spreadsheetml/2006/main" count="2738" uniqueCount="1009">
  <si>
    <t>Codigo</t>
  </si>
  <si>
    <t>Nombre de Cuenta</t>
  </si>
  <si>
    <t>Saldo Inicial</t>
  </si>
  <si>
    <t>Debe</t>
  </si>
  <si>
    <t>Haber</t>
  </si>
  <si>
    <t>Saldo</t>
  </si>
  <si>
    <t>01.01.01.01.01</t>
  </si>
  <si>
    <t>Caja Ingenio</t>
  </si>
  <si>
    <t>01.01.01.01.02</t>
  </si>
  <si>
    <t>Caja Chica</t>
  </si>
  <si>
    <t>01.01.01.01.03</t>
  </si>
  <si>
    <t>Caja Administracion</t>
  </si>
  <si>
    <t>01.01.01.02.01</t>
  </si>
  <si>
    <t>Banco Supervielle</t>
  </si>
  <si>
    <t>01.01.01.02.02</t>
  </si>
  <si>
    <t>Banco Macro</t>
  </si>
  <si>
    <t>01.01.01.02.03</t>
  </si>
  <si>
    <t>Banco Industrial</t>
  </si>
  <si>
    <t>01.01.01.02.04</t>
  </si>
  <si>
    <t>Banco Galicia</t>
  </si>
  <si>
    <t>01.01.01.02.05</t>
  </si>
  <si>
    <t>Banco Comafi</t>
  </si>
  <si>
    <t>01.01.01.02.10</t>
  </si>
  <si>
    <t>Banco Nación</t>
  </si>
  <si>
    <t>01.01.01.02.11</t>
  </si>
  <si>
    <t>Banco Santander Rio</t>
  </si>
  <si>
    <t>01.01.01.02.14</t>
  </si>
  <si>
    <t>Banco Nación Cuenta Especial Afip</t>
  </si>
  <si>
    <t>01.01.01.02.17</t>
  </si>
  <si>
    <t>Banco Itau</t>
  </si>
  <si>
    <t>01.01.01.02.18</t>
  </si>
  <si>
    <t>Banco de la Provincia de Buenos Aires</t>
  </si>
  <si>
    <t>01.01.01.02.19</t>
  </si>
  <si>
    <t>Banco Interfinanzas</t>
  </si>
  <si>
    <t>01.01.01.02.20</t>
  </si>
  <si>
    <t>Banco de la Ciudad de Buenos Aires</t>
  </si>
  <si>
    <t>01.01.01.02.21</t>
  </si>
  <si>
    <t>Banco Hipotecario 307600001182744</t>
  </si>
  <si>
    <t>01.01.01.02.22</t>
  </si>
  <si>
    <t>Banco Galicia CC 1072-8 764-8</t>
  </si>
  <si>
    <t>01.01.01.02.24</t>
  </si>
  <si>
    <t>Banco Hipotecario 407600040259690</t>
  </si>
  <si>
    <t>01.01.01.02.28</t>
  </si>
  <si>
    <t>Banco Galicia CC Especial U$S 0750036-1 764-1</t>
  </si>
  <si>
    <t>01.01.01.03.01</t>
  </si>
  <si>
    <t>Valores a depositar</t>
  </si>
  <si>
    <t>01.01.01.03.02</t>
  </si>
  <si>
    <t>Cheques rechazados</t>
  </si>
  <si>
    <t>01.01.01.03.03</t>
  </si>
  <si>
    <t>Valores depositados en tránsito</t>
  </si>
  <si>
    <t>01.01.02.01.02</t>
  </si>
  <si>
    <t>F.C..I. Galicia</t>
  </si>
  <si>
    <t>01.01.02.01.03</t>
  </si>
  <si>
    <t>Moneda Extranjera</t>
  </si>
  <si>
    <t>01.01.02.01.04</t>
  </si>
  <si>
    <t>F.C.I. Alycbur</t>
  </si>
  <si>
    <t>01.01.02.01.05</t>
  </si>
  <si>
    <t>F.C.I. Zofingen - Finvoi</t>
  </si>
  <si>
    <t>01.01.02.01.06</t>
  </si>
  <si>
    <t>F.C.I. Imsa ( Investment  Manager)</t>
  </si>
  <si>
    <t>01.01.02.02.01</t>
  </si>
  <si>
    <t>Títulos Públicos</t>
  </si>
  <si>
    <t>01.01.03.01.01</t>
  </si>
  <si>
    <t>Créditos por venta azúcares</t>
  </si>
  <si>
    <t>01.01.03.01.02</t>
  </si>
  <si>
    <t>Créditos por venta melaza-ajuste saldo final</t>
  </si>
  <si>
    <t>01.01.03.01.03</t>
  </si>
  <si>
    <t>Créditos por otras ventas</t>
  </si>
  <si>
    <t>01.01.03.01.04</t>
  </si>
  <si>
    <t>Créditos por Ventas de Alcohol</t>
  </si>
  <si>
    <t>01.01.04.01.01</t>
  </si>
  <si>
    <t>Iva crédito fiscal 21%</t>
  </si>
  <si>
    <t>01.01.04.01.02</t>
  </si>
  <si>
    <t>Iva crédito fiscal 10,50%</t>
  </si>
  <si>
    <t>01.01.04.01.03</t>
  </si>
  <si>
    <t>Iva crédito fiscal 27%</t>
  </si>
  <si>
    <t>01.01.04.01.04</t>
  </si>
  <si>
    <t>Iva saldo a favor libre disponibilidad</t>
  </si>
  <si>
    <t>01.01.04.01.05</t>
  </si>
  <si>
    <t>Iva saldo técnico a favor</t>
  </si>
  <si>
    <t>01.01.04.01.06</t>
  </si>
  <si>
    <t>Iva percepciones</t>
  </si>
  <si>
    <t>01.01.04.01.07</t>
  </si>
  <si>
    <t>Iva retenciones</t>
  </si>
  <si>
    <t>01.01.04.01.08</t>
  </si>
  <si>
    <t>Pago a cuenta IVA Contribuciones Patronales</t>
  </si>
  <si>
    <t>01.01.04.01.09</t>
  </si>
  <si>
    <t>Ganancias retenciones</t>
  </si>
  <si>
    <t>01.01.04.01.10</t>
  </si>
  <si>
    <t>Ganancias anticipos</t>
  </si>
  <si>
    <t>01.01.04.01.11</t>
  </si>
  <si>
    <t>Ganancias Saldo a Favor</t>
  </si>
  <si>
    <t>01.01.04.01.15</t>
  </si>
  <si>
    <t>SUSS retenciones</t>
  </si>
  <si>
    <t>01.01.04.01.16</t>
  </si>
  <si>
    <t>Otros Creditos Impositivos</t>
  </si>
  <si>
    <t>01.01.04.01.17</t>
  </si>
  <si>
    <t>Impuesto a los debitos y créditos bancarios computable</t>
  </si>
  <si>
    <t>01.01.04.01.19</t>
  </si>
  <si>
    <t>Iva pendiente de cómputo</t>
  </si>
  <si>
    <t>01.01.04.01.20</t>
  </si>
  <si>
    <t>Pago a Cuenta Contribuciones Patronales</t>
  </si>
  <si>
    <t>01.01.04.02.01</t>
  </si>
  <si>
    <t>Ingresos brutos retenciones capital federal</t>
  </si>
  <si>
    <t>01.01.04.02.02</t>
  </si>
  <si>
    <t>Ingresos brutos retenciones buenos aires</t>
  </si>
  <si>
    <t>01.01.04.02.04</t>
  </si>
  <si>
    <t>Ingresos brutos retenciones mendoza</t>
  </si>
  <si>
    <t>01.01.04.02.06</t>
  </si>
  <si>
    <t>Ingresos brutos retenciones santa fe</t>
  </si>
  <si>
    <t>01.01.04.02.07</t>
  </si>
  <si>
    <t>Ingresos brutos retenciones tucumán</t>
  </si>
  <si>
    <t>01.01.04.02.08</t>
  </si>
  <si>
    <t>Ingresos brutos percepciones capital federal</t>
  </si>
  <si>
    <t>01.01.04.02.09</t>
  </si>
  <si>
    <t>Ingresos brutos percepciones buenos aires</t>
  </si>
  <si>
    <t>01.01.04.02.13</t>
  </si>
  <si>
    <t>Ingresos brutos percepciones santa fe</t>
  </si>
  <si>
    <t>01.01.04.02.14</t>
  </si>
  <si>
    <t>Ingresos brutos percepciones tucumán</t>
  </si>
  <si>
    <t>01.01.04.02.49</t>
  </si>
  <si>
    <t>Ingresos Brutos- Reg Recaudacion Bancaria</t>
  </si>
  <si>
    <t>01.01.04.02.50</t>
  </si>
  <si>
    <t>Ingresos Brutos- Reg Recaudacion Bancaria-SIRCREB</t>
  </si>
  <si>
    <t>01.01.04.02.51</t>
  </si>
  <si>
    <t>Ingresos Brutos Saldo a Favor</t>
  </si>
  <si>
    <t>01.01.04.02.99</t>
  </si>
  <si>
    <t>Otros Creditos Impositivos Provinciales</t>
  </si>
  <si>
    <t>01.01.04.03.01</t>
  </si>
  <si>
    <t>Anticipos a Proveedores</t>
  </si>
  <si>
    <t>01.01.04.03.04</t>
  </si>
  <si>
    <t>Gastos a recuperar</t>
  </si>
  <si>
    <t>01.01.04.03.05</t>
  </si>
  <si>
    <t>Crédito por impuesto diferido</t>
  </si>
  <si>
    <t>01.01.04.03.06</t>
  </si>
  <si>
    <t>Anticipo a Proveedores BC</t>
  </si>
  <si>
    <t>01.01.04.04.01</t>
  </si>
  <si>
    <t>Anticipos al personal</t>
  </si>
  <si>
    <t>01.01.04.05.01</t>
  </si>
  <si>
    <t>Cuentas particulares Accionistas</t>
  </si>
  <si>
    <t>01.01.04.05.02</t>
  </si>
  <si>
    <t>Cuentas particulares Directores</t>
  </si>
  <si>
    <t>01.01.04.05.03</t>
  </si>
  <si>
    <t>Anticipos Honorarios Directores</t>
  </si>
  <si>
    <t>01.01.04.06.01</t>
  </si>
  <si>
    <t>Deudores varios</t>
  </si>
  <si>
    <t>01.01.04.06.02</t>
  </si>
  <si>
    <t>Créditos Diversos</t>
  </si>
  <si>
    <t>01.01.04.06.03</t>
  </si>
  <si>
    <t>Intereses a Devengar</t>
  </si>
  <si>
    <t>01.01.04.06.04</t>
  </si>
  <si>
    <t>Deposito en Garntía</t>
  </si>
  <si>
    <t>01.01.04.06.05</t>
  </si>
  <si>
    <t>Creditos sin aplicar</t>
  </si>
  <si>
    <t>01.01.04.06.06</t>
  </si>
  <si>
    <t>Interempresa SAS</t>
  </si>
  <si>
    <t>01.01.04.06.07</t>
  </si>
  <si>
    <t>Interempresa BLC</t>
  </si>
  <si>
    <t>01.01.04.06.08</t>
  </si>
  <si>
    <t>Interempresa AALC</t>
  </si>
  <si>
    <t>01.01.04.06.10</t>
  </si>
  <si>
    <t>Interempresa Fincas Viscaya y Bilbao S.A</t>
  </si>
  <si>
    <t>01.01.05.01.01</t>
  </si>
  <si>
    <t>Azúcar blanco en bolsas x 50 kgs</t>
  </si>
  <si>
    <t>01.01.05.01.05</t>
  </si>
  <si>
    <t>Azúcar Crudo</t>
  </si>
  <si>
    <t>01.01.05.02.01</t>
  </si>
  <si>
    <t>Melaza propia</t>
  </si>
  <si>
    <t>01.01.05.02.02</t>
  </si>
  <si>
    <t>Melaza Comprada</t>
  </si>
  <si>
    <t>01.01.05.02.03</t>
  </si>
  <si>
    <t>Alcohol Buen Gusto</t>
  </si>
  <si>
    <t>01.01.05.02.04</t>
  </si>
  <si>
    <t>Alcohol Mal Gusto</t>
  </si>
  <si>
    <t>01.01.05.02.06</t>
  </si>
  <si>
    <t>ALCOHOL ANHIDRO</t>
  </si>
  <si>
    <t>01.01.05.02.07</t>
  </si>
  <si>
    <t>ALCOHOL ETILICO</t>
  </si>
  <si>
    <t>01.01.05.03.02</t>
  </si>
  <si>
    <t>Cultivos en Desarrollo</t>
  </si>
  <si>
    <t>01.01.05.04.07</t>
  </si>
  <si>
    <t>Productos Químicos</t>
  </si>
  <si>
    <t>01.01.05.04.10</t>
  </si>
  <si>
    <t>Gas Oil</t>
  </si>
  <si>
    <t>01.01.05.04.15</t>
  </si>
  <si>
    <t>Ferretería</t>
  </si>
  <si>
    <t>01.01.05.04.16</t>
  </si>
  <si>
    <t>Rodamientos y Retenes</t>
  </si>
  <si>
    <t>01.01.05.04.17</t>
  </si>
  <si>
    <t>Materiales Eléctricos</t>
  </si>
  <si>
    <t>01.01.05.04.23</t>
  </si>
  <si>
    <t>Cadenas y Repuestos</t>
  </si>
  <si>
    <t>01.01.05.04.26</t>
  </si>
  <si>
    <t>Materiales Varios</t>
  </si>
  <si>
    <t>01.02.01.01.01</t>
  </si>
  <si>
    <t>Terrenos Y Mejoras sobre Inm de terceros</t>
  </si>
  <si>
    <t>01.02.01.02.01</t>
  </si>
  <si>
    <t>Maquinarias</t>
  </si>
  <si>
    <t>01.02.01.02.02</t>
  </si>
  <si>
    <t>Edificios e Instalaciones</t>
  </si>
  <si>
    <t>01.02.01.02.05</t>
  </si>
  <si>
    <t>Obras en Curso</t>
  </si>
  <si>
    <t>01.02.01.02.06</t>
  </si>
  <si>
    <t>Destileria</t>
  </si>
  <si>
    <t>01.02.01.02.09</t>
  </si>
  <si>
    <t>Maquinarias Agricolas - Cosechadoras</t>
  </si>
  <si>
    <t>01.02.01.02.10</t>
  </si>
  <si>
    <t>Maquinarias Agricolas - Varios</t>
  </si>
  <si>
    <t>01.02.01.03.02</t>
  </si>
  <si>
    <t>Hardware y Equipos de Computación</t>
  </si>
  <si>
    <t>01.02.01.04.01</t>
  </si>
  <si>
    <t>Rodados</t>
  </si>
  <si>
    <t>01.02.01.05.01</t>
  </si>
  <si>
    <t>AA Edificios e Instalaciones</t>
  </si>
  <si>
    <t>01.02.01.05.03</t>
  </si>
  <si>
    <t>AA Maquinarias</t>
  </si>
  <si>
    <t>01.02.01.05.06</t>
  </si>
  <si>
    <t>AA Hardware y Equipos de Computación</t>
  </si>
  <si>
    <t>01.02.01.05.08</t>
  </si>
  <si>
    <t>AA Rodados</t>
  </si>
  <si>
    <t>01.02.01.05.09</t>
  </si>
  <si>
    <t>AA Destileria</t>
  </si>
  <si>
    <t>01.02.01.05.10</t>
  </si>
  <si>
    <t>AA Maquinarias Agricolas</t>
  </si>
  <si>
    <t>01.02.02.01.02</t>
  </si>
  <si>
    <t>Investigación y Desarrollo</t>
  </si>
  <si>
    <t>01.02.02.02.02</t>
  </si>
  <si>
    <t>AA Investigación y Desarrollo</t>
  </si>
  <si>
    <t>01.02.03.01.01</t>
  </si>
  <si>
    <t>Participaciones en Sociedades</t>
  </si>
  <si>
    <t>01.02.03.01.02</t>
  </si>
  <si>
    <t>Otras Inversiones a Largo Plazo</t>
  </si>
  <si>
    <t>01.02.03.01.06</t>
  </si>
  <si>
    <t>Rodado - Maquinaria Leasing</t>
  </si>
  <si>
    <t>01.02.03.01.08</t>
  </si>
  <si>
    <t>AA Rodado Maquinaria - Leasing</t>
  </si>
  <si>
    <t>02.01.01.01.01</t>
  </si>
  <si>
    <t>Proveedores comerciales</t>
  </si>
  <si>
    <t>02.01.01.01.02</t>
  </si>
  <si>
    <t>Proveedores cañeros</t>
  </si>
  <si>
    <t>02.01.01.01.03</t>
  </si>
  <si>
    <t>Valores Pendientes de Débito</t>
  </si>
  <si>
    <t>02.01.01.01.05</t>
  </si>
  <si>
    <t>Valores Pendiente de Debito Banco Superville</t>
  </si>
  <si>
    <t>02.01.01.01.06</t>
  </si>
  <si>
    <t>Valores Pendiente de Debito Banco Macro</t>
  </si>
  <si>
    <t>02.01.01.01.10</t>
  </si>
  <si>
    <t>Valores Pendiente de Debito Banco Nación</t>
  </si>
  <si>
    <t>02.01.01.01.18</t>
  </si>
  <si>
    <t>Valores Pendiente de Debito Banco Galicia</t>
  </si>
  <si>
    <t>02.01.01.01.19</t>
  </si>
  <si>
    <t>Valores Pendiente de Debito Banco Prov Buenos Aires</t>
  </si>
  <si>
    <t>02.01.01.01.22</t>
  </si>
  <si>
    <t>Tarjeta Pyme Nacion</t>
  </si>
  <si>
    <t>02.01.01.01.23</t>
  </si>
  <si>
    <t>Tarjeta Agro Nacion</t>
  </si>
  <si>
    <t>02.01.01.01.24</t>
  </si>
  <si>
    <t>Anticipo de Clientes</t>
  </si>
  <si>
    <t>02.01.01.01.25</t>
  </si>
  <si>
    <t>Tarjeta BNA Corporativa</t>
  </si>
  <si>
    <t>02.01.01.01.28</t>
  </si>
  <si>
    <t>Tarjeta Banco Galicia</t>
  </si>
  <si>
    <t>02.01.01.01.32</t>
  </si>
  <si>
    <t>Tarjeta Visa Banco Provincia</t>
  </si>
  <si>
    <t>02.01.01.02.02</t>
  </si>
  <si>
    <t>Provisión de gastos a pagar</t>
  </si>
  <si>
    <t>02.01.02.01.01</t>
  </si>
  <si>
    <t>Sueldos a pagar Permanentes</t>
  </si>
  <si>
    <t>02.01.02.01.02</t>
  </si>
  <si>
    <t>Sueldos a Pagar Temporarios</t>
  </si>
  <si>
    <t>02.01.02.01.06</t>
  </si>
  <si>
    <t>Provisión SAC a Pagar</t>
  </si>
  <si>
    <t>02.01.02.01.07</t>
  </si>
  <si>
    <t>Provision de Vacaciones</t>
  </si>
  <si>
    <t>02.01.02.02.01</t>
  </si>
  <si>
    <t>R.N.S.S. aportes a pagar</t>
  </si>
  <si>
    <t>02.01.02.02.02</t>
  </si>
  <si>
    <t>R.N.S.S. contribuciones a pagar</t>
  </si>
  <si>
    <t>02.01.02.02.03</t>
  </si>
  <si>
    <t>LRT - ART  a pagar</t>
  </si>
  <si>
    <t>02.01.02.02.05</t>
  </si>
  <si>
    <t>Seguro de vida obligatorio a pagar</t>
  </si>
  <si>
    <t>02.01.02.02.06</t>
  </si>
  <si>
    <t>R.N.O.S. OSPAAT  a pagar</t>
  </si>
  <si>
    <t>02.01.02.02.07</t>
  </si>
  <si>
    <t>FEIA sindicato a pagar</t>
  </si>
  <si>
    <t>02.01.02.02.08</t>
  </si>
  <si>
    <t>FOTIA sindicato a pagar</t>
  </si>
  <si>
    <t>02.01.02.02.09</t>
  </si>
  <si>
    <t>Embargos al personal a pagar</t>
  </si>
  <si>
    <t>02.01.02.02.10</t>
  </si>
  <si>
    <t>Ayudas y contribuciones a pagar</t>
  </si>
  <si>
    <t>02.01.02.02.11</t>
  </si>
  <si>
    <t>FEIA - Material descartable a pagar</t>
  </si>
  <si>
    <t>02.01.02.02.12</t>
  </si>
  <si>
    <t>Club Azucarera Argentina  a pagar</t>
  </si>
  <si>
    <t>02.01.02.02.17</t>
  </si>
  <si>
    <t>Seguros de vida a  pagar</t>
  </si>
  <si>
    <t>02.01.02.02.22</t>
  </si>
  <si>
    <t>Soc. Social y Mutuo Concepción a pagar</t>
  </si>
  <si>
    <t>02.01.02.02.25</t>
  </si>
  <si>
    <t>R.N.O.S.-OSPRERA a pagar</t>
  </si>
  <si>
    <t>02.01.02.02.27</t>
  </si>
  <si>
    <t>R.N.O.S. OSDOP a pagar</t>
  </si>
  <si>
    <t>02.01.02.02.28</t>
  </si>
  <si>
    <t>R.N.O.S. OSEISR  a pagar</t>
  </si>
  <si>
    <t>02.01.02.02.29</t>
  </si>
  <si>
    <t>R.N.O.S. MITA  a pagar</t>
  </si>
  <si>
    <t>02.01.02.02.30</t>
  </si>
  <si>
    <t>R.N.O.S. Patrones de Cabotaje a pagar</t>
  </si>
  <si>
    <t>02.01.02.02.31</t>
  </si>
  <si>
    <t>R.N.O.S. Industria del Vidrio a pagar</t>
  </si>
  <si>
    <t>02.01.02.02.32</t>
  </si>
  <si>
    <t>R.N.O.S.  Personal Mosaista a pagar</t>
  </si>
  <si>
    <t>02.01.02.02.34</t>
  </si>
  <si>
    <t>R.N.O.S. ASE  a pagar</t>
  </si>
  <si>
    <t>02.01.02.02.35</t>
  </si>
  <si>
    <t>R.N.O.S. Superv. industria Metalmecanica  a pagar</t>
  </si>
  <si>
    <t>02.01.02.02.36</t>
  </si>
  <si>
    <t>R.N.O.S. OSECAC  a pagar</t>
  </si>
  <si>
    <t>02.01.02.02.37</t>
  </si>
  <si>
    <t>R.N.O.S. OSDE  a pagar</t>
  </si>
  <si>
    <t>02.01.02.02.38</t>
  </si>
  <si>
    <t>R.N.O.S. OSPIA  a pagar</t>
  </si>
  <si>
    <t>02.01.02.02.39</t>
  </si>
  <si>
    <t>02.01.02.02.40</t>
  </si>
  <si>
    <t>R.N.O.S. PERS. TURF a pagar</t>
  </si>
  <si>
    <t>02.01.02.02.41</t>
  </si>
  <si>
    <t>R.N.O.S. CAP. Y EST. PORT. A Pagar</t>
  </si>
  <si>
    <t>02.01.02.02.42</t>
  </si>
  <si>
    <t>R.N.O.S. Prensa de Tucumán  a pagar</t>
  </si>
  <si>
    <t>02.01.02.02.45</t>
  </si>
  <si>
    <t>Adicional FOTIA  a pagar</t>
  </si>
  <si>
    <t>02.01.02.02.48</t>
  </si>
  <si>
    <t>R.N.O.S. Serenos de Buque</t>
  </si>
  <si>
    <t>02.01.02.02.49</t>
  </si>
  <si>
    <t>R.N.O.S. Comisarios Navales a Pagar</t>
  </si>
  <si>
    <t>02.01.02.02.50</t>
  </si>
  <si>
    <t>RNOS U.O.M. de la Republica Argentina a Pagar</t>
  </si>
  <si>
    <t>02.01.02.02.51</t>
  </si>
  <si>
    <t>R.N.O.S. PERSONAL ASOCIADO A ASOC.MUTUAL SANCOR  a pagar</t>
  </si>
  <si>
    <t>02.01.03.01.01</t>
  </si>
  <si>
    <t>Iva débito fiscal 21%</t>
  </si>
  <si>
    <t>02.01.03.01.02</t>
  </si>
  <si>
    <t>Iva débito fiscal 10,50%</t>
  </si>
  <si>
    <t>02.01.03.01.03</t>
  </si>
  <si>
    <t>IVA saldo DD JJ a pagar</t>
  </si>
  <si>
    <t>02.01.03.01.05</t>
  </si>
  <si>
    <t>Ganancias retenciones a pagar</t>
  </si>
  <si>
    <t>02.01.03.01.06</t>
  </si>
  <si>
    <t>IVA retenciones a pagar</t>
  </si>
  <si>
    <t>02.01.03.01.10</t>
  </si>
  <si>
    <t>Impuesto a las ganancias a pagar</t>
  </si>
  <si>
    <t>02.01.03.01.11</t>
  </si>
  <si>
    <t>Pasivo por impuesto diferido</t>
  </si>
  <si>
    <t>02.01.03.01.12</t>
  </si>
  <si>
    <t>AFIP - PFP a Pagar</t>
  </si>
  <si>
    <t>02.01.03.02.01</t>
  </si>
  <si>
    <t>I.B. CM jurisdición capital federal a pagar</t>
  </si>
  <si>
    <t>02.01.03.02.02</t>
  </si>
  <si>
    <t>I.B. CM jurisdición buenos aires a pagar</t>
  </si>
  <si>
    <t>02.01.03.02.24</t>
  </si>
  <si>
    <t>I.B. CM jurisdición tucumán a pagar</t>
  </si>
  <si>
    <t>02.01.03.02.25</t>
  </si>
  <si>
    <t>Agente de retencion ingresos brutos a pagar</t>
  </si>
  <si>
    <t>02.01.03.02.26</t>
  </si>
  <si>
    <t>Agente de percepcion ingresos brutos a pagar</t>
  </si>
  <si>
    <t>02.01.03.02.27</t>
  </si>
  <si>
    <t>Impuesto a la salud publica a pagar</t>
  </si>
  <si>
    <t>02.01.03.02.28</t>
  </si>
  <si>
    <t>Estación Experimental O.Colombres a pagar</t>
  </si>
  <si>
    <t>02.01.03.02.30</t>
  </si>
  <si>
    <t>CIACIS - munic concepción a pagar</t>
  </si>
  <si>
    <t>02.01.03.02.31</t>
  </si>
  <si>
    <t>Plan de Facilidades de Pago Provinciales</t>
  </si>
  <si>
    <t>02.01.03.03.33</t>
  </si>
  <si>
    <t>Otros Planes</t>
  </si>
  <si>
    <t>02.01.04.01.01</t>
  </si>
  <si>
    <t>Warrants a pagar</t>
  </si>
  <si>
    <t>02.01.04.01.02</t>
  </si>
  <si>
    <t>Prestamos Bancarios a Pagar</t>
  </si>
  <si>
    <t>02.01.04.01.03</t>
  </si>
  <si>
    <t>BANCO COMAFI -Warrant</t>
  </si>
  <si>
    <t>02.01.04.01.04</t>
  </si>
  <si>
    <t>BANCO MACRO Warrants</t>
  </si>
  <si>
    <t>02.01.04.01.05</t>
  </si>
  <si>
    <t>SUPERVIELLE Warrants</t>
  </si>
  <si>
    <t>02.01.04.01.06</t>
  </si>
  <si>
    <t>T.I.S.A. - PRESTAMOS</t>
  </si>
  <si>
    <t>02.01.04.01.07</t>
  </si>
  <si>
    <t>BANCO INDUSTRIAL - Warrant</t>
  </si>
  <si>
    <t>02.01.04.01.08</t>
  </si>
  <si>
    <t>BANCO MACRO - FACTORING</t>
  </si>
  <si>
    <t>02.01.04.01.10</t>
  </si>
  <si>
    <t>SUPERVIELLE - FACTORING</t>
  </si>
  <si>
    <t>02.01.04.01.11</t>
  </si>
  <si>
    <t>Prestamos Bancarios - COMAFI a pagar</t>
  </si>
  <si>
    <t>02.01.04.01.12</t>
  </si>
  <si>
    <t>Banco Galicia  Warrants a Pagar</t>
  </si>
  <si>
    <t>02.01.04.01.14</t>
  </si>
  <si>
    <t>BICE FACTORING</t>
  </si>
  <si>
    <t>02.01.04.01.16</t>
  </si>
  <si>
    <t>Prestamos Banco Nacion</t>
  </si>
  <si>
    <t>02.01.04.01.17</t>
  </si>
  <si>
    <t>Banco Nacion Warrants</t>
  </si>
  <si>
    <t>02.01.04.01.18</t>
  </si>
  <si>
    <t>TREND CAPITAL WARRANTS</t>
  </si>
  <si>
    <t>02.01.04.01.19</t>
  </si>
  <si>
    <t>Banco Interfinanzas Warrants a Pagar</t>
  </si>
  <si>
    <t>02.01.04.01.20</t>
  </si>
  <si>
    <t>Prestamos Banco Industrial</t>
  </si>
  <si>
    <t>02.01.04.01.21</t>
  </si>
  <si>
    <t>Prestamos Banco Supervielle</t>
  </si>
  <si>
    <t>02.01.04.01.22</t>
  </si>
  <si>
    <t>Descuentos de Cheques de terceros</t>
  </si>
  <si>
    <t>02.01.04.01.23</t>
  </si>
  <si>
    <t>AR PARTNERS FACTORING</t>
  </si>
  <si>
    <t>02.01.04.01.24</t>
  </si>
  <si>
    <t>Prestamos Banco Galicia a Pagar</t>
  </si>
  <si>
    <t>02.01.04.01.25</t>
  </si>
  <si>
    <t>Préstamo Banco Nación - Crédito Prendario</t>
  </si>
  <si>
    <t>02.01.04.01.26</t>
  </si>
  <si>
    <t>Prestamo Tarjeta Galicia Rural</t>
  </si>
  <si>
    <t>02.01.04.01.27</t>
  </si>
  <si>
    <t>Prestamos Banco Provincia a pagar</t>
  </si>
  <si>
    <t>02.01.04.01.28</t>
  </si>
  <si>
    <t>Prestamos Banco Ciudad a pagar</t>
  </si>
  <si>
    <t>02.01.04.01.29</t>
  </si>
  <si>
    <t>Banco Santader Rio Warrants</t>
  </si>
  <si>
    <t>02.01.04.01.30</t>
  </si>
  <si>
    <t>Prestamos Banco Santander a Pagar</t>
  </si>
  <si>
    <t>02.01.04.01.31</t>
  </si>
  <si>
    <t>BENEDIT BURSATIL SA. - FACTORING</t>
  </si>
  <si>
    <t>02.01.04.01.32</t>
  </si>
  <si>
    <t>INVOITRADE SA.- FACTORING</t>
  </si>
  <si>
    <t>02.01.04.01.33</t>
  </si>
  <si>
    <t>ZOFINGEN - FACTORING</t>
  </si>
  <si>
    <t>02.01.04.01.34</t>
  </si>
  <si>
    <t>ALYCBUR - FACTORING</t>
  </si>
  <si>
    <t>02.01.04.02.03</t>
  </si>
  <si>
    <t>Prestamos Fontar a Pagar</t>
  </si>
  <si>
    <t>02.01.04.02.04</t>
  </si>
  <si>
    <t>Prestamos Fogar Sueldos a  Pagar</t>
  </si>
  <si>
    <t>02.01.04.02.05</t>
  </si>
  <si>
    <t>Prestamos Fondep a Pagar</t>
  </si>
  <si>
    <t>02.01.04.02.07</t>
  </si>
  <si>
    <t>Préstamo Banco Hipotecario</t>
  </si>
  <si>
    <t>02.01.04.02.08</t>
  </si>
  <si>
    <t>Warrant Banco Hipotecario</t>
  </si>
  <si>
    <t>02.01.04.02.10</t>
  </si>
  <si>
    <t>Préstamo Hipotecario Banco Galicia</t>
  </si>
  <si>
    <t>02.01.04.02.49</t>
  </si>
  <si>
    <t>R.N.O.S. - Aportes Comis.Navales</t>
  </si>
  <si>
    <t>02.01.04.02.50</t>
  </si>
  <si>
    <t>R.N.O.S. - Contribuciones Comis.Navales</t>
  </si>
  <si>
    <t>02.01.05.01.02</t>
  </si>
  <si>
    <t>Provision para gastos y servicios</t>
  </si>
  <si>
    <t>02.01.05.01.04</t>
  </si>
  <si>
    <t>Provision Materia Prima</t>
  </si>
  <si>
    <t>02.01.05.01.05</t>
  </si>
  <si>
    <t>Provisión Ganancias</t>
  </si>
  <si>
    <t>02.01.06.01.01</t>
  </si>
  <si>
    <t>Acreedores varios</t>
  </si>
  <si>
    <t>02.01.06.02.01</t>
  </si>
  <si>
    <t>Honorarios Directores a Pagar</t>
  </si>
  <si>
    <t>02.01.06.02.03</t>
  </si>
  <si>
    <t>Dividendos a Pagar</t>
  </si>
  <si>
    <t>02.01.06.02.04</t>
  </si>
  <si>
    <t>Anticipo venta inmueble</t>
  </si>
  <si>
    <t>02.01.06.02.05</t>
  </si>
  <si>
    <t>Provisión de facturas a recibir</t>
  </si>
  <si>
    <t>02.01.06.02.06</t>
  </si>
  <si>
    <t>Préstamos Banco Itau</t>
  </si>
  <si>
    <t>02.01.06.02.07</t>
  </si>
  <si>
    <t>Préstamos Banco Bice</t>
  </si>
  <si>
    <t>02.01.06.02.08</t>
  </si>
  <si>
    <t>Provisión para Juicios</t>
  </si>
  <si>
    <t>02.01.06.02.10</t>
  </si>
  <si>
    <t>Adelanto cuenta corriente</t>
  </si>
  <si>
    <t>03.01.01.01.01</t>
  </si>
  <si>
    <t>Capital Social</t>
  </si>
  <si>
    <t>03.01.01.01.02</t>
  </si>
  <si>
    <t>Prima de Emisión</t>
  </si>
  <si>
    <t>03.01.01.02.01</t>
  </si>
  <si>
    <t>Ajuste del capital</t>
  </si>
  <si>
    <t>03.01.02.01.01</t>
  </si>
  <si>
    <t>Reserva Legal</t>
  </si>
  <si>
    <t>03.01.02.01.03</t>
  </si>
  <si>
    <t>Reserva Facultativa</t>
  </si>
  <si>
    <t>03.02.01.01.01</t>
  </si>
  <si>
    <t>Resultados ejercicios anteriores</t>
  </si>
  <si>
    <t>03.02.01.02.01</t>
  </si>
  <si>
    <t>Resultado del ejercicio</t>
  </si>
  <si>
    <t>03.02.01.02.03</t>
  </si>
  <si>
    <t>Rdos. Dif. - Saldos Revaluos</t>
  </si>
  <si>
    <t>04.01.01.01.01</t>
  </si>
  <si>
    <t>Ventas de azucar</t>
  </si>
  <si>
    <t>04.01.01.01.02</t>
  </si>
  <si>
    <t>Ventas de azucar Exportación</t>
  </si>
  <si>
    <t>04.01.01.01.04</t>
  </si>
  <si>
    <t>Ventas Azucar Cons. Crudo</t>
  </si>
  <si>
    <t>04.01.01.02.01</t>
  </si>
  <si>
    <t>venta de melaza</t>
  </si>
  <si>
    <t>04.01.01.02.02</t>
  </si>
  <si>
    <t>Venta de bagazo</t>
  </si>
  <si>
    <t>04.01.01.02.03</t>
  </si>
  <si>
    <t>Ventas Alcohol Mercado Interno</t>
  </si>
  <si>
    <t>04.01.01.03.01</t>
  </si>
  <si>
    <t>Otras ventas</t>
  </si>
  <si>
    <t>04.01.01.04.01</t>
  </si>
  <si>
    <t>Venta de Servicios de Flete</t>
  </si>
  <si>
    <t>04.01.01.05.07</t>
  </si>
  <si>
    <t>Resultado por Venta de Bienes de Uso</t>
  </si>
  <si>
    <t>04.01.02.01.01</t>
  </si>
  <si>
    <t>Comisiones por Ventas</t>
  </si>
  <si>
    <t>04.01.02.01.02</t>
  </si>
  <si>
    <t>Ingresos por Alquileres</t>
  </si>
  <si>
    <t>04.01.02.01.03</t>
  </si>
  <si>
    <t>Recuperos de Gastos</t>
  </si>
  <si>
    <t>04.01.02.02.01</t>
  </si>
  <si>
    <t>Recupero Contrib. Patronales</t>
  </si>
  <si>
    <t>04.01.02.02.03</t>
  </si>
  <si>
    <t>Redondeos</t>
  </si>
  <si>
    <t>04.01.02.02.04</t>
  </si>
  <si>
    <t>Ingresos Varios</t>
  </si>
  <si>
    <t>04.01.02.02.05</t>
  </si>
  <si>
    <t>Ingresos por Servicios</t>
  </si>
  <si>
    <t>04.01.02.02.06</t>
  </si>
  <si>
    <t>Recupero de Intereses</t>
  </si>
  <si>
    <t>04.01.02.03.01</t>
  </si>
  <si>
    <t>Intereses ganados</t>
  </si>
  <si>
    <t>04.01.02.03.02</t>
  </si>
  <si>
    <t>Diferencia de Cambio Positiva</t>
  </si>
  <si>
    <t>04.02.01.01.02</t>
  </si>
  <si>
    <t>Venta de Materiales en desuso</t>
  </si>
  <si>
    <t>04.02.01.03.01</t>
  </si>
  <si>
    <t>RECPCAM (Ajuste Por Inflacion)</t>
  </si>
  <si>
    <t>04.02.01.03.03</t>
  </si>
  <si>
    <t>Intereses FCI</t>
  </si>
  <si>
    <t>05.01.01.01.01</t>
  </si>
  <si>
    <t>Costo Azúcar blanco en bolsas x 50 kgs Vendida</t>
  </si>
  <si>
    <t>05.01.01.02.03</t>
  </si>
  <si>
    <t>Costo Alcohol Anhidro Vendido</t>
  </si>
  <si>
    <t>05.01.01.02.04</t>
  </si>
  <si>
    <t>Costo Alcohol Etilico Vendido</t>
  </si>
  <si>
    <t>05.01.02.01.01</t>
  </si>
  <si>
    <t>Sueldos Permanentes</t>
  </si>
  <si>
    <t>05.01.02.01.02</t>
  </si>
  <si>
    <t>Sueldos Temporarios</t>
  </si>
  <si>
    <t>05.01.02.01.03</t>
  </si>
  <si>
    <t>Horas Extras Permanentes</t>
  </si>
  <si>
    <t>05.01.02.01.04</t>
  </si>
  <si>
    <t>Horas Extras Temporarios</t>
  </si>
  <si>
    <t>05.01.02.01.06</t>
  </si>
  <si>
    <t>Cargas Sociales</t>
  </si>
  <si>
    <t>05.01.02.01.07</t>
  </si>
  <si>
    <t>Indemnizaciones</t>
  </si>
  <si>
    <t>05.01.02.01.11</t>
  </si>
  <si>
    <t>Medicamentos</t>
  </si>
  <si>
    <t>05.01.02.01.12</t>
  </si>
  <si>
    <t>Otros Personal</t>
  </si>
  <si>
    <t>05.01.02.01.14</t>
  </si>
  <si>
    <t>Conceptos No Remunerativos</t>
  </si>
  <si>
    <t>05.01.02.01.15</t>
  </si>
  <si>
    <t>Sueldo Anual Complementario</t>
  </si>
  <si>
    <t>05.01.02.01.16</t>
  </si>
  <si>
    <t>Vacaciones Anuales</t>
  </si>
  <si>
    <t>05.01.02.02.01</t>
  </si>
  <si>
    <t>Chapas y Perfiles</t>
  </si>
  <si>
    <t>05.01.02.02.02</t>
  </si>
  <si>
    <t>Caños y Accesorios</t>
  </si>
  <si>
    <t>05.01.02.02.03</t>
  </si>
  <si>
    <t>Ferreteria</t>
  </si>
  <si>
    <t>05.01.02.02.04</t>
  </si>
  <si>
    <t>05.01.02.02.05</t>
  </si>
  <si>
    <t>Materiales Electricos</t>
  </si>
  <si>
    <t>05.01.02.02.06</t>
  </si>
  <si>
    <t>Electrodos y Accesorios</t>
  </si>
  <si>
    <t>05.01.02.02.07</t>
  </si>
  <si>
    <t>Gases y Accesorios</t>
  </si>
  <si>
    <t>05.01.02.02.08</t>
  </si>
  <si>
    <t>Valvulas y  Repuestos</t>
  </si>
  <si>
    <t>05.01.02.02.09</t>
  </si>
  <si>
    <t>Telas, Filtros y Centrifugas</t>
  </si>
  <si>
    <t>05.01.02.02.10</t>
  </si>
  <si>
    <t>Articulos de Goma</t>
  </si>
  <si>
    <t>05.01.02.02.11</t>
  </si>
  <si>
    <t>05.01.02.02.12</t>
  </si>
  <si>
    <t>Aceites y Grasas</t>
  </si>
  <si>
    <t>05.01.02.02.13</t>
  </si>
  <si>
    <t>Material Refractario</t>
  </si>
  <si>
    <t>05.01.02.02.14</t>
  </si>
  <si>
    <t>05.01.02.02.15</t>
  </si>
  <si>
    <t>Maquinas y Equipos</t>
  </si>
  <si>
    <t>05.01.02.02.16</t>
  </si>
  <si>
    <t>Bombas y Repuestos</t>
  </si>
  <si>
    <t>05.01.02.03.01</t>
  </si>
  <si>
    <t>Servicios - Fundición y Mecanizado</t>
  </si>
  <si>
    <t>05.01.02.03.02</t>
  </si>
  <si>
    <t>Servicios - Tornería y Mecanizado</t>
  </si>
  <si>
    <t>05.01.02.03.03</t>
  </si>
  <si>
    <t>Servicios - Metalúrgica</t>
  </si>
  <si>
    <t>05.01.02.03.04</t>
  </si>
  <si>
    <t>Servicios - Bobinado y Electricidad</t>
  </si>
  <si>
    <t>05.01.02.03.05</t>
  </si>
  <si>
    <t>Servicios - Servicios Generales</t>
  </si>
  <si>
    <t>05.01.02.03.06</t>
  </si>
  <si>
    <t>Servicio - Limpieza Hidrocinetica</t>
  </si>
  <si>
    <t>05.01.02.03.07</t>
  </si>
  <si>
    <t>Service Maquinarias y Rodados</t>
  </si>
  <si>
    <t>05.01.02.03.08</t>
  </si>
  <si>
    <t>Otros Servicios de Fabricación</t>
  </si>
  <si>
    <t>05.01.02.04.01</t>
  </si>
  <si>
    <t>Bolsas y Envases</t>
  </si>
  <si>
    <t>05.01.02.04.03</t>
  </si>
  <si>
    <t>Lubricantes</t>
  </si>
  <si>
    <t>05.01.02.04.04</t>
  </si>
  <si>
    <t>Productos Quimicos</t>
  </si>
  <si>
    <t>05.01.02.04.05</t>
  </si>
  <si>
    <t>Combustibles</t>
  </si>
  <si>
    <t>05.01.02.04.06</t>
  </si>
  <si>
    <t>Otros Insumos</t>
  </si>
  <si>
    <t>05.01.02.05.01</t>
  </si>
  <si>
    <t>Conservación de Edificios</t>
  </si>
  <si>
    <t>05.01.02.05.03</t>
  </si>
  <si>
    <t>Gastos Contratos de Leasing</t>
  </si>
  <si>
    <t>05.01.02.05.04</t>
  </si>
  <si>
    <t>Gastos Generales de Fábrica</t>
  </si>
  <si>
    <t>05.01.02.06.01</t>
  </si>
  <si>
    <t>Energía Eléctrica Comprada</t>
  </si>
  <si>
    <t>05.01.02.06.02</t>
  </si>
  <si>
    <t>Gas Comprado</t>
  </si>
  <si>
    <t>05.01.02.06.05</t>
  </si>
  <si>
    <t>OTROS GASTOS DE CALDERA</t>
  </si>
  <si>
    <t>05.01.02.07.01</t>
  </si>
  <si>
    <t>Servicios de Laboratorios</t>
  </si>
  <si>
    <t>05.01.03.02.01</t>
  </si>
  <si>
    <t>Servicios Flete Caña</t>
  </si>
  <si>
    <t>05.01.04.01.01</t>
  </si>
  <si>
    <t>Flete de Azucar</t>
  </si>
  <si>
    <t>05.01.04.01.02</t>
  </si>
  <si>
    <t>Comisiones de Venta</t>
  </si>
  <si>
    <t>05.01.04.01.03</t>
  </si>
  <si>
    <t>Flete de Acohol</t>
  </si>
  <si>
    <t>05.01.04.01.06</t>
  </si>
  <si>
    <t>Descuentos Comerciales</t>
  </si>
  <si>
    <t>05.01.04.01.07</t>
  </si>
  <si>
    <t>Flete de Melaza</t>
  </si>
  <si>
    <t>05.01.05.01.01</t>
  </si>
  <si>
    <t>Mobiliario - reparación y mantenimiento</t>
  </si>
  <si>
    <t>05.01.05.01.02</t>
  </si>
  <si>
    <t>Seguros</t>
  </si>
  <si>
    <t>05.01.05.01.03</t>
  </si>
  <si>
    <t>Gastos de Limpieza</t>
  </si>
  <si>
    <t>05.01.05.01.04</t>
  </si>
  <si>
    <t>Donaciones</t>
  </si>
  <si>
    <t>05.01.05.01.05</t>
  </si>
  <si>
    <t>Correo y Mensajería</t>
  </si>
  <si>
    <t>05.01.05.01.06</t>
  </si>
  <si>
    <t>Movilidad, viáticos y alojamientos</t>
  </si>
  <si>
    <t>05.01.05.01.07</t>
  </si>
  <si>
    <t>Gastos de Telefonia e internet</t>
  </si>
  <si>
    <t>05.01.05.01.08</t>
  </si>
  <si>
    <t>Gastos de Software y Hardware</t>
  </si>
  <si>
    <t>05.01.05.01.09</t>
  </si>
  <si>
    <t>Papelería y Útiles</t>
  </si>
  <si>
    <t>05.01.05.01.10</t>
  </si>
  <si>
    <t>Gastos de Rodados</t>
  </si>
  <si>
    <t>05.01.05.01.11</t>
  </si>
  <si>
    <t>Alquiler Viviendas</t>
  </si>
  <si>
    <t>05.01.05.01.12</t>
  </si>
  <si>
    <t>Camaras empresariales</t>
  </si>
  <si>
    <t>05.01.05.01.13</t>
  </si>
  <si>
    <t>Servicios de vigilancia</t>
  </si>
  <si>
    <t>05.01.05.01.15</t>
  </si>
  <si>
    <t>Gastos de Importacion</t>
  </si>
  <si>
    <t>05.01.05.01.16</t>
  </si>
  <si>
    <t>Gastos de Exportacion</t>
  </si>
  <si>
    <t>05.01.05.01.17</t>
  </si>
  <si>
    <t>Arriendos</t>
  </si>
  <si>
    <t>05.01.05.01.18</t>
  </si>
  <si>
    <t>Gastos Admin. Varios</t>
  </si>
  <si>
    <t>05.01.05.01.19</t>
  </si>
  <si>
    <t>Servicio Administracion de planta</t>
  </si>
  <si>
    <t>05.01.05.01.20</t>
  </si>
  <si>
    <t>Canones Leasing</t>
  </si>
  <si>
    <t>05.01.05.02.01</t>
  </si>
  <si>
    <t>Alquiler Ofic. Bs. As.</t>
  </si>
  <si>
    <t>05.01.05.02.02</t>
  </si>
  <si>
    <t>Gastos Oficina Bs.As.</t>
  </si>
  <si>
    <t>05.01.05.02.03</t>
  </si>
  <si>
    <t>Pasajes Aéreos</t>
  </si>
  <si>
    <t>05.01.05.03.01</t>
  </si>
  <si>
    <t>Gastos Casa Administración</t>
  </si>
  <si>
    <t>05.01.05.04.01</t>
  </si>
  <si>
    <t>Honorarios Contables</t>
  </si>
  <si>
    <t>05.01.05.04.02</t>
  </si>
  <si>
    <t>Honorarios de Medio Ambiente</t>
  </si>
  <si>
    <t>05.01.05.04.03</t>
  </si>
  <si>
    <t>Honorarios Escribanos</t>
  </si>
  <si>
    <t>05.01.05.04.04</t>
  </si>
  <si>
    <t>Honorarios Juridicos</t>
  </si>
  <si>
    <t>05.01.05.04.05</t>
  </si>
  <si>
    <t>Honoracios Tecnicos Especializados</t>
  </si>
  <si>
    <t>05.01.05.04.06</t>
  </si>
  <si>
    <t>05.01.05.04.07</t>
  </si>
  <si>
    <t>Honorarios Judiciales</t>
  </si>
  <si>
    <t>05.01.05.05.01</t>
  </si>
  <si>
    <t>Gastos y Comisiones Bancarias-Financieras</t>
  </si>
  <si>
    <t>05.01.05.05.03</t>
  </si>
  <si>
    <t>Gastos y Desc. tarjetas de créditos</t>
  </si>
  <si>
    <t>05.01.05.05.04</t>
  </si>
  <si>
    <t>Comision Factoring Alyc</t>
  </si>
  <si>
    <t>05.01.05.05.05</t>
  </si>
  <si>
    <t>Derecho de Mercado</t>
  </si>
  <si>
    <t>05.01.05.05.06</t>
  </si>
  <si>
    <t>Comision Plataforma Factoring</t>
  </si>
  <si>
    <t>05.01.05.05.10</t>
  </si>
  <si>
    <t>Comision Plataforma Provisoria</t>
  </si>
  <si>
    <t>05.01.06.01.01</t>
  </si>
  <si>
    <t>Intereses Prestamos</t>
  </si>
  <si>
    <t>05.01.06.01.02</t>
  </si>
  <si>
    <t>Intereses Comerciales</t>
  </si>
  <si>
    <t>05.01.06.01.03</t>
  </si>
  <si>
    <t>Intereses resarcitorios AFIP</t>
  </si>
  <si>
    <t>05.01.06.01.05</t>
  </si>
  <si>
    <t>Otros intereses impositivos nac. o prov.</t>
  </si>
  <si>
    <t>05.01.06.01.06</t>
  </si>
  <si>
    <t>Intereses  Warrants</t>
  </si>
  <si>
    <t>05.01.06.01.07</t>
  </si>
  <si>
    <t>05.01.06.01.10</t>
  </si>
  <si>
    <t>Intereses Factoring</t>
  </si>
  <si>
    <t>05.01.06.01.11</t>
  </si>
  <si>
    <t>Intereses Descuentos de Cheques (CDP)</t>
  </si>
  <si>
    <t>05.01.06.01.12</t>
  </si>
  <si>
    <t>Intereses Giros en Descubierto y similares</t>
  </si>
  <si>
    <t>05.01.06.02.01</t>
  </si>
  <si>
    <t>Gastos Warrants</t>
  </si>
  <si>
    <t>05.01.06.02.02</t>
  </si>
  <si>
    <t>Diferencia de Cambio negativa</t>
  </si>
  <si>
    <t>05.01.07.01.01</t>
  </si>
  <si>
    <t>Flete de vinaza</t>
  </si>
  <si>
    <t>05.01.07.01.02</t>
  </si>
  <si>
    <t>Flete de cachaza</t>
  </si>
  <si>
    <t>05.01.07.01.03</t>
  </si>
  <si>
    <t>Flete de ceniza</t>
  </si>
  <si>
    <t>05.01.07.01.04</t>
  </si>
  <si>
    <t>Flete de basura</t>
  </si>
  <si>
    <t>05.01.07.01.05</t>
  </si>
  <si>
    <t>Obras medio ambiente</t>
  </si>
  <si>
    <t>05.01.08.01.01</t>
  </si>
  <si>
    <t>Impuesto a las Ganancias</t>
  </si>
  <si>
    <t>05.01.08.01.03</t>
  </si>
  <si>
    <t>Impuesto al cheque - Debito Bancario</t>
  </si>
  <si>
    <t>05.01.08.01.04</t>
  </si>
  <si>
    <t>Impuesto al Cheque - Crédito bancario</t>
  </si>
  <si>
    <t>05.01.08.01.06</t>
  </si>
  <si>
    <t>Impuesto Interno</t>
  </si>
  <si>
    <t>05.01.08.01.07</t>
  </si>
  <si>
    <t>Multas AFIP</t>
  </si>
  <si>
    <t>05.01.08.02.01</t>
  </si>
  <si>
    <t>E.E.A.O.C.</t>
  </si>
  <si>
    <t>05.01.08.02.02</t>
  </si>
  <si>
    <t>Impuesto a la Salud Publica</t>
  </si>
  <si>
    <t>05.01.08.02.03</t>
  </si>
  <si>
    <t>Impuesto a los Ingresos Brutos</t>
  </si>
  <si>
    <t>05.01.08.02.05</t>
  </si>
  <si>
    <t>Imp Inmobiliario</t>
  </si>
  <si>
    <t>05.01.08.02.06</t>
  </si>
  <si>
    <t>Imp Automotor</t>
  </si>
  <si>
    <t>05.01.08.02.07</t>
  </si>
  <si>
    <t>Otros Provinciales</t>
  </si>
  <si>
    <t>05.01.08.02.08</t>
  </si>
  <si>
    <t>Imp. Sellados Bancos</t>
  </si>
  <si>
    <t>05.01.08.03.01</t>
  </si>
  <si>
    <t>CIACIS</t>
  </si>
  <si>
    <t>05.01.08.03.02</t>
  </si>
  <si>
    <t>CISI</t>
  </si>
  <si>
    <t>05.01.08.03.03</t>
  </si>
  <si>
    <t>Otros Impuestos y Tasas</t>
  </si>
  <si>
    <t>05.01.08.03.04</t>
  </si>
  <si>
    <t>INV</t>
  </si>
  <si>
    <t>05.01.08.03.05</t>
  </si>
  <si>
    <t>Multas y Sanciones Vs.</t>
  </si>
  <si>
    <t>05.01.08.03.06</t>
  </si>
  <si>
    <t>Imp. Transf. Comb. - ITC</t>
  </si>
  <si>
    <t>05.01.09.01.01</t>
  </si>
  <si>
    <t>Amortizacion Maquinarias</t>
  </si>
  <si>
    <t>05.01.09.01.02</t>
  </si>
  <si>
    <t>Amortizacion Hardware y Equipos De Computacion</t>
  </si>
  <si>
    <t>05.01.09.01.03</t>
  </si>
  <si>
    <t>Amortizaciones Rodados</t>
  </si>
  <si>
    <t>05.01.09.01.04</t>
  </si>
  <si>
    <t>Amortizacion Destileria</t>
  </si>
  <si>
    <t>05.01.09.01.05</t>
  </si>
  <si>
    <t>Amortización Instalaciones</t>
  </si>
  <si>
    <t>05.01.10.01.02</t>
  </si>
  <si>
    <t>Fertilizantes</t>
  </si>
  <si>
    <t>05.01.10.01.03</t>
  </si>
  <si>
    <t>Insumos - Insumos</t>
  </si>
  <si>
    <t>05.01.10.01.04</t>
  </si>
  <si>
    <t>Aceites y Lubricantes</t>
  </si>
  <si>
    <t>05.01.10.01.05</t>
  </si>
  <si>
    <t>Repuestos</t>
  </si>
  <si>
    <t>05.01.10.01.06</t>
  </si>
  <si>
    <t>Servicios de Terceros</t>
  </si>
  <si>
    <t>05.01.10.01.07</t>
  </si>
  <si>
    <t>05.01.10.02.02</t>
  </si>
  <si>
    <t>Compras de Alcohol</t>
  </si>
  <si>
    <t>05.01.10.02.03</t>
  </si>
  <si>
    <t>Compras de Azúcar</t>
  </si>
  <si>
    <t>05.01.10.02.04</t>
  </si>
  <si>
    <t>Costo de Mercaderias Vendidas</t>
  </si>
  <si>
    <t>05.01.10.02.05</t>
  </si>
  <si>
    <t>Amortización Rodado - Maquinaria Leasing</t>
  </si>
  <si>
    <t>05.01.10.02.06</t>
  </si>
  <si>
    <t>Amortización Investigación y Desarrollo</t>
  </si>
  <si>
    <t>06.01.01.00.00</t>
  </si>
  <si>
    <t>Compras Contado</t>
  </si>
  <si>
    <t>06.01.02.00.00</t>
  </si>
  <si>
    <t>Canje Cliente/Proveedor</t>
  </si>
  <si>
    <t>06.01.03.00.00</t>
  </si>
  <si>
    <t>Ceramiento Gastos</t>
  </si>
  <si>
    <t>06.01.04.00.00</t>
  </si>
  <si>
    <t>Compensación por devolución proveedores</t>
  </si>
  <si>
    <t>Balance de Sumas y Saldos OCONTABILIDAD BLC al 30/04/2026</t>
  </si>
  <si>
    <t>Balance de Sumas y Saldos UOCONTABILIDAD</t>
  </si>
  <si>
    <t>01.01.01.01.06</t>
  </si>
  <si>
    <t>Caja Moneda Extranjera</t>
  </si>
  <si>
    <t>01.01.01.01.07</t>
  </si>
  <si>
    <t>Fondo Fijo</t>
  </si>
  <si>
    <t>01.01.01.02.12</t>
  </si>
  <si>
    <t>Banco Credicoop</t>
  </si>
  <si>
    <t>01.01.01.02.23</t>
  </si>
  <si>
    <t>Banco Galicia CC 1058-2 764-5</t>
  </si>
  <si>
    <t>01.01.01.02.25</t>
  </si>
  <si>
    <t>Banco Galicia CC 9750016-5 167-0 Dolares</t>
  </si>
  <si>
    <t>01.01.01.02.26</t>
  </si>
  <si>
    <t>Banco Galicia CC 9750026-2 764-7</t>
  </si>
  <si>
    <t>01.01.01.02.27</t>
  </si>
  <si>
    <t>Banco Nación CCE 15422101848077 U$S</t>
  </si>
  <si>
    <t>01.01.04.01.18</t>
  </si>
  <si>
    <t>Pago a Cuenta ITC</t>
  </si>
  <si>
    <t>01.01.04.02.03</t>
  </si>
  <si>
    <t>Ingresos brutos retenciones córdoba</t>
  </si>
  <si>
    <t>01.01.04.02.10</t>
  </si>
  <si>
    <t>Ingresos brutos percepciones entre rios</t>
  </si>
  <si>
    <t>01.01.04.06.09</t>
  </si>
  <si>
    <t>Fincas Viscaya y Bilbao S.A - Valores para entrega a terceros</t>
  </si>
  <si>
    <t>01.01.04.06.11</t>
  </si>
  <si>
    <t>Fincas Viscaya y Bilbao S.A -Valores para depositos y descuentos</t>
  </si>
  <si>
    <t>01.01.04.06.12</t>
  </si>
  <si>
    <t xml:space="preserve">Embargos Bancarios_x000D_
</t>
  </si>
  <si>
    <t>01.01.05.01.04</t>
  </si>
  <si>
    <t>Azucar retenida a cañeros</t>
  </si>
  <si>
    <t>01.01.05.01.07</t>
  </si>
  <si>
    <t xml:space="preserve">Azúcar en Proceso_x000D_
</t>
  </si>
  <si>
    <t>01.01.05.02.08</t>
  </si>
  <si>
    <t xml:space="preserve">Alcohol Industrias_x000D_
</t>
  </si>
  <si>
    <t>01.01.05.02.09</t>
  </si>
  <si>
    <t xml:space="preserve">Melaza_x000D_
</t>
  </si>
  <si>
    <t>01.01.05.03.05</t>
  </si>
  <si>
    <t>Soja</t>
  </si>
  <si>
    <t>01.01.05.04.12</t>
  </si>
  <si>
    <t>01.01.05.04.13</t>
  </si>
  <si>
    <t>01.01.05.04.14</t>
  </si>
  <si>
    <t>01.01.05.04.22</t>
  </si>
  <si>
    <t>01.02.01.02.04</t>
  </si>
  <si>
    <t>Mejoras</t>
  </si>
  <si>
    <t>01.02.01.02.08</t>
  </si>
  <si>
    <t>Maquinarias Agricolas - Cajas</t>
  </si>
  <si>
    <t>01.02.01.02.11</t>
  </si>
  <si>
    <t>Estructuras e Instalaciones de Fabrica</t>
  </si>
  <si>
    <t>01.02.01.02.12</t>
  </si>
  <si>
    <t>Materiales Electricos y motores</t>
  </si>
  <si>
    <t>01.02.01.05.02</t>
  </si>
  <si>
    <t>AA Mejoras</t>
  </si>
  <si>
    <t>01.02.01.05.05</t>
  </si>
  <si>
    <t>AA Muebles y útiles</t>
  </si>
  <si>
    <t>01.02.01.05.11</t>
  </si>
  <si>
    <t xml:space="preserve">AA Estructuras e Instalaciones de Fabrica_x000D_
</t>
  </si>
  <si>
    <t>01.02.01.05.12</t>
  </si>
  <si>
    <t>AA Materiales Electricos y Motores</t>
  </si>
  <si>
    <t>01.02.03.01.03</t>
  </si>
  <si>
    <t>H.O Fernandez Cta. Aporte</t>
  </si>
  <si>
    <t>01.02.03.01.04</t>
  </si>
  <si>
    <t>H. Sarmiento Cta. Aporte</t>
  </si>
  <si>
    <t>01.02.03.01.05</t>
  </si>
  <si>
    <t>Cargos Diferidos</t>
  </si>
  <si>
    <t>02.01.01.01.17</t>
  </si>
  <si>
    <t>Valores Pendiente de Debito Banco Itau</t>
  </si>
  <si>
    <t>02.01.01.01.20</t>
  </si>
  <si>
    <t>Deuda Bolsas de Azucar a Cañeros</t>
  </si>
  <si>
    <t>02.01.01.01.26</t>
  </si>
  <si>
    <t>Tarjeta Galicia Rural</t>
  </si>
  <si>
    <t>02.01.02.02.24</t>
  </si>
  <si>
    <t>Otras retenciones a pagar</t>
  </si>
  <si>
    <t>02.01.02.02.33</t>
  </si>
  <si>
    <t>R.N.O.S. OSPAT  a pagar</t>
  </si>
  <si>
    <t>02.01.02.02.53</t>
  </si>
  <si>
    <t>R.N.O.S. Mutualidad Industrial Textil Argentina a pagar</t>
  </si>
  <si>
    <t>02.01.02.02.54</t>
  </si>
  <si>
    <t>R.N.O.S..del Personal de la construccion a pagar</t>
  </si>
  <si>
    <t>02.01.02.02.55</t>
  </si>
  <si>
    <t>02.01.03.01.09</t>
  </si>
  <si>
    <t>Otras Cargas Fiscales a Pagar</t>
  </si>
  <si>
    <t>02.01.03.01.13</t>
  </si>
  <si>
    <t>I.N.V. a pagar</t>
  </si>
  <si>
    <t>02.01.03.02.04</t>
  </si>
  <si>
    <t>I.B. CM jurisdición cordoba a pagar</t>
  </si>
  <si>
    <t>02.01.03.02.08</t>
  </si>
  <si>
    <t>I.B. CM jurisdición entre ríos a pagar</t>
  </si>
  <si>
    <t>02.01.03.02.21</t>
  </si>
  <si>
    <t>I.B. CM jurisdición santa fé a pagar</t>
  </si>
  <si>
    <t>02.01.04.01.35</t>
  </si>
  <si>
    <t>BANCO GALICIA - FACTORING</t>
  </si>
  <si>
    <t>02.01.04.02.06</t>
  </si>
  <si>
    <t xml:space="preserve">Prestamos CNH_x000D_
</t>
  </si>
  <si>
    <t>02.01.04.02.09</t>
  </si>
  <si>
    <t>Préstamos M.E - Banco Galicia a pagar</t>
  </si>
  <si>
    <t>02.01.04.02.48</t>
  </si>
  <si>
    <t>Convenios Laborales a Pagar.</t>
  </si>
  <si>
    <t>02.01.06.02.09</t>
  </si>
  <si>
    <t xml:space="preserve">Provisión de Facturas a Recibir_x000D_
</t>
  </si>
  <si>
    <t>03.01.02.01.04</t>
  </si>
  <si>
    <t>Reserva Capital de Trabajo</t>
  </si>
  <si>
    <t>03.02.01.01.02</t>
  </si>
  <si>
    <t>Ajustes a Resultados Ejercicios Anteriores</t>
  </si>
  <si>
    <t>03.02.01.02.02</t>
  </si>
  <si>
    <t>Resultados Acumulados</t>
  </si>
  <si>
    <t>04.01.02.03.03</t>
  </si>
  <si>
    <t xml:space="preserve">Resultado de Inversiones_x000D_
</t>
  </si>
  <si>
    <t>04.01.02.03.04</t>
  </si>
  <si>
    <t xml:space="preserve">Producción de Azúcar_x000D_
</t>
  </si>
  <si>
    <t>04.01.02.03.05</t>
  </si>
  <si>
    <t xml:space="preserve">Resultado por Tenencia_x000D_
</t>
  </si>
  <si>
    <t>04.01.02.03.06</t>
  </si>
  <si>
    <t xml:space="preserve">Producción Alcohol_x000D_
</t>
  </si>
  <si>
    <t>04.01.02.03.07</t>
  </si>
  <si>
    <t xml:space="preserve">Producción Soja_x000D_
</t>
  </si>
  <si>
    <t>04.01.02.03.08</t>
  </si>
  <si>
    <t xml:space="preserve">Resultado por Tenencia Alcohol_x000D_
</t>
  </si>
  <si>
    <t>04.01.02.03.09</t>
  </si>
  <si>
    <t xml:space="preserve">Resultado por Tenencia Soja_x000D_
</t>
  </si>
  <si>
    <t>04.01.02.03.10</t>
  </si>
  <si>
    <t xml:space="preserve">Producción de Melaza_x000D_
</t>
  </si>
  <si>
    <t>04.01.02.03.11</t>
  </si>
  <si>
    <t>Compras</t>
  </si>
  <si>
    <t>05.01.00.00.00</t>
  </si>
  <si>
    <t xml:space="preserve">Costo de venta_x000D_
</t>
  </si>
  <si>
    <t>05.01.01.01.04</t>
  </si>
  <si>
    <t>Costo Azúcar retenida a cañeros Vendida</t>
  </si>
  <si>
    <t>05.01.02.02.17</t>
  </si>
  <si>
    <t>Otros Materiales Consumidos</t>
  </si>
  <si>
    <t>05.01.03.01.01</t>
  </si>
  <si>
    <t>Servicio de Cosecha Caña</t>
  </si>
  <si>
    <t>05.01.04.01.04</t>
  </si>
  <si>
    <t>Servicio de Paletizado</t>
  </si>
  <si>
    <t>05.01.06.02.03</t>
  </si>
  <si>
    <t>Intereses devengados de PFP</t>
  </si>
  <si>
    <t>05.01.08.01.08</t>
  </si>
  <si>
    <t>Bs Personales Responsables Sustitutos</t>
  </si>
  <si>
    <t>05.01.08.02.04</t>
  </si>
  <si>
    <t>Agua / impuestos</t>
  </si>
  <si>
    <t>05.01.08.02.09</t>
  </si>
  <si>
    <t>IPAAT</t>
  </si>
  <si>
    <t>05.01.08.03.08</t>
  </si>
  <si>
    <t>Impuesto por Det. de Oficio</t>
  </si>
  <si>
    <t>05.01.09.01.06</t>
  </si>
  <si>
    <t xml:space="preserve">Amortización Estructura e Instal. Fab_x000D_
</t>
  </si>
  <si>
    <t>05.01.09.01.07</t>
  </si>
  <si>
    <t>Amortizacion Materiales Electricos y Motores</t>
  </si>
  <si>
    <t>05.01.09.01.08</t>
  </si>
  <si>
    <t>Amortizacion Maquinarias Agricolas- Varios</t>
  </si>
  <si>
    <t>05.01.09.01.09</t>
  </si>
  <si>
    <t>Amortizacion Mejoras</t>
  </si>
  <si>
    <t>05.01.09.01.10</t>
  </si>
  <si>
    <t xml:space="preserve">Amortizaciones Estructuras e Instalaciones_x000D_
</t>
  </si>
  <si>
    <t>05.01.10.01.01</t>
  </si>
  <si>
    <t>Agroquimicos</t>
  </si>
  <si>
    <t>05.01.10.02.01</t>
  </si>
  <si>
    <t>Arriendo Fincas Agricolas</t>
  </si>
  <si>
    <t>Balance de Sumas y Saldos UOCONTABILIDAD SAS</t>
  </si>
  <si>
    <t>Resumen de Saldos - Balance de Sumas y Saldos al 30/04/2026</t>
  </si>
  <si>
    <t>Código</t>
  </si>
  <si>
    <t>Saldo BLC</t>
  </si>
  <si>
    <t>Saldo SAS</t>
  </si>
  <si>
    <t>Saldo ING</t>
  </si>
  <si>
    <t>Embargos Bancarios</t>
  </si>
  <si>
    <t>Azúcar en Proceso</t>
  </si>
  <si>
    <t>Alcohol Industrias</t>
  </si>
  <si>
    <t>Melaza</t>
  </si>
  <si>
    <t>AA Estructuras e Instalaciones de Fabrica</t>
  </si>
  <si>
    <t>Prestamos CNH</t>
  </si>
  <si>
    <t>Provisión de Facturas a Recibir</t>
  </si>
  <si>
    <t>Resultado de Inversiones</t>
  </si>
  <si>
    <t>Producción de Azúcar</t>
  </si>
  <si>
    <t>Resultado por Tenencia</t>
  </si>
  <si>
    <t>Producción Alcohol</t>
  </si>
  <si>
    <t>Producción Soja</t>
  </si>
  <si>
    <t>Resultado por Tenencia Alcohol</t>
  </si>
  <si>
    <t>Resultado por Tenencia Soja</t>
  </si>
  <si>
    <t>Producción de Melaza</t>
  </si>
  <si>
    <t>Costo de venta</t>
  </si>
  <si>
    <t>Amortización Estructura e Instal. Fab</t>
  </si>
  <si>
    <t>Amortizaciones Estructuras e Instalaciones</t>
  </si>
  <si>
    <t>Desde 01/01/26 al 30-04-2026</t>
  </si>
  <si>
    <t>directo</t>
  </si>
  <si>
    <t>enviada por blc o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</si>
</sst>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8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sz val="13"/>
      <color rgb="FFFFFFFF"/>
      <name val="Times New Roman"/>
      <family val="2"/>
    </font>
    <font>
      <b/>
      <sz val="10"/>
      <color rgb="FFFFFFFF"/>
      <name val="Times New Roman"/>
      <family val="2"/>
    </font>
    <font>
      <sz val="9"/>
      <color theme="1"/>
      <name val="Calibri"/>
      <family val="2"/>
    </font>
    <font>
      <b/>
      <sz val="9"/>
      <color rgb="FFFFFFFF"/>
      <name val="Calibri"/>
      <family val="2"/>
    </font>
    <font>
      <sz val="9"/>
      <color rgb="FF0000FF"/>
      <name val="Calibri"/>
      <family val="2"/>
    </font>
    <font>
      <sz val="9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1F3864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" fontId="0" fillId="0" borderId="0" xfId="0" applyNumberFormat="1"/>
    <xf numFmtId="4" fontId="1" fillId="0" borderId="0" xfId="0" applyNumberFormat="1" applyFont="1"/>
    <xf numFmtId="0" fontId="0" fillId="0" borderId="0" xfId="0" applyAlignment="1">
      <alignment wrapText="1"/>
    </xf>
    <xf numFmtId="164" fontId="0" fillId="0" borderId="0" xfId="0" applyNumberFormat="1"/>
    <xf numFmtId="0" fontId="4" fillId="4" borderId="0" xfId="0" applyFont="1" applyFill="1" applyAlignment="1">
      <alignment horizontal="left"/>
    </xf>
    <xf numFmtId="164" fontId="4" fillId="4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164" fontId="5" fillId="3" borderId="0" xfId="0" applyNumberFormat="1" applyFont="1" applyFill="1" applyAlignment="1">
      <alignment horizontal="right"/>
    </xf>
    <xf numFmtId="0" fontId="5" fillId="6" borderId="0" xfId="0" applyFont="1" applyFill="1" applyAlignment="1">
      <alignment horizontal="left"/>
    </xf>
    <xf numFmtId="164" fontId="5" fillId="6" borderId="0" xfId="0" applyNumberFormat="1" applyFont="1" applyFill="1" applyAlignment="1">
      <alignment horizontal="right"/>
    </xf>
    <xf numFmtId="0" fontId="5" fillId="7" borderId="0" xfId="0" applyFont="1" applyFill="1" applyAlignment="1">
      <alignment horizontal="left"/>
    </xf>
    <xf numFmtId="164" fontId="5" fillId="7" borderId="0" xfId="0" applyNumberFormat="1" applyFont="1" applyFill="1" applyAlignment="1">
      <alignment horizontal="right"/>
    </xf>
    <xf numFmtId="0" fontId="5" fillId="8" borderId="0" xfId="0" applyFont="1" applyFill="1" applyAlignment="1">
      <alignment horizontal="left"/>
    </xf>
    <xf numFmtId="164" fontId="5" fillId="8" borderId="0" xfId="0" applyNumberFormat="1" applyFont="1" applyFill="1" applyAlignment="1">
      <alignment horizontal="right"/>
    </xf>
    <xf numFmtId="0" fontId="5" fillId="9" borderId="0" xfId="0" applyFont="1" applyFill="1" applyAlignment="1">
      <alignment horizontal="left"/>
    </xf>
    <xf numFmtId="164" fontId="5" fillId="9" borderId="0" xfId="0" applyNumberFormat="1" applyFont="1" applyFill="1" applyAlignment="1">
      <alignment horizontal="right"/>
    </xf>
    <xf numFmtId="0" fontId="5" fillId="10" borderId="0" xfId="0" applyFont="1" applyFill="1" applyAlignment="1">
      <alignment horizontal="left"/>
    </xf>
    <xf numFmtId="164" fontId="5" fillId="10" borderId="0" xfId="0" applyNumberFormat="1" applyFont="1" applyFill="1" applyAlignment="1">
      <alignment horizontal="right"/>
    </xf>
    <xf numFmtId="0" fontId="2" fillId="2" borderId="0" xfId="0" applyFont="1" applyFill="1"/>
    <xf numFmtId="164" fontId="6" fillId="4" borderId="0" xfId="0" applyNumberFormat="1" applyFont="1" applyFill="1" applyAlignment="1">
      <alignment horizontal="right"/>
    </xf>
    <xf numFmtId="164" fontId="4" fillId="11" borderId="0" xfId="0" applyNumberFormat="1" applyFont="1" applyFill="1" applyAlignment="1">
      <alignment horizontal="right"/>
    </xf>
    <xf numFmtId="164" fontId="7" fillId="11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74069C-53B8-436A-B82D-9B6026A1D2EA}">
  <we:reference id="wa200009404" version="1.0.0.8" store="es-AR" storeType="OMEX"/>
  <we:alternateReferences>
    <we:reference id="WA200009404" version="1.0.0.8" store="" storeType="OMEX"/>
  </we:alternateReferences>
  <we:properties>
    <we:property name="claude.fileId" value="&quot;a0e9644f-134d-4a4d-81d8-2d1d50701e4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6DB3-C82E-40B6-950C-43C0052BE1E3}">
  <dimension ref="A1:F415"/>
  <sheetViews>
    <sheetView topLeftCell="B1" workbookViewId="0">
      <selection activeCell="E16" sqref="E16"/>
    </sheetView>
  </sheetViews>
  <sheetFormatPr baseColWidth="10" defaultRowHeight="15" x14ac:dyDescent="0.25"/>
  <cols>
    <col min="1" max="1" width="13.28515625" bestFit="1" customWidth="1"/>
    <col min="2" max="2" width="68.85546875" bestFit="1" customWidth="1"/>
    <col min="3" max="3" width="16.7109375" bestFit="1" customWidth="1"/>
    <col min="4" max="5" width="15.85546875" bestFit="1" customWidth="1"/>
    <col min="6" max="6" width="16.7109375" bestFit="1" customWidth="1"/>
  </cols>
  <sheetData>
    <row r="1" spans="1:6" x14ac:dyDescent="0.25">
      <c r="B1" t="s">
        <v>825</v>
      </c>
      <c r="C1" s="1">
        <v>46023</v>
      </c>
    </row>
    <row r="2" spans="1:6" x14ac:dyDescent="0.25">
      <c r="A2" s="4" t="s">
        <v>0</v>
      </c>
      <c r="B2" s="2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x14ac:dyDescent="0.25">
      <c r="A3" s="3" t="s">
        <v>6</v>
      </c>
      <c r="B3" t="s">
        <v>7</v>
      </c>
      <c r="C3" s="5">
        <v>983201812.37999964</v>
      </c>
      <c r="D3" s="5">
        <v>839308258.63</v>
      </c>
      <c r="E3" s="5">
        <v>574733739.63999999</v>
      </c>
      <c r="F3" s="5">
        <v>1247776331.3699999</v>
      </c>
    </row>
    <row r="4" spans="1:6" x14ac:dyDescent="0.25">
      <c r="A4" s="3" t="s">
        <v>8</v>
      </c>
      <c r="B4" t="s">
        <v>9</v>
      </c>
      <c r="C4" s="5">
        <v>-1256453009.5799999</v>
      </c>
      <c r="D4" s="5">
        <v>766567948.99000001</v>
      </c>
      <c r="E4" s="5">
        <v>591725721.36000001</v>
      </c>
      <c r="F4" s="5">
        <v>-1081610781.9499998</v>
      </c>
    </row>
    <row r="5" spans="1:6" x14ac:dyDescent="0.25">
      <c r="A5" s="3" t="s">
        <v>10</v>
      </c>
      <c r="B5" t="s">
        <v>11</v>
      </c>
      <c r="C5" s="5">
        <v>302749309.50999832</v>
      </c>
      <c r="D5" s="5">
        <v>0</v>
      </c>
      <c r="E5" s="5">
        <v>0</v>
      </c>
      <c r="F5" s="5">
        <v>302749309.50999832</v>
      </c>
    </row>
    <row r="6" spans="1:6" x14ac:dyDescent="0.25">
      <c r="A6" s="3" t="s">
        <v>12</v>
      </c>
      <c r="B6" t="s">
        <v>13</v>
      </c>
      <c r="C6" s="5">
        <v>4887811.9999990463</v>
      </c>
      <c r="D6" s="5">
        <v>0</v>
      </c>
      <c r="E6" s="5">
        <v>0</v>
      </c>
      <c r="F6" s="5">
        <v>4887811.9999990463</v>
      </c>
    </row>
    <row r="7" spans="1:6" x14ac:dyDescent="0.25">
      <c r="A7" s="3" t="s">
        <v>14</v>
      </c>
      <c r="B7" t="s">
        <v>15</v>
      </c>
      <c r="C7" s="5">
        <v>201618547.24999249</v>
      </c>
      <c r="D7" s="5">
        <v>633129360.64999998</v>
      </c>
      <c r="E7" s="5">
        <v>585588157.10000002</v>
      </c>
      <c r="F7" s="5">
        <v>249159750.79999244</v>
      </c>
    </row>
    <row r="8" spans="1:6" x14ac:dyDescent="0.25">
      <c r="A8" s="3" t="s">
        <v>16</v>
      </c>
      <c r="B8" t="s">
        <v>17</v>
      </c>
      <c r="C8" s="5">
        <v>88247.409999966621</v>
      </c>
      <c r="D8" s="5">
        <v>300000</v>
      </c>
      <c r="E8" s="5">
        <v>75100.13</v>
      </c>
      <c r="F8" s="5">
        <v>313147.27999996662</v>
      </c>
    </row>
    <row r="9" spans="1:6" x14ac:dyDescent="0.25">
      <c r="A9" s="3" t="s">
        <v>18</v>
      </c>
      <c r="B9" t="s">
        <v>19</v>
      </c>
      <c r="C9" s="5">
        <v>-113969869.38999939</v>
      </c>
      <c r="D9" s="5">
        <v>12352076351.880001</v>
      </c>
      <c r="E9" s="5">
        <v>12412767661.280001</v>
      </c>
      <c r="F9" s="5">
        <v>-174661178.78999901</v>
      </c>
    </row>
    <row r="10" spans="1:6" x14ac:dyDescent="0.25">
      <c r="A10" s="3" t="s">
        <v>20</v>
      </c>
      <c r="B10" t="s">
        <v>21</v>
      </c>
      <c r="C10" s="5">
        <v>567142.25</v>
      </c>
      <c r="D10" s="5">
        <v>390000</v>
      </c>
      <c r="E10" s="5">
        <v>0</v>
      </c>
      <c r="F10" s="5">
        <v>957142.25</v>
      </c>
    </row>
    <row r="11" spans="1:6" x14ac:dyDescent="0.25">
      <c r="A11" s="3" t="s">
        <v>22</v>
      </c>
      <c r="B11" t="s">
        <v>23</v>
      </c>
      <c r="C11" s="5">
        <v>-9312505.0999999344</v>
      </c>
      <c r="D11" s="5">
        <v>5518137193.6000004</v>
      </c>
      <c r="E11" s="5">
        <v>5229486570.4399996</v>
      </c>
      <c r="F11" s="5">
        <v>279338118.06000042</v>
      </c>
    </row>
    <row r="12" spans="1:6" x14ac:dyDescent="0.25">
      <c r="A12" s="3" t="s">
        <v>24</v>
      </c>
      <c r="B12" t="s">
        <v>25</v>
      </c>
      <c r="C12" s="5">
        <v>319990.90999984741</v>
      </c>
      <c r="D12" s="5">
        <v>228196422.09999999</v>
      </c>
      <c r="E12" s="5">
        <v>164453379.91</v>
      </c>
      <c r="F12" s="5">
        <v>64063033.099999845</v>
      </c>
    </row>
    <row r="13" spans="1:6" x14ac:dyDescent="0.25">
      <c r="A13" s="3" t="s">
        <v>26</v>
      </c>
      <c r="B13" t="s">
        <v>27</v>
      </c>
      <c r="C13" s="5">
        <v>0</v>
      </c>
      <c r="D13" s="5">
        <v>0</v>
      </c>
      <c r="E13" s="5">
        <v>0</v>
      </c>
      <c r="F13" s="5">
        <v>0</v>
      </c>
    </row>
    <row r="14" spans="1:6" x14ac:dyDescent="0.25">
      <c r="A14" s="3" t="s">
        <v>28</v>
      </c>
      <c r="B14" t="s">
        <v>29</v>
      </c>
      <c r="C14" s="5">
        <v>3.9999961853027344E-2</v>
      </c>
      <c r="D14" s="5">
        <v>0</v>
      </c>
      <c r="E14" s="5">
        <v>0</v>
      </c>
      <c r="F14" s="5">
        <v>3.9999961853027344E-2</v>
      </c>
    </row>
    <row r="15" spans="1:6" x14ac:dyDescent="0.25">
      <c r="A15" s="3" t="s">
        <v>30</v>
      </c>
      <c r="B15" t="s">
        <v>31</v>
      </c>
      <c r="C15" s="5">
        <v>-98762691.469999313</v>
      </c>
      <c r="D15" s="5">
        <v>2311001306</v>
      </c>
      <c r="E15" s="5">
        <v>2171730767.0500002</v>
      </c>
      <c r="F15" s="5">
        <v>40507847.480000496</v>
      </c>
    </row>
    <row r="16" spans="1:6" x14ac:dyDescent="0.25">
      <c r="A16" s="3" t="s">
        <v>32</v>
      </c>
      <c r="B16" t="s">
        <v>33</v>
      </c>
      <c r="C16" s="5">
        <v>1122.8100000023842</v>
      </c>
      <c r="D16" s="5">
        <v>0</v>
      </c>
      <c r="E16" s="5">
        <v>0</v>
      </c>
      <c r="F16" s="5">
        <v>1122.8100000023842</v>
      </c>
    </row>
    <row r="17" spans="1:6" x14ac:dyDescent="0.25">
      <c r="A17" s="3" t="s">
        <v>34</v>
      </c>
      <c r="B17" t="s">
        <v>35</v>
      </c>
      <c r="C17" s="5">
        <v>-67104.100000143051</v>
      </c>
      <c r="D17" s="5">
        <v>179300000</v>
      </c>
      <c r="E17" s="5">
        <v>0</v>
      </c>
      <c r="F17" s="5">
        <v>179232895.89999986</v>
      </c>
    </row>
    <row r="18" spans="1:6" x14ac:dyDescent="0.25">
      <c r="A18" s="3" t="s">
        <v>36</v>
      </c>
      <c r="B18" t="s">
        <v>37</v>
      </c>
      <c r="C18" s="5">
        <v>532090.90000033379</v>
      </c>
      <c r="D18" s="5">
        <v>672882099.13999999</v>
      </c>
      <c r="E18" s="5">
        <v>672871206.48000002</v>
      </c>
      <c r="F18" s="5">
        <v>542983.56000030041</v>
      </c>
    </row>
    <row r="19" spans="1:6" x14ac:dyDescent="0.25">
      <c r="A19" s="3" t="s">
        <v>38</v>
      </c>
      <c r="B19" t="s">
        <v>39</v>
      </c>
      <c r="C19" s="5">
        <v>350460.61</v>
      </c>
      <c r="D19" s="5">
        <v>30012000</v>
      </c>
      <c r="E19" s="5">
        <v>30122098.710000001</v>
      </c>
      <c r="F19" s="5">
        <v>240361.89999999851</v>
      </c>
    </row>
    <row r="20" spans="1:6" x14ac:dyDescent="0.25">
      <c r="A20" s="3" t="s">
        <v>40</v>
      </c>
      <c r="B20" t="s">
        <v>41</v>
      </c>
      <c r="C20" s="5">
        <v>0</v>
      </c>
      <c r="D20" s="5">
        <v>0</v>
      </c>
      <c r="E20" s="5">
        <v>0</v>
      </c>
      <c r="F20" s="5">
        <v>0</v>
      </c>
    </row>
    <row r="21" spans="1:6" x14ac:dyDescent="0.25">
      <c r="A21" s="3" t="s">
        <v>42</v>
      </c>
      <c r="B21" t="s">
        <v>43</v>
      </c>
      <c r="C21" s="5">
        <v>0</v>
      </c>
      <c r="D21" s="5">
        <v>2427597.4500000002</v>
      </c>
      <c r="E21" s="5">
        <v>0</v>
      </c>
      <c r="F21" s="5">
        <v>2427597.4500000002</v>
      </c>
    </row>
    <row r="22" spans="1:6" x14ac:dyDescent="0.25">
      <c r="A22" s="3" t="s">
        <v>44</v>
      </c>
      <c r="B22" t="s">
        <v>45</v>
      </c>
      <c r="C22" s="5">
        <v>4402870875.829998</v>
      </c>
      <c r="D22" s="5">
        <v>6381601538.4499998</v>
      </c>
      <c r="E22" s="5">
        <v>5160040382.0299997</v>
      </c>
      <c r="F22" s="5">
        <v>5624432032.249999</v>
      </c>
    </row>
    <row r="23" spans="1:6" x14ac:dyDescent="0.25">
      <c r="A23" s="3" t="s">
        <v>46</v>
      </c>
      <c r="B23" t="s">
        <v>47</v>
      </c>
      <c r="C23" s="5">
        <v>-30532620.879999876</v>
      </c>
      <c r="D23" s="5">
        <v>739795787.48000002</v>
      </c>
      <c r="E23" s="5">
        <v>158107245.52000001</v>
      </c>
      <c r="F23" s="5">
        <v>551155921.08000016</v>
      </c>
    </row>
    <row r="24" spans="1:6" x14ac:dyDescent="0.25">
      <c r="A24" s="3" t="s">
        <v>48</v>
      </c>
      <c r="B24" t="s">
        <v>49</v>
      </c>
      <c r="C24" s="5">
        <v>-3344220570.9400029</v>
      </c>
      <c r="D24" s="5">
        <v>2410541875.2399998</v>
      </c>
      <c r="E24" s="5">
        <v>2410041875.2399998</v>
      </c>
      <c r="F24" s="5">
        <v>-3343720570.9400029</v>
      </c>
    </row>
    <row r="25" spans="1:6" x14ac:dyDescent="0.25">
      <c r="A25" s="3" t="s">
        <v>50</v>
      </c>
      <c r="B25" t="s">
        <v>51</v>
      </c>
      <c r="C25" s="5">
        <v>-159576.36999988556</v>
      </c>
      <c r="D25" s="5">
        <v>597792862.13</v>
      </c>
      <c r="E25" s="5">
        <v>797954736.99000001</v>
      </c>
      <c r="F25" s="5">
        <v>-200321451.2299999</v>
      </c>
    </row>
    <row r="26" spans="1:6" x14ac:dyDescent="0.25">
      <c r="A26" s="3" t="s">
        <v>52</v>
      </c>
      <c r="B26" t="s">
        <v>53</v>
      </c>
      <c r="C26" s="5">
        <v>0</v>
      </c>
      <c r="D26" s="5">
        <v>0</v>
      </c>
      <c r="E26" s="5">
        <v>0</v>
      </c>
      <c r="F26" s="5">
        <v>0</v>
      </c>
    </row>
    <row r="27" spans="1:6" x14ac:dyDescent="0.25">
      <c r="A27" s="3" t="s">
        <v>54</v>
      </c>
      <c r="B27" t="s">
        <v>55</v>
      </c>
      <c r="C27" s="5">
        <v>0</v>
      </c>
      <c r="D27" s="5">
        <v>0</v>
      </c>
      <c r="E27" s="5">
        <v>492217769.74000007</v>
      </c>
      <c r="F27" s="5">
        <v>-492217769.74000007</v>
      </c>
    </row>
    <row r="28" spans="1:6" x14ac:dyDescent="0.25">
      <c r="A28" s="3" t="s">
        <v>56</v>
      </c>
      <c r="B28" t="s">
        <v>57</v>
      </c>
      <c r="C28" s="5">
        <v>566197029.77999997</v>
      </c>
      <c r="D28" s="5">
        <v>2478017510.6500001</v>
      </c>
      <c r="E28" s="5">
        <v>3408940542.8699999</v>
      </c>
      <c r="F28" s="5">
        <v>-364726002.43999958</v>
      </c>
    </row>
    <row r="29" spans="1:6" x14ac:dyDescent="0.25">
      <c r="A29" s="3" t="s">
        <v>58</v>
      </c>
      <c r="B29" t="s">
        <v>59</v>
      </c>
      <c r="C29" s="5">
        <v>0</v>
      </c>
      <c r="D29" s="5">
        <v>430600027.63000005</v>
      </c>
      <c r="E29" s="5">
        <v>450254897.19999999</v>
      </c>
      <c r="F29" s="5">
        <v>-19654869.569999933</v>
      </c>
    </row>
    <row r="30" spans="1:6" x14ac:dyDescent="0.25">
      <c r="A30" s="3" t="s">
        <v>60</v>
      </c>
      <c r="B30" t="s">
        <v>61</v>
      </c>
      <c r="C30" s="5">
        <v>0</v>
      </c>
      <c r="D30" s="5">
        <v>2480834.52</v>
      </c>
      <c r="E30" s="5">
        <v>2480834.52</v>
      </c>
      <c r="F30" s="5">
        <v>0</v>
      </c>
    </row>
    <row r="31" spans="1:6" x14ac:dyDescent="0.25">
      <c r="A31" s="3" t="s">
        <v>62</v>
      </c>
      <c r="B31" t="s">
        <v>63</v>
      </c>
      <c r="C31" s="5">
        <v>16051498.86860013</v>
      </c>
      <c r="D31" s="5">
        <v>1392064338.95</v>
      </c>
      <c r="E31" s="5">
        <v>1389825288.6200001</v>
      </c>
      <c r="F31" s="5">
        <v>18290549.198600054</v>
      </c>
    </row>
    <row r="32" spans="1:6" x14ac:dyDescent="0.25">
      <c r="A32" s="3" t="s">
        <v>64</v>
      </c>
      <c r="B32" t="s">
        <v>65</v>
      </c>
      <c r="C32" s="5">
        <v>8728.9999999982119</v>
      </c>
      <c r="D32" s="5">
        <v>0</v>
      </c>
      <c r="E32" s="5">
        <v>0</v>
      </c>
      <c r="F32" s="5">
        <v>8728.9999999982119</v>
      </c>
    </row>
    <row r="33" spans="1:6" x14ac:dyDescent="0.25">
      <c r="A33" s="3" t="s">
        <v>66</v>
      </c>
      <c r="B33" t="s">
        <v>67</v>
      </c>
      <c r="C33" s="5">
        <v>32027689</v>
      </c>
      <c r="D33" s="5">
        <v>32000000</v>
      </c>
      <c r="E33" s="5">
        <v>32027689</v>
      </c>
      <c r="F33" s="5">
        <v>32000000</v>
      </c>
    </row>
    <row r="34" spans="1:6" x14ac:dyDescent="0.25">
      <c r="A34" s="3" t="s">
        <v>68</v>
      </c>
      <c r="B34" t="s">
        <v>69</v>
      </c>
      <c r="C34" s="5">
        <v>1373298593.7499924</v>
      </c>
      <c r="D34" s="5">
        <v>6071694229.8999996</v>
      </c>
      <c r="E34" s="5">
        <v>7225550828.1700001</v>
      </c>
      <c r="F34" s="5">
        <v>219441995.47999191</v>
      </c>
    </row>
    <row r="35" spans="1:6" x14ac:dyDescent="0.25">
      <c r="A35" s="3" t="s">
        <v>70</v>
      </c>
      <c r="B35" t="s">
        <v>71</v>
      </c>
      <c r="C35" s="5">
        <v>-124456852.85499763</v>
      </c>
      <c r="D35" s="5">
        <v>537479770.78000009</v>
      </c>
      <c r="E35" s="5">
        <v>5815897.2199999997</v>
      </c>
      <c r="F35" s="5">
        <v>407207020.70500243</v>
      </c>
    </row>
    <row r="36" spans="1:6" x14ac:dyDescent="0.25">
      <c r="A36" s="3" t="s">
        <v>72</v>
      </c>
      <c r="B36" t="s">
        <v>73</v>
      </c>
      <c r="C36" s="5">
        <v>-7.9999999999984084E-2</v>
      </c>
      <c r="D36" s="5">
        <v>0</v>
      </c>
      <c r="E36" s="5">
        <v>0</v>
      </c>
      <c r="F36" s="5">
        <v>-7.9999999999984084E-2</v>
      </c>
    </row>
    <row r="37" spans="1:6" x14ac:dyDescent="0.25">
      <c r="A37" s="3" t="s">
        <v>74</v>
      </c>
      <c r="B37" t="s">
        <v>75</v>
      </c>
      <c r="C37" s="5">
        <v>0</v>
      </c>
      <c r="D37" s="5">
        <v>0</v>
      </c>
      <c r="E37" s="5">
        <v>0</v>
      </c>
      <c r="F37" s="5">
        <v>0</v>
      </c>
    </row>
    <row r="38" spans="1:6" x14ac:dyDescent="0.25">
      <c r="A38" s="3" t="s">
        <v>76</v>
      </c>
      <c r="B38" t="s">
        <v>77</v>
      </c>
      <c r="C38" s="5">
        <v>351002.38000005484</v>
      </c>
      <c r="D38" s="5">
        <v>0</v>
      </c>
      <c r="E38" s="5">
        <v>0</v>
      </c>
      <c r="F38" s="5">
        <v>351002.38000005484</v>
      </c>
    </row>
    <row r="39" spans="1:6" x14ac:dyDescent="0.25">
      <c r="A39" s="3" t="s">
        <v>78</v>
      </c>
      <c r="B39" t="s">
        <v>79</v>
      </c>
      <c r="C39" s="5">
        <v>2.384185791015625E-7</v>
      </c>
      <c r="D39" s="5">
        <v>0</v>
      </c>
      <c r="E39" s="5">
        <v>0</v>
      </c>
      <c r="F39" s="5">
        <v>2.384185791015625E-7</v>
      </c>
    </row>
    <row r="40" spans="1:6" x14ac:dyDescent="0.25">
      <c r="A40" s="3" t="s">
        <v>80</v>
      </c>
      <c r="B40" t="s">
        <v>81</v>
      </c>
      <c r="C40" s="5">
        <v>-17072135.449999996</v>
      </c>
      <c r="D40" s="5">
        <v>8827198.3200000003</v>
      </c>
      <c r="E40" s="5">
        <v>0</v>
      </c>
      <c r="F40" s="5">
        <v>-8244937.1299999952</v>
      </c>
    </row>
    <row r="41" spans="1:6" x14ac:dyDescent="0.25">
      <c r="A41" s="3" t="s">
        <v>82</v>
      </c>
      <c r="B41" t="s">
        <v>83</v>
      </c>
      <c r="C41" s="5">
        <v>1242</v>
      </c>
      <c r="D41" s="5">
        <v>83106334.780000001</v>
      </c>
      <c r="E41" s="5">
        <v>0</v>
      </c>
      <c r="F41" s="5">
        <v>83107576.780000001</v>
      </c>
    </row>
    <row r="42" spans="1:6" x14ac:dyDescent="0.25">
      <c r="A42" s="3" t="s">
        <v>84</v>
      </c>
      <c r="B42" t="s">
        <v>85</v>
      </c>
      <c r="C42" s="5">
        <v>39347.989900000393</v>
      </c>
      <c r="D42" s="5">
        <v>0</v>
      </c>
      <c r="E42" s="5">
        <v>0</v>
      </c>
      <c r="F42" s="5">
        <v>39347.989900000393</v>
      </c>
    </row>
    <row r="43" spans="1:6" x14ac:dyDescent="0.25">
      <c r="A43" s="3" t="s">
        <v>86</v>
      </c>
      <c r="B43" t="s">
        <v>87</v>
      </c>
      <c r="C43" s="5">
        <v>574602070.57999992</v>
      </c>
      <c r="D43" s="5">
        <v>144380544.09</v>
      </c>
      <c r="E43" s="5">
        <v>694272.63</v>
      </c>
      <c r="F43" s="5">
        <v>718288342.03999996</v>
      </c>
    </row>
    <row r="44" spans="1:6" x14ac:dyDescent="0.25">
      <c r="A44" s="3" t="s">
        <v>88</v>
      </c>
      <c r="B44" t="s">
        <v>89</v>
      </c>
      <c r="C44" s="5">
        <v>23837288.679999992</v>
      </c>
      <c r="D44" s="5">
        <v>0</v>
      </c>
      <c r="E44" s="5">
        <v>0</v>
      </c>
      <c r="F44" s="5">
        <v>23837288.679999992</v>
      </c>
    </row>
    <row r="45" spans="1:6" x14ac:dyDescent="0.25">
      <c r="A45" s="3" t="s">
        <v>90</v>
      </c>
      <c r="B45" t="s">
        <v>91</v>
      </c>
      <c r="C45" s="5">
        <v>841679.24000000209</v>
      </c>
      <c r="D45" s="5">
        <v>0</v>
      </c>
      <c r="E45" s="5">
        <v>0</v>
      </c>
      <c r="F45" s="5">
        <v>841679.24000000209</v>
      </c>
    </row>
    <row r="46" spans="1:6" x14ac:dyDescent="0.25">
      <c r="A46" s="3" t="s">
        <v>92</v>
      </c>
      <c r="B46" t="s">
        <v>93</v>
      </c>
      <c r="C46" s="5">
        <v>27321853.329999998</v>
      </c>
      <c r="D46" s="5">
        <v>8698438.1199999992</v>
      </c>
      <c r="E46" s="5">
        <v>0</v>
      </c>
      <c r="F46" s="5">
        <v>36020291.449999996</v>
      </c>
    </row>
    <row r="47" spans="1:6" x14ac:dyDescent="0.25">
      <c r="A47" s="3" t="s">
        <v>94</v>
      </c>
      <c r="B47" t="s">
        <v>95</v>
      </c>
      <c r="C47" s="5">
        <v>3516700.59</v>
      </c>
      <c r="D47" s="5">
        <v>0</v>
      </c>
      <c r="E47" s="5">
        <v>0</v>
      </c>
      <c r="F47" s="5">
        <v>3516700.59</v>
      </c>
    </row>
    <row r="48" spans="1:6" x14ac:dyDescent="0.25">
      <c r="A48" s="3" t="s">
        <v>96</v>
      </c>
      <c r="B48" t="s">
        <v>97</v>
      </c>
      <c r="C48" s="5">
        <v>625319360.75999999</v>
      </c>
      <c r="D48" s="5">
        <v>77882761.670000002</v>
      </c>
      <c r="E48" s="5">
        <v>0</v>
      </c>
      <c r="F48" s="5">
        <v>703202122.42999995</v>
      </c>
    </row>
    <row r="49" spans="1:6" x14ac:dyDescent="0.25">
      <c r="A49" s="3" t="s">
        <v>98</v>
      </c>
      <c r="B49" t="s">
        <v>99</v>
      </c>
      <c r="C49" s="5">
        <v>86044206.63000001</v>
      </c>
      <c r="D49" s="5">
        <v>1302743.51</v>
      </c>
      <c r="E49" s="5">
        <v>0</v>
      </c>
      <c r="F49" s="5">
        <v>87346950.140000015</v>
      </c>
    </row>
    <row r="50" spans="1:6" x14ac:dyDescent="0.25">
      <c r="A50" s="3" t="s">
        <v>100</v>
      </c>
      <c r="B50" t="s">
        <v>101</v>
      </c>
      <c r="C50" s="5">
        <v>0</v>
      </c>
      <c r="D50" s="5">
        <v>0</v>
      </c>
      <c r="E50" s="5">
        <v>0</v>
      </c>
      <c r="F50" s="5">
        <v>0</v>
      </c>
    </row>
    <row r="51" spans="1:6" x14ac:dyDescent="0.25">
      <c r="A51" s="3" t="s">
        <v>102</v>
      </c>
      <c r="B51" t="s">
        <v>103</v>
      </c>
      <c r="C51" s="5">
        <v>0.18999999994412065</v>
      </c>
      <c r="D51" s="5">
        <v>4384800.9800000004</v>
      </c>
      <c r="E51" s="5">
        <v>0</v>
      </c>
      <c r="F51" s="5">
        <v>4384801.17</v>
      </c>
    </row>
    <row r="52" spans="1:6" x14ac:dyDescent="0.25">
      <c r="A52" s="3" t="s">
        <v>104</v>
      </c>
      <c r="B52" t="s">
        <v>105</v>
      </c>
      <c r="C52" s="5">
        <v>-0.33999999985098839</v>
      </c>
      <c r="D52" s="5">
        <v>2854346.52</v>
      </c>
      <c r="E52" s="5">
        <v>0</v>
      </c>
      <c r="F52" s="5">
        <v>2854346.18</v>
      </c>
    </row>
    <row r="53" spans="1:6" x14ac:dyDescent="0.25">
      <c r="A53" s="3" t="s">
        <v>106</v>
      </c>
      <c r="B53" t="s">
        <v>107</v>
      </c>
      <c r="C53" s="5">
        <v>-0.34000000000003183</v>
      </c>
      <c r="D53" s="5">
        <v>0</v>
      </c>
      <c r="E53" s="5">
        <v>0</v>
      </c>
      <c r="F53" s="5">
        <v>-0.34000000000003183</v>
      </c>
    </row>
    <row r="54" spans="1:6" x14ac:dyDescent="0.25">
      <c r="A54" s="3" t="s">
        <v>108</v>
      </c>
      <c r="B54" t="s">
        <v>109</v>
      </c>
      <c r="C54" s="5">
        <v>1.0000000009313226E-2</v>
      </c>
      <c r="D54" s="5">
        <v>0</v>
      </c>
      <c r="E54" s="5">
        <v>0</v>
      </c>
      <c r="F54" s="5">
        <v>1.0000000009313226E-2</v>
      </c>
    </row>
    <row r="55" spans="1:6" x14ac:dyDescent="0.25">
      <c r="A55" s="3" t="s">
        <v>110</v>
      </c>
      <c r="B55" t="s">
        <v>111</v>
      </c>
      <c r="C55" s="5">
        <v>-343868.58999991417</v>
      </c>
      <c r="D55" s="5">
        <v>61732711.039999999</v>
      </c>
      <c r="E55" s="5">
        <v>611408.55000000005</v>
      </c>
      <c r="F55" s="5">
        <v>60777433.900000088</v>
      </c>
    </row>
    <row r="56" spans="1:6" x14ac:dyDescent="0.25">
      <c r="A56" s="3" t="s">
        <v>112</v>
      </c>
      <c r="B56" t="s">
        <v>113</v>
      </c>
      <c r="C56" s="5">
        <v>59791.150000000373</v>
      </c>
      <c r="D56" s="5">
        <v>0</v>
      </c>
      <c r="E56" s="5">
        <v>0</v>
      </c>
      <c r="F56" s="5">
        <v>59791.150000000373</v>
      </c>
    </row>
    <row r="57" spans="1:6" x14ac:dyDescent="0.25">
      <c r="A57" s="3" t="s">
        <v>114</v>
      </c>
      <c r="B57" t="s">
        <v>115</v>
      </c>
      <c r="C57" s="5">
        <v>72554.179999999702</v>
      </c>
      <c r="D57" s="5">
        <v>321708.64</v>
      </c>
      <c r="E57" s="5">
        <v>0</v>
      </c>
      <c r="F57" s="5">
        <v>394262.81999999972</v>
      </c>
    </row>
    <row r="58" spans="1:6" x14ac:dyDescent="0.25">
      <c r="A58" s="3" t="s">
        <v>116</v>
      </c>
      <c r="B58" t="s">
        <v>117</v>
      </c>
      <c r="C58" s="5">
        <v>0.13999999999941792</v>
      </c>
      <c r="D58" s="5">
        <v>0</v>
      </c>
      <c r="E58" s="5">
        <v>0</v>
      </c>
      <c r="F58" s="5">
        <v>0.13999999999941792</v>
      </c>
    </row>
    <row r="59" spans="1:6" x14ac:dyDescent="0.25">
      <c r="A59" s="3" t="s">
        <v>118</v>
      </c>
      <c r="B59" t="s">
        <v>119</v>
      </c>
      <c r="C59" s="5">
        <v>-2027253.3200000003</v>
      </c>
      <c r="D59" s="5">
        <v>1058842.78</v>
      </c>
      <c r="E59" s="5">
        <v>191688.92</v>
      </c>
      <c r="F59" s="5">
        <v>-1160099.4600000002</v>
      </c>
    </row>
    <row r="60" spans="1:6" x14ac:dyDescent="0.25">
      <c r="A60" s="3" t="s">
        <v>120</v>
      </c>
      <c r="B60" t="s">
        <v>121</v>
      </c>
      <c r="C60" s="5">
        <v>32544874.900000036</v>
      </c>
      <c r="D60" s="5">
        <v>17612849.010000002</v>
      </c>
      <c r="E60" s="5">
        <v>0</v>
      </c>
      <c r="F60" s="5">
        <v>50157723.910000041</v>
      </c>
    </row>
    <row r="61" spans="1:6" x14ac:dyDescent="0.25">
      <c r="A61" s="3" t="s">
        <v>122</v>
      </c>
      <c r="B61" t="s">
        <v>123</v>
      </c>
      <c r="C61" s="5">
        <v>-18265377.100000009</v>
      </c>
      <c r="D61" s="5">
        <v>15594063.98</v>
      </c>
      <c r="E61" s="5">
        <v>0</v>
      </c>
      <c r="F61" s="5">
        <v>-2671313.1200000085</v>
      </c>
    </row>
    <row r="62" spans="1:6" x14ac:dyDescent="0.25">
      <c r="A62" s="3" t="s">
        <v>124</v>
      </c>
      <c r="B62" t="s">
        <v>125</v>
      </c>
      <c r="C62" s="5">
        <v>206869288.82999992</v>
      </c>
      <c r="D62" s="5">
        <v>0</v>
      </c>
      <c r="E62" s="5">
        <v>0</v>
      </c>
      <c r="F62" s="5">
        <v>206869288.82999992</v>
      </c>
    </row>
    <row r="63" spans="1:6" x14ac:dyDescent="0.25">
      <c r="A63" s="3" t="s">
        <v>126</v>
      </c>
      <c r="B63" t="s">
        <v>127</v>
      </c>
      <c r="C63" s="5">
        <v>-0.39000000001396984</v>
      </c>
      <c r="D63" s="5">
        <v>0</v>
      </c>
      <c r="E63" s="5">
        <v>0</v>
      </c>
      <c r="F63" s="5">
        <v>-0.39000000001396984</v>
      </c>
    </row>
    <row r="64" spans="1:6" x14ac:dyDescent="0.25">
      <c r="A64" s="3" t="s">
        <v>128</v>
      </c>
      <c r="B64" t="s">
        <v>129</v>
      </c>
      <c r="C64" s="5">
        <v>1452529484.4099998</v>
      </c>
      <c r="D64" s="5">
        <v>0</v>
      </c>
      <c r="E64" s="5">
        <v>0</v>
      </c>
      <c r="F64" s="5">
        <v>1452529484.4099998</v>
      </c>
    </row>
    <row r="65" spans="1:6" x14ac:dyDescent="0.25">
      <c r="A65" s="3" t="s">
        <v>130</v>
      </c>
      <c r="B65" t="s">
        <v>131</v>
      </c>
      <c r="C65" s="5">
        <v>0</v>
      </c>
      <c r="D65" s="5">
        <v>0</v>
      </c>
      <c r="E65" s="5">
        <v>0</v>
      </c>
      <c r="F65" s="5">
        <v>0</v>
      </c>
    </row>
    <row r="66" spans="1:6" x14ac:dyDescent="0.25">
      <c r="A66" s="3" t="s">
        <v>132</v>
      </c>
      <c r="B66" t="s">
        <v>133</v>
      </c>
      <c r="C66" s="5">
        <v>0</v>
      </c>
      <c r="D66" s="5">
        <v>0</v>
      </c>
      <c r="E66" s="5">
        <v>0</v>
      </c>
      <c r="F66" s="5">
        <v>0</v>
      </c>
    </row>
    <row r="67" spans="1:6" x14ac:dyDescent="0.25">
      <c r="A67" s="3" t="s">
        <v>134</v>
      </c>
      <c r="B67" t="s">
        <v>135</v>
      </c>
      <c r="C67" s="5">
        <v>2131093980</v>
      </c>
      <c r="D67" s="5">
        <v>0</v>
      </c>
      <c r="E67" s="5">
        <v>0</v>
      </c>
      <c r="F67" s="5">
        <v>2131093980</v>
      </c>
    </row>
    <row r="68" spans="1:6" x14ac:dyDescent="0.25">
      <c r="A68" s="3" t="s">
        <v>136</v>
      </c>
      <c r="B68" t="s">
        <v>137</v>
      </c>
      <c r="C68" s="5">
        <v>-1390000</v>
      </c>
      <c r="D68" s="5">
        <v>0</v>
      </c>
      <c r="E68" s="5">
        <v>0</v>
      </c>
      <c r="F68" s="5">
        <v>-1390000</v>
      </c>
    </row>
    <row r="69" spans="1:6" x14ac:dyDescent="0.25">
      <c r="A69" s="3" t="s">
        <v>138</v>
      </c>
      <c r="B69" t="s">
        <v>139</v>
      </c>
      <c r="C69" s="5">
        <v>0</v>
      </c>
      <c r="D69" s="5">
        <v>0</v>
      </c>
      <c r="E69" s="5">
        <v>140000000</v>
      </c>
      <c r="F69" s="5">
        <v>-140000000</v>
      </c>
    </row>
    <row r="70" spans="1:6" x14ac:dyDescent="0.25">
      <c r="A70" s="3" t="s">
        <v>140</v>
      </c>
      <c r="B70" t="s">
        <v>141</v>
      </c>
      <c r="C70" s="5">
        <v>-232500</v>
      </c>
      <c r="D70" s="5">
        <v>0</v>
      </c>
      <c r="E70" s="5">
        <v>0</v>
      </c>
      <c r="F70" s="5">
        <v>-232500</v>
      </c>
    </row>
    <row r="71" spans="1:6" x14ac:dyDescent="0.25">
      <c r="A71" s="3" t="s">
        <v>142</v>
      </c>
      <c r="B71" t="s">
        <v>143</v>
      </c>
      <c r="C71" s="5">
        <v>67907344</v>
      </c>
      <c r="D71" s="5">
        <v>15200000</v>
      </c>
      <c r="E71" s="5">
        <v>0</v>
      </c>
      <c r="F71" s="5">
        <v>83107344</v>
      </c>
    </row>
    <row r="72" spans="1:6" x14ac:dyDescent="0.25">
      <c r="A72" s="3" t="s">
        <v>144</v>
      </c>
      <c r="B72" t="s">
        <v>145</v>
      </c>
      <c r="C72" s="5">
        <v>-751157316.67000008</v>
      </c>
      <c r="D72" s="5">
        <v>0</v>
      </c>
      <c r="E72" s="5">
        <v>0</v>
      </c>
      <c r="F72" s="5">
        <v>-751157316.67000008</v>
      </c>
    </row>
    <row r="73" spans="1:6" x14ac:dyDescent="0.25">
      <c r="A73" s="3" t="s">
        <v>146</v>
      </c>
      <c r="B73" t="s">
        <v>147</v>
      </c>
      <c r="C73" s="5">
        <v>1164692</v>
      </c>
      <c r="D73" s="5">
        <v>951141.12</v>
      </c>
      <c r="E73" s="5">
        <v>0</v>
      </c>
      <c r="F73" s="5">
        <v>2115833.12</v>
      </c>
    </row>
    <row r="74" spans="1:6" x14ac:dyDescent="0.25">
      <c r="A74" s="3" t="s">
        <v>148</v>
      </c>
      <c r="B74" t="s">
        <v>149</v>
      </c>
      <c r="C74" s="5">
        <v>5514317.6999999993</v>
      </c>
      <c r="D74" s="5">
        <v>0</v>
      </c>
      <c r="E74" s="5">
        <v>0</v>
      </c>
      <c r="F74" s="5">
        <v>5514317.6999999993</v>
      </c>
    </row>
    <row r="75" spans="1:6" x14ac:dyDescent="0.25">
      <c r="A75" s="3" t="s">
        <v>150</v>
      </c>
      <c r="B75" t="s">
        <v>151</v>
      </c>
      <c r="C75" s="5">
        <v>45913530.439999998</v>
      </c>
      <c r="D75" s="5">
        <v>66282500.450000003</v>
      </c>
      <c r="E75" s="5">
        <v>0</v>
      </c>
      <c r="F75" s="5">
        <v>112196030.89</v>
      </c>
    </row>
    <row r="76" spans="1:6" x14ac:dyDescent="0.25">
      <c r="A76" s="3" t="s">
        <v>152</v>
      </c>
      <c r="B76" t="s">
        <v>153</v>
      </c>
      <c r="C76" s="5">
        <v>-364153591.12</v>
      </c>
      <c r="D76" s="5">
        <v>6808756.4299999997</v>
      </c>
      <c r="E76" s="5">
        <v>6808756.4299999997</v>
      </c>
      <c r="F76" s="5">
        <v>-364153591.12</v>
      </c>
    </row>
    <row r="77" spans="1:6" x14ac:dyDescent="0.25">
      <c r="A77" s="3" t="s">
        <v>154</v>
      </c>
      <c r="B77" t="s">
        <v>155</v>
      </c>
      <c r="C77" s="5">
        <v>982142298.40999603</v>
      </c>
      <c r="D77" s="5">
        <v>8907021934.3500004</v>
      </c>
      <c r="E77" s="5">
        <v>5417937865.4900007</v>
      </c>
      <c r="F77" s="5">
        <v>4471226367.2699957</v>
      </c>
    </row>
    <row r="78" spans="1:6" x14ac:dyDescent="0.25">
      <c r="A78" s="3" t="s">
        <v>156</v>
      </c>
      <c r="B78" t="s">
        <v>157</v>
      </c>
      <c r="C78" s="5">
        <v>340800000</v>
      </c>
      <c r="D78" s="5">
        <v>0</v>
      </c>
      <c r="E78" s="5">
        <v>0</v>
      </c>
      <c r="F78" s="5">
        <v>340800000</v>
      </c>
    </row>
    <row r="79" spans="1:6" x14ac:dyDescent="0.25">
      <c r="A79" s="3" t="s">
        <v>158</v>
      </c>
      <c r="B79" t="s">
        <v>159</v>
      </c>
      <c r="C79" s="5">
        <v>54842405.010000005</v>
      </c>
      <c r="D79" s="5">
        <v>1584768</v>
      </c>
      <c r="E79" s="5">
        <v>0</v>
      </c>
      <c r="F79" s="5">
        <v>56427173.010000005</v>
      </c>
    </row>
    <row r="80" spans="1:6" x14ac:dyDescent="0.25">
      <c r="A80" s="3" t="s">
        <v>160</v>
      </c>
      <c r="B80" t="s">
        <v>161</v>
      </c>
      <c r="C80" s="5">
        <v>0</v>
      </c>
      <c r="D80" s="5">
        <v>0</v>
      </c>
      <c r="E80" s="5">
        <v>0</v>
      </c>
      <c r="F80" s="5">
        <v>0</v>
      </c>
    </row>
    <row r="81" spans="1:6" x14ac:dyDescent="0.25">
      <c r="A81" s="3" t="s">
        <v>162</v>
      </c>
      <c r="B81" t="s">
        <v>163</v>
      </c>
      <c r="C81" s="5">
        <v>428432698.03721404</v>
      </c>
      <c r="D81" s="5">
        <v>185511744</v>
      </c>
      <c r="E81" s="5">
        <v>0</v>
      </c>
      <c r="F81" s="5">
        <v>613944442.03721404</v>
      </c>
    </row>
    <row r="82" spans="1:6" x14ac:dyDescent="0.25">
      <c r="A82" s="3" t="s">
        <v>164</v>
      </c>
      <c r="B82" t="s">
        <v>165</v>
      </c>
      <c r="C82" s="5">
        <v>0</v>
      </c>
      <c r="D82" s="5">
        <v>0</v>
      </c>
      <c r="E82" s="5">
        <v>0</v>
      </c>
      <c r="F82" s="5">
        <v>0</v>
      </c>
    </row>
    <row r="83" spans="1:6" x14ac:dyDescent="0.25">
      <c r="A83" s="3" t="s">
        <v>166</v>
      </c>
      <c r="B83" t="s">
        <v>167</v>
      </c>
      <c r="C83" s="5">
        <v>0</v>
      </c>
      <c r="D83" s="5">
        <v>0</v>
      </c>
      <c r="E83" s="5">
        <v>0</v>
      </c>
      <c r="F83" s="5">
        <v>0</v>
      </c>
    </row>
    <row r="84" spans="1:6" x14ac:dyDescent="0.25">
      <c r="A84" s="3" t="s">
        <v>168</v>
      </c>
      <c r="B84" t="s">
        <v>169</v>
      </c>
      <c r="C84" s="5">
        <v>-1.9516050815582275E-3</v>
      </c>
      <c r="D84" s="5">
        <v>0</v>
      </c>
      <c r="E84" s="5">
        <v>0</v>
      </c>
      <c r="F84" s="5">
        <v>-1.9516050815582275E-3</v>
      </c>
    </row>
    <row r="85" spans="1:6" x14ac:dyDescent="0.25">
      <c r="A85" s="3" t="s">
        <v>170</v>
      </c>
      <c r="B85" t="s">
        <v>171</v>
      </c>
      <c r="C85" s="5">
        <v>0</v>
      </c>
      <c r="D85" s="5">
        <v>0</v>
      </c>
      <c r="E85" s="5">
        <v>0</v>
      </c>
      <c r="F85" s="5">
        <v>0</v>
      </c>
    </row>
    <row r="86" spans="1:6" x14ac:dyDescent="0.25">
      <c r="A86" s="3" t="s">
        <v>172</v>
      </c>
      <c r="B86" t="s">
        <v>173</v>
      </c>
      <c r="C86" s="5">
        <v>0</v>
      </c>
      <c r="D86" s="5">
        <v>0</v>
      </c>
      <c r="E86" s="5">
        <v>0</v>
      </c>
      <c r="F86" s="5">
        <v>0</v>
      </c>
    </row>
    <row r="87" spans="1:6" x14ac:dyDescent="0.25">
      <c r="A87" s="3" t="s">
        <v>174</v>
      </c>
      <c r="B87" t="s">
        <v>175</v>
      </c>
      <c r="C87" s="5">
        <v>2685741425.9987602</v>
      </c>
      <c r="D87" s="5">
        <v>0</v>
      </c>
      <c r="E87" s="5">
        <v>0</v>
      </c>
      <c r="F87" s="5">
        <v>2685741425.9987602</v>
      </c>
    </row>
    <row r="88" spans="1:6" x14ac:dyDescent="0.25">
      <c r="A88" s="3" t="s">
        <v>176</v>
      </c>
      <c r="B88" t="s">
        <v>177</v>
      </c>
      <c r="C88" s="5">
        <v>12011000000.004158</v>
      </c>
      <c r="D88" s="5">
        <v>1222658700.52</v>
      </c>
      <c r="E88" s="5">
        <v>0</v>
      </c>
      <c r="F88" s="5">
        <v>13233658700.524158</v>
      </c>
    </row>
    <row r="89" spans="1:6" x14ac:dyDescent="0.25">
      <c r="A89" s="3" t="s">
        <v>178</v>
      </c>
      <c r="B89" t="s">
        <v>179</v>
      </c>
      <c r="C89" s="5">
        <v>0</v>
      </c>
      <c r="D89" s="5">
        <v>0</v>
      </c>
      <c r="E89" s="5">
        <v>0</v>
      </c>
      <c r="F89" s="5">
        <v>0</v>
      </c>
    </row>
    <row r="90" spans="1:6" x14ac:dyDescent="0.25">
      <c r="A90" s="3" t="s">
        <v>180</v>
      </c>
      <c r="B90" t="s">
        <v>181</v>
      </c>
      <c r="C90" s="5">
        <v>211818663.19999999</v>
      </c>
      <c r="D90" s="5">
        <v>0</v>
      </c>
      <c r="E90" s="5">
        <v>0</v>
      </c>
      <c r="F90" s="5">
        <v>211818663.19999999</v>
      </c>
    </row>
    <row r="91" spans="1:6" x14ac:dyDescent="0.25">
      <c r="A91" s="3" t="s">
        <v>182</v>
      </c>
      <c r="B91" t="s">
        <v>183</v>
      </c>
      <c r="C91" s="5">
        <v>0</v>
      </c>
      <c r="D91" s="5">
        <v>0</v>
      </c>
      <c r="E91" s="5">
        <v>0</v>
      </c>
      <c r="F91" s="5">
        <v>0</v>
      </c>
    </row>
    <row r="92" spans="1:6" x14ac:dyDescent="0.25">
      <c r="A92" s="3" t="s">
        <v>184</v>
      </c>
      <c r="B92" t="s">
        <v>185</v>
      </c>
      <c r="C92" s="5">
        <v>0</v>
      </c>
      <c r="D92" s="5">
        <v>0</v>
      </c>
      <c r="E92" s="5">
        <v>0</v>
      </c>
      <c r="F92" s="5">
        <v>0</v>
      </c>
    </row>
    <row r="93" spans="1:6" x14ac:dyDescent="0.25">
      <c r="A93" s="3" t="s">
        <v>186</v>
      </c>
      <c r="B93" t="s">
        <v>187</v>
      </c>
      <c r="C93" s="5">
        <v>0</v>
      </c>
      <c r="D93" s="5">
        <v>0</v>
      </c>
      <c r="E93" s="5">
        <v>0</v>
      </c>
      <c r="F93" s="5">
        <v>0</v>
      </c>
    </row>
    <row r="94" spans="1:6" x14ac:dyDescent="0.25">
      <c r="A94" s="3" t="s">
        <v>188</v>
      </c>
      <c r="B94" t="s">
        <v>189</v>
      </c>
      <c r="C94" s="5">
        <v>0</v>
      </c>
      <c r="D94" s="5">
        <v>0</v>
      </c>
      <c r="E94" s="5">
        <v>0</v>
      </c>
      <c r="F94" s="5">
        <v>0</v>
      </c>
    </row>
    <row r="95" spans="1:6" x14ac:dyDescent="0.25">
      <c r="A95" s="3" t="s">
        <v>190</v>
      </c>
      <c r="B95" t="s">
        <v>191</v>
      </c>
      <c r="C95" s="5">
        <v>0</v>
      </c>
      <c r="D95" s="5">
        <v>0</v>
      </c>
      <c r="E95" s="5">
        <v>0</v>
      </c>
      <c r="F95" s="5">
        <v>0</v>
      </c>
    </row>
    <row r="96" spans="1:6" x14ac:dyDescent="0.25">
      <c r="A96" s="3" t="s">
        <v>192</v>
      </c>
      <c r="B96" t="s">
        <v>193</v>
      </c>
      <c r="C96" s="5">
        <v>-1.999999862164259E-3</v>
      </c>
      <c r="D96" s="5">
        <v>0</v>
      </c>
      <c r="E96" s="5">
        <v>0</v>
      </c>
      <c r="F96" s="5">
        <v>-1.999999862164259E-3</v>
      </c>
    </row>
    <row r="97" spans="1:6" x14ac:dyDescent="0.25">
      <c r="A97" s="3" t="s">
        <v>194</v>
      </c>
      <c r="B97" t="s">
        <v>195</v>
      </c>
      <c r="C97" s="5">
        <v>65374858.105570406</v>
      </c>
      <c r="D97" s="5">
        <v>0</v>
      </c>
      <c r="E97" s="5">
        <v>0</v>
      </c>
      <c r="F97" s="5">
        <v>65374858.105570406</v>
      </c>
    </row>
    <row r="98" spans="1:6" x14ac:dyDescent="0.25">
      <c r="A98" s="3" t="s">
        <v>196</v>
      </c>
      <c r="B98" t="s">
        <v>197</v>
      </c>
      <c r="C98" s="5">
        <v>1614573325.0375016</v>
      </c>
      <c r="D98" s="5">
        <v>0</v>
      </c>
      <c r="E98" s="5">
        <v>0</v>
      </c>
      <c r="F98" s="5">
        <v>1614573325.0375016</v>
      </c>
    </row>
    <row r="99" spans="1:6" x14ac:dyDescent="0.25">
      <c r="A99" s="3" t="s">
        <v>198</v>
      </c>
      <c r="B99" t="s">
        <v>199</v>
      </c>
      <c r="C99" s="5">
        <v>973121540.47297859</v>
      </c>
      <c r="D99" s="5">
        <v>0</v>
      </c>
      <c r="E99" s="5">
        <v>0</v>
      </c>
      <c r="F99" s="5">
        <v>973121540.47297859</v>
      </c>
    </row>
    <row r="100" spans="1:6" x14ac:dyDescent="0.25">
      <c r="A100" s="3" t="s">
        <v>200</v>
      </c>
      <c r="B100" t="s">
        <v>201</v>
      </c>
      <c r="C100" s="5">
        <v>1998204480.3896</v>
      </c>
      <c r="D100" s="5">
        <v>0</v>
      </c>
      <c r="E100" s="5">
        <v>0</v>
      </c>
      <c r="F100" s="5">
        <v>1998204480.3896</v>
      </c>
    </row>
    <row r="101" spans="1:6" x14ac:dyDescent="0.25">
      <c r="A101" s="3" t="s">
        <v>202</v>
      </c>
      <c r="B101" t="s">
        <v>203</v>
      </c>
      <c r="C101" s="5">
        <v>15323035304.35116</v>
      </c>
      <c r="D101" s="5">
        <v>0</v>
      </c>
      <c r="E101" s="5">
        <v>0</v>
      </c>
      <c r="F101" s="5">
        <v>15323035304.35116</v>
      </c>
    </row>
    <row r="102" spans="1:6" x14ac:dyDescent="0.25">
      <c r="A102" s="3" t="s">
        <v>204</v>
      </c>
      <c r="B102" t="s">
        <v>205</v>
      </c>
      <c r="C102" s="5">
        <v>0</v>
      </c>
      <c r="D102" s="5">
        <v>0</v>
      </c>
      <c r="E102" s="5">
        <v>0</v>
      </c>
      <c r="F102" s="5">
        <v>0</v>
      </c>
    </row>
    <row r="103" spans="1:6" x14ac:dyDescent="0.25">
      <c r="A103" s="3" t="s">
        <v>206</v>
      </c>
      <c r="B103" t="s">
        <v>207</v>
      </c>
      <c r="C103" s="5">
        <v>1764919772.410769</v>
      </c>
      <c r="D103" s="5">
        <v>0</v>
      </c>
      <c r="E103" s="5">
        <v>0</v>
      </c>
      <c r="F103" s="5">
        <v>1764919772.410769</v>
      </c>
    </row>
    <row r="104" spans="1:6" x14ac:dyDescent="0.25">
      <c r="A104" s="3" t="s">
        <v>208</v>
      </c>
      <c r="B104" t="s">
        <v>209</v>
      </c>
      <c r="C104" s="5">
        <v>16496443.864077302</v>
      </c>
      <c r="D104" s="5">
        <v>0</v>
      </c>
      <c r="E104" s="5">
        <v>0</v>
      </c>
      <c r="F104" s="5">
        <v>16496443.864077302</v>
      </c>
    </row>
    <row r="105" spans="1:6" x14ac:dyDescent="0.25">
      <c r="A105" s="3" t="s">
        <v>210</v>
      </c>
      <c r="B105" t="s">
        <v>211</v>
      </c>
      <c r="C105" s="5">
        <v>374437885.76586801</v>
      </c>
      <c r="D105" s="5">
        <v>0</v>
      </c>
      <c r="E105" s="5">
        <v>0</v>
      </c>
      <c r="F105" s="5">
        <v>374437885.76586801</v>
      </c>
    </row>
    <row r="106" spans="1:6" x14ac:dyDescent="0.25">
      <c r="A106" s="3" t="s">
        <v>212</v>
      </c>
      <c r="B106" t="s">
        <v>213</v>
      </c>
      <c r="C106" s="5">
        <v>-773099552.62317812</v>
      </c>
      <c r="D106" s="5">
        <v>0</v>
      </c>
      <c r="E106" s="5">
        <v>0</v>
      </c>
      <c r="F106" s="5">
        <v>-773099552.62317812</v>
      </c>
    </row>
    <row r="107" spans="1:6" x14ac:dyDescent="0.25">
      <c r="A107" s="3" t="s">
        <v>214</v>
      </c>
      <c r="B107" t="s">
        <v>215</v>
      </c>
      <c r="C107" s="5">
        <v>-667309992.30131721</v>
      </c>
      <c r="D107" s="5">
        <v>0</v>
      </c>
      <c r="E107" s="5">
        <v>0</v>
      </c>
      <c r="F107" s="5">
        <v>-667309992.30131721</v>
      </c>
    </row>
    <row r="108" spans="1:6" x14ac:dyDescent="0.25">
      <c r="A108" s="3" t="s">
        <v>216</v>
      </c>
      <c r="B108" t="s">
        <v>217</v>
      </c>
      <c r="C108" s="5">
        <v>-16496443.864077298</v>
      </c>
      <c r="D108" s="5">
        <v>0</v>
      </c>
      <c r="E108" s="5">
        <v>0</v>
      </c>
      <c r="F108" s="5">
        <v>-16496443.864077298</v>
      </c>
    </row>
    <row r="109" spans="1:6" x14ac:dyDescent="0.25">
      <c r="A109" s="3" t="s">
        <v>218</v>
      </c>
      <c r="B109" t="s">
        <v>219</v>
      </c>
      <c r="C109" s="5">
        <v>-314427978.72883099</v>
      </c>
      <c r="D109" s="5">
        <v>0</v>
      </c>
      <c r="E109" s="5">
        <v>0</v>
      </c>
      <c r="F109" s="5">
        <v>-314427978.72883099</v>
      </c>
    </row>
    <row r="110" spans="1:6" x14ac:dyDescent="0.25">
      <c r="A110" s="3" t="s">
        <v>220</v>
      </c>
      <c r="B110" t="s">
        <v>221</v>
      </c>
      <c r="C110" s="5">
        <v>-10236423589.30559</v>
      </c>
      <c r="D110" s="5">
        <v>0</v>
      </c>
      <c r="E110" s="5">
        <v>0</v>
      </c>
      <c r="F110" s="5">
        <v>-10236423589.30559</v>
      </c>
    </row>
    <row r="111" spans="1:6" x14ac:dyDescent="0.25">
      <c r="A111" s="3" t="s">
        <v>222</v>
      </c>
      <c r="B111" t="s">
        <v>223</v>
      </c>
      <c r="C111" s="5">
        <v>-420562552.38543296</v>
      </c>
      <c r="D111" s="5">
        <v>0</v>
      </c>
      <c r="E111" s="5">
        <v>0</v>
      </c>
      <c r="F111" s="5">
        <v>-420562552.38543296</v>
      </c>
    </row>
    <row r="112" spans="1:6" x14ac:dyDescent="0.25">
      <c r="A112" s="3" t="s">
        <v>224</v>
      </c>
      <c r="B112" t="s">
        <v>225</v>
      </c>
      <c r="C112" s="5">
        <v>473741748.83403504</v>
      </c>
      <c r="D112" s="5">
        <v>0</v>
      </c>
      <c r="E112" s="5">
        <v>0</v>
      </c>
      <c r="F112" s="5">
        <v>473741748.83403504</v>
      </c>
    </row>
    <row r="113" spans="1:6" x14ac:dyDescent="0.25">
      <c r="A113" s="3" t="s">
        <v>226</v>
      </c>
      <c r="B113" t="s">
        <v>227</v>
      </c>
      <c r="C113" s="5">
        <v>-94748349.813403517</v>
      </c>
      <c r="D113" s="5">
        <v>0</v>
      </c>
      <c r="E113" s="5">
        <v>0</v>
      </c>
      <c r="F113" s="5">
        <v>-94748349.813403517</v>
      </c>
    </row>
    <row r="114" spans="1:6" x14ac:dyDescent="0.25">
      <c r="A114" s="3" t="s">
        <v>228</v>
      </c>
      <c r="B114" t="s">
        <v>229</v>
      </c>
      <c r="C114" s="5">
        <v>0</v>
      </c>
      <c r="D114" s="5">
        <v>0</v>
      </c>
      <c r="E114" s="5">
        <v>0</v>
      </c>
      <c r="F114" s="5">
        <v>0</v>
      </c>
    </row>
    <row r="115" spans="1:6" x14ac:dyDescent="0.25">
      <c r="A115" s="3" t="s">
        <v>230</v>
      </c>
      <c r="B115" t="s">
        <v>231</v>
      </c>
      <c r="C115" s="5">
        <v>0</v>
      </c>
      <c r="D115" s="5">
        <v>0</v>
      </c>
      <c r="E115" s="5">
        <v>917217629.60000002</v>
      </c>
      <c r="F115" s="5">
        <v>-917217629.60000002</v>
      </c>
    </row>
    <row r="116" spans="1:6" x14ac:dyDescent="0.25">
      <c r="A116" s="3" t="s">
        <v>232</v>
      </c>
      <c r="B116" t="s">
        <v>233</v>
      </c>
      <c r="C116" s="5">
        <v>894645230.00295508</v>
      </c>
      <c r="D116" s="5">
        <v>0</v>
      </c>
      <c r="E116" s="5">
        <v>0</v>
      </c>
      <c r="F116" s="5">
        <v>894645230.00295508</v>
      </c>
    </row>
    <row r="117" spans="1:6" x14ac:dyDescent="0.25">
      <c r="A117" s="3" t="s">
        <v>234</v>
      </c>
      <c r="B117" t="s">
        <v>235</v>
      </c>
      <c r="C117" s="5">
        <v>-249291417</v>
      </c>
      <c r="D117" s="5">
        <v>0</v>
      </c>
      <c r="E117" s="5">
        <v>0</v>
      </c>
      <c r="F117" s="5">
        <v>-249291417</v>
      </c>
    </row>
    <row r="118" spans="1:6" x14ac:dyDescent="0.25">
      <c r="A118" s="3" t="s">
        <v>236</v>
      </c>
      <c r="B118" t="s">
        <v>237</v>
      </c>
      <c r="C118" s="5">
        <v>2858782539.4008026</v>
      </c>
      <c r="D118" s="5">
        <v>3307490021.8700004</v>
      </c>
      <c r="E118" s="5">
        <v>2877554870.3300004</v>
      </c>
      <c r="F118" s="5">
        <v>3288717690.9408031</v>
      </c>
    </row>
    <row r="119" spans="1:6" x14ac:dyDescent="0.25">
      <c r="A119" s="3" t="s">
        <v>238</v>
      </c>
      <c r="B119" t="s">
        <v>239</v>
      </c>
      <c r="C119" s="5">
        <v>0</v>
      </c>
      <c r="D119" s="5">
        <v>0</v>
      </c>
      <c r="E119" s="5">
        <v>0</v>
      </c>
      <c r="F119" s="5">
        <v>0</v>
      </c>
    </row>
    <row r="120" spans="1:6" x14ac:dyDescent="0.25">
      <c r="A120" s="3" t="s">
        <v>240</v>
      </c>
      <c r="B120" t="s">
        <v>241</v>
      </c>
      <c r="C120" s="5">
        <v>0</v>
      </c>
      <c r="D120" s="5">
        <v>0</v>
      </c>
      <c r="E120" s="5">
        <v>220800000</v>
      </c>
      <c r="F120" s="5">
        <v>-220800000</v>
      </c>
    </row>
    <row r="121" spans="1:6" x14ac:dyDescent="0.25">
      <c r="A121" s="3" t="s">
        <v>242</v>
      </c>
      <c r="B121" t="s">
        <v>243</v>
      </c>
      <c r="C121" s="5">
        <v>0</v>
      </c>
      <c r="D121" s="5">
        <v>0</v>
      </c>
      <c r="E121" s="5">
        <v>0</v>
      </c>
      <c r="F121" s="5">
        <v>0</v>
      </c>
    </row>
    <row r="122" spans="1:6" x14ac:dyDescent="0.25">
      <c r="A122" s="3" t="s">
        <v>244</v>
      </c>
      <c r="B122" t="s">
        <v>245</v>
      </c>
      <c r="C122" s="5">
        <v>0</v>
      </c>
      <c r="D122" s="5">
        <v>0</v>
      </c>
      <c r="E122" s="5">
        <v>0</v>
      </c>
      <c r="F122" s="5">
        <v>0</v>
      </c>
    </row>
    <row r="123" spans="1:6" x14ac:dyDescent="0.25">
      <c r="A123" s="3" t="s">
        <v>246</v>
      </c>
      <c r="B123" t="s">
        <v>247</v>
      </c>
      <c r="C123" s="5">
        <v>-2315027059.7200003</v>
      </c>
      <c r="D123" s="5">
        <v>2497001606.2399998</v>
      </c>
      <c r="E123" s="5">
        <v>3821460182.3300004</v>
      </c>
      <c r="F123" s="5">
        <v>-3639485635.8100009</v>
      </c>
    </row>
    <row r="124" spans="1:6" x14ac:dyDescent="0.25">
      <c r="A124" s="3" t="s">
        <v>248</v>
      </c>
      <c r="B124" t="s">
        <v>249</v>
      </c>
      <c r="C124" s="5">
        <v>-5856579265.3500023</v>
      </c>
      <c r="D124" s="5">
        <v>4120496006.79</v>
      </c>
      <c r="E124" s="5">
        <v>5816985751.9800005</v>
      </c>
      <c r="F124" s="5">
        <v>-7553069010.5400028</v>
      </c>
    </row>
    <row r="125" spans="1:6" x14ac:dyDescent="0.25">
      <c r="A125" s="3" t="s">
        <v>250</v>
      </c>
      <c r="B125" t="s">
        <v>251</v>
      </c>
      <c r="C125" s="5">
        <v>0</v>
      </c>
      <c r="D125" s="5">
        <v>137469162.84999999</v>
      </c>
      <c r="E125" s="5">
        <v>1140284474.74</v>
      </c>
      <c r="F125" s="5">
        <v>-1002815311.89</v>
      </c>
    </row>
    <row r="126" spans="1:6" x14ac:dyDescent="0.25">
      <c r="A126" s="3" t="s">
        <v>252</v>
      </c>
      <c r="B126" t="s">
        <v>253</v>
      </c>
      <c r="C126" s="5">
        <v>-595574259.58000004</v>
      </c>
      <c r="D126" s="5">
        <v>0</v>
      </c>
      <c r="E126" s="5">
        <v>0</v>
      </c>
      <c r="F126" s="5">
        <v>-595574259.58000004</v>
      </c>
    </row>
    <row r="127" spans="1:6" x14ac:dyDescent="0.25">
      <c r="A127" s="3" t="s">
        <v>254</v>
      </c>
      <c r="B127" t="s">
        <v>255</v>
      </c>
      <c r="C127" s="5">
        <v>-238934042.19999999</v>
      </c>
      <c r="D127" s="5">
        <v>98521987.530000001</v>
      </c>
      <c r="E127" s="5">
        <v>88685280.209999993</v>
      </c>
      <c r="F127" s="5">
        <v>-229097334.88</v>
      </c>
    </row>
    <row r="128" spans="1:6" x14ac:dyDescent="0.25">
      <c r="A128" s="3" t="s">
        <v>256</v>
      </c>
      <c r="B128" t="s">
        <v>257</v>
      </c>
      <c r="C128" s="5">
        <v>0</v>
      </c>
      <c r="D128" s="5">
        <v>0</v>
      </c>
      <c r="E128" s="5">
        <v>0</v>
      </c>
      <c r="F128" s="5">
        <v>0</v>
      </c>
    </row>
    <row r="129" spans="1:6" x14ac:dyDescent="0.25">
      <c r="A129" s="3" t="s">
        <v>258</v>
      </c>
      <c r="B129" t="s">
        <v>259</v>
      </c>
      <c r="C129" s="5">
        <v>255150.4700000002</v>
      </c>
      <c r="D129" s="5">
        <v>0</v>
      </c>
      <c r="E129" s="5">
        <v>0</v>
      </c>
      <c r="F129" s="5">
        <v>255150.4700000002</v>
      </c>
    </row>
    <row r="130" spans="1:6" x14ac:dyDescent="0.25">
      <c r="A130" s="3" t="s">
        <v>260</v>
      </c>
      <c r="B130" t="s">
        <v>261</v>
      </c>
      <c r="C130" s="5">
        <v>10711789.630000001</v>
      </c>
      <c r="D130" s="5">
        <v>5291215.68</v>
      </c>
      <c r="E130" s="5">
        <v>0</v>
      </c>
      <c r="F130" s="5">
        <v>16003005.310000001</v>
      </c>
    </row>
    <row r="131" spans="1:6" x14ac:dyDescent="0.25">
      <c r="A131" s="3" t="s">
        <v>262</v>
      </c>
      <c r="B131" t="s">
        <v>263</v>
      </c>
      <c r="C131" s="5">
        <v>-439573.33</v>
      </c>
      <c r="D131" s="5">
        <v>19904254.690000001</v>
      </c>
      <c r="E131" s="5">
        <v>2363824.98</v>
      </c>
      <c r="F131" s="5">
        <v>17100856.380000003</v>
      </c>
    </row>
    <row r="132" spans="1:6" x14ac:dyDescent="0.25">
      <c r="A132" s="3" t="s">
        <v>264</v>
      </c>
      <c r="B132" t="s">
        <v>265</v>
      </c>
      <c r="C132" s="5">
        <v>0</v>
      </c>
      <c r="D132" s="5">
        <v>0</v>
      </c>
      <c r="E132" s="5">
        <v>0</v>
      </c>
      <c r="F132" s="5">
        <v>0</v>
      </c>
    </row>
    <row r="133" spans="1:6" x14ac:dyDescent="0.25">
      <c r="A133" s="3" t="s">
        <v>266</v>
      </c>
      <c r="B133" t="s">
        <v>267</v>
      </c>
      <c r="C133" s="5">
        <v>4505390378.0364742</v>
      </c>
      <c r="D133" s="5">
        <v>1126628787.6700001</v>
      </c>
      <c r="E133" s="5">
        <v>99750064.700000003</v>
      </c>
      <c r="F133" s="5">
        <v>5532269101.0064745</v>
      </c>
    </row>
    <row r="134" spans="1:6" x14ac:dyDescent="0.25">
      <c r="A134" s="3" t="s">
        <v>268</v>
      </c>
      <c r="B134" t="s">
        <v>269</v>
      </c>
      <c r="C134" s="5">
        <v>0</v>
      </c>
      <c r="D134" s="5">
        <v>0</v>
      </c>
      <c r="E134" s="5">
        <v>0</v>
      </c>
      <c r="F134" s="5">
        <v>0</v>
      </c>
    </row>
    <row r="135" spans="1:6" x14ac:dyDescent="0.25">
      <c r="A135" s="3" t="s">
        <v>270</v>
      </c>
      <c r="B135" t="s">
        <v>271</v>
      </c>
      <c r="C135" s="5">
        <v>4.5710001140832901E-3</v>
      </c>
      <c r="D135" s="5">
        <v>0</v>
      </c>
      <c r="E135" s="5">
        <v>0</v>
      </c>
      <c r="F135" s="5">
        <v>4.5710001140832901E-3</v>
      </c>
    </row>
    <row r="136" spans="1:6" x14ac:dyDescent="0.25">
      <c r="A136" s="3" t="s">
        <v>272</v>
      </c>
      <c r="B136" t="s">
        <v>273</v>
      </c>
      <c r="C136" s="5">
        <v>-152588</v>
      </c>
      <c r="D136" s="5">
        <v>0</v>
      </c>
      <c r="E136" s="5">
        <v>0</v>
      </c>
      <c r="F136" s="5">
        <v>-152588</v>
      </c>
    </row>
    <row r="137" spans="1:6" x14ac:dyDescent="0.25">
      <c r="A137" s="3" t="s">
        <v>274</v>
      </c>
      <c r="B137" t="s">
        <v>275</v>
      </c>
      <c r="C137" s="5">
        <v>-4825851.5900000036</v>
      </c>
      <c r="D137" s="5">
        <v>1229300.26</v>
      </c>
      <c r="E137" s="5">
        <v>0</v>
      </c>
      <c r="F137" s="5">
        <v>-3596551.3300000038</v>
      </c>
    </row>
    <row r="138" spans="1:6" x14ac:dyDescent="0.25">
      <c r="A138" s="3" t="s">
        <v>276</v>
      </c>
      <c r="B138" t="s">
        <v>277</v>
      </c>
      <c r="C138" s="5">
        <v>-5726679.7899999991</v>
      </c>
      <c r="D138" s="5">
        <v>0</v>
      </c>
      <c r="E138" s="5">
        <v>0</v>
      </c>
      <c r="F138" s="5">
        <v>-5726679.7899999991</v>
      </c>
    </row>
    <row r="139" spans="1:6" x14ac:dyDescent="0.25">
      <c r="A139" s="3" t="s">
        <v>278</v>
      </c>
      <c r="B139" t="s">
        <v>279</v>
      </c>
      <c r="C139" s="5">
        <v>-1125439.4499999993</v>
      </c>
      <c r="D139" s="5">
        <v>156484571.37</v>
      </c>
      <c r="E139" s="5">
        <v>0</v>
      </c>
      <c r="F139" s="5">
        <v>155359131.92000002</v>
      </c>
    </row>
    <row r="140" spans="1:6" x14ac:dyDescent="0.25">
      <c r="A140" s="3" t="s">
        <v>280</v>
      </c>
      <c r="B140" t="s">
        <v>281</v>
      </c>
      <c r="C140" s="5">
        <v>-8091.7200000000885</v>
      </c>
      <c r="D140" s="5">
        <v>4016.16</v>
      </c>
      <c r="E140" s="5">
        <v>0</v>
      </c>
      <c r="F140" s="5">
        <v>-4075.5600000000886</v>
      </c>
    </row>
    <row r="141" spans="1:6" x14ac:dyDescent="0.25">
      <c r="A141" s="3" t="s">
        <v>282</v>
      </c>
      <c r="B141" t="s">
        <v>283</v>
      </c>
      <c r="C141" s="5">
        <v>22500000</v>
      </c>
      <c r="D141" s="5">
        <v>16426766.02</v>
      </c>
      <c r="E141" s="5">
        <v>0</v>
      </c>
      <c r="F141" s="5">
        <v>38926766.019999996</v>
      </c>
    </row>
    <row r="142" spans="1:6" x14ac:dyDescent="0.25">
      <c r="A142" s="3" t="s">
        <v>284</v>
      </c>
      <c r="B142" t="s">
        <v>285</v>
      </c>
      <c r="C142" s="5">
        <v>3906357</v>
      </c>
      <c r="D142" s="5">
        <v>2410638.17</v>
      </c>
      <c r="E142" s="5">
        <v>0</v>
      </c>
      <c r="F142" s="5">
        <v>6316995.1699999999</v>
      </c>
    </row>
    <row r="143" spans="1:6" x14ac:dyDescent="0.25">
      <c r="A143" s="3" t="s">
        <v>286</v>
      </c>
      <c r="B143" t="s">
        <v>287</v>
      </c>
      <c r="C143" s="5">
        <v>2528651</v>
      </c>
      <c r="D143" s="5">
        <v>3171338.05</v>
      </c>
      <c r="E143" s="5">
        <v>0</v>
      </c>
      <c r="F143" s="5">
        <v>5699989.0499999998</v>
      </c>
    </row>
    <row r="144" spans="1:6" x14ac:dyDescent="0.25">
      <c r="A144" s="3" t="s">
        <v>288</v>
      </c>
      <c r="B144" t="s">
        <v>289</v>
      </c>
      <c r="C144" s="5">
        <v>40329187.193524994</v>
      </c>
      <c r="D144" s="5">
        <v>13918527.970000001</v>
      </c>
      <c r="E144" s="5">
        <v>0</v>
      </c>
      <c r="F144" s="5">
        <v>54247715.163524993</v>
      </c>
    </row>
    <row r="145" spans="1:6" x14ac:dyDescent="0.25">
      <c r="A145" s="3" t="s">
        <v>290</v>
      </c>
      <c r="B145" t="s">
        <v>291</v>
      </c>
      <c r="C145" s="5">
        <v>-48650</v>
      </c>
      <c r="D145" s="5">
        <v>0</v>
      </c>
      <c r="E145" s="5">
        <v>0</v>
      </c>
      <c r="F145" s="5">
        <v>-48650</v>
      </c>
    </row>
    <row r="146" spans="1:6" x14ac:dyDescent="0.25">
      <c r="A146" s="3" t="s">
        <v>292</v>
      </c>
      <c r="B146" t="s">
        <v>293</v>
      </c>
      <c r="C146" s="5">
        <v>-2830</v>
      </c>
      <c r="D146" s="5">
        <v>0</v>
      </c>
      <c r="E146" s="5">
        <v>0</v>
      </c>
      <c r="F146" s="5">
        <v>-2830</v>
      </c>
    </row>
    <row r="147" spans="1:6" x14ac:dyDescent="0.25">
      <c r="A147" s="3" t="s">
        <v>294</v>
      </c>
      <c r="B147" t="s">
        <v>295</v>
      </c>
      <c r="C147" s="5">
        <v>0</v>
      </c>
      <c r="D147" s="5">
        <v>275000</v>
      </c>
      <c r="E147" s="5">
        <v>0</v>
      </c>
      <c r="F147" s="5">
        <v>275000</v>
      </c>
    </row>
    <row r="148" spans="1:6" x14ac:dyDescent="0.25">
      <c r="A148" s="3" t="s">
        <v>296</v>
      </c>
      <c r="B148" t="s">
        <v>297</v>
      </c>
      <c r="C148" s="5">
        <v>0</v>
      </c>
      <c r="D148" s="5">
        <v>0</v>
      </c>
      <c r="E148" s="5">
        <v>0</v>
      </c>
      <c r="F148" s="5">
        <v>0</v>
      </c>
    </row>
    <row r="149" spans="1:6" x14ac:dyDescent="0.25">
      <c r="A149" s="3" t="s">
        <v>298</v>
      </c>
      <c r="B149" t="s">
        <v>299</v>
      </c>
      <c r="C149" s="5">
        <v>14470900</v>
      </c>
      <c r="D149" s="5">
        <v>0</v>
      </c>
      <c r="E149" s="5">
        <v>0</v>
      </c>
      <c r="F149" s="5">
        <v>14470900</v>
      </c>
    </row>
    <row r="150" spans="1:6" x14ac:dyDescent="0.25">
      <c r="A150" s="3" t="s">
        <v>300</v>
      </c>
      <c r="B150" t="s">
        <v>301</v>
      </c>
      <c r="C150" s="5">
        <v>3.0147460056468844E-3</v>
      </c>
      <c r="D150" s="5">
        <v>0</v>
      </c>
      <c r="E150" s="5">
        <v>0</v>
      </c>
      <c r="F150" s="5">
        <v>3.0147460056468844E-3</v>
      </c>
    </row>
    <row r="151" spans="1:6" x14ac:dyDescent="0.25">
      <c r="A151" s="3" t="s">
        <v>302</v>
      </c>
      <c r="B151" t="s">
        <v>303</v>
      </c>
      <c r="C151" s="5">
        <v>4.0364970045629889E-3</v>
      </c>
      <c r="D151" s="5">
        <v>0</v>
      </c>
      <c r="E151" s="5">
        <v>0</v>
      </c>
      <c r="F151" s="5">
        <v>4.0364970045629889E-3</v>
      </c>
    </row>
    <row r="152" spans="1:6" x14ac:dyDescent="0.25">
      <c r="A152" s="3" t="s">
        <v>304</v>
      </c>
      <c r="B152" t="s">
        <v>305</v>
      </c>
      <c r="C152" s="5">
        <v>0</v>
      </c>
      <c r="D152" s="5">
        <v>0</v>
      </c>
      <c r="E152" s="5">
        <v>0</v>
      </c>
      <c r="F152" s="5">
        <v>0</v>
      </c>
    </row>
    <row r="153" spans="1:6" x14ac:dyDescent="0.25">
      <c r="A153" s="3" t="s">
        <v>306</v>
      </c>
      <c r="B153" t="s">
        <v>307</v>
      </c>
      <c r="C153" s="5">
        <v>0</v>
      </c>
      <c r="D153" s="5">
        <v>0</v>
      </c>
      <c r="E153" s="5">
        <v>0</v>
      </c>
      <c r="F153" s="5">
        <v>0</v>
      </c>
    </row>
    <row r="154" spans="1:6" x14ac:dyDescent="0.25">
      <c r="A154" s="3" t="s">
        <v>308</v>
      </c>
      <c r="B154" t="s">
        <v>309</v>
      </c>
      <c r="C154" s="5">
        <v>2099999.997232487</v>
      </c>
      <c r="D154" s="5">
        <v>31775206.84</v>
      </c>
      <c r="E154" s="5">
        <v>0</v>
      </c>
      <c r="F154" s="5">
        <v>33875206.837232485</v>
      </c>
    </row>
    <row r="155" spans="1:6" x14ac:dyDescent="0.25">
      <c r="A155" s="3" t="s">
        <v>310</v>
      </c>
      <c r="B155" t="s">
        <v>311</v>
      </c>
      <c r="C155" s="5">
        <v>2.5576190091669559E-3</v>
      </c>
      <c r="D155" s="5">
        <v>0</v>
      </c>
      <c r="E155" s="5">
        <v>0</v>
      </c>
      <c r="F155" s="5">
        <v>2.5576190091669559E-3</v>
      </c>
    </row>
    <row r="156" spans="1:6" x14ac:dyDescent="0.25">
      <c r="A156" s="3" t="s">
        <v>312</v>
      </c>
      <c r="B156" t="s">
        <v>313</v>
      </c>
      <c r="C156" s="5">
        <v>-404279.99817704502</v>
      </c>
      <c r="D156" s="5">
        <v>4436819.26</v>
      </c>
      <c r="E156" s="5">
        <v>0</v>
      </c>
      <c r="F156" s="5">
        <v>4032539.2618229548</v>
      </c>
    </row>
    <row r="157" spans="1:6" x14ac:dyDescent="0.25">
      <c r="A157" s="3" t="s">
        <v>314</v>
      </c>
      <c r="B157" t="s">
        <v>315</v>
      </c>
      <c r="C157" s="5">
        <v>0</v>
      </c>
      <c r="D157" s="5">
        <v>0</v>
      </c>
      <c r="E157" s="5">
        <v>0</v>
      </c>
      <c r="F157" s="5">
        <v>0</v>
      </c>
    </row>
    <row r="158" spans="1:6" x14ac:dyDescent="0.25">
      <c r="A158" s="3" t="s">
        <v>316</v>
      </c>
      <c r="B158" t="s">
        <v>317</v>
      </c>
      <c r="C158" s="5">
        <v>-2207.9955580050009</v>
      </c>
      <c r="D158" s="5">
        <v>0</v>
      </c>
      <c r="E158" s="5">
        <v>0</v>
      </c>
      <c r="F158" s="5">
        <v>-2207.9955580050009</v>
      </c>
    </row>
    <row r="159" spans="1:6" x14ac:dyDescent="0.25">
      <c r="A159" s="3" t="s">
        <v>318</v>
      </c>
      <c r="B159" t="s">
        <v>319</v>
      </c>
      <c r="C159" s="5">
        <v>-2.1867710020160303E-3</v>
      </c>
      <c r="D159" s="5">
        <v>0</v>
      </c>
      <c r="E159" s="5">
        <v>0</v>
      </c>
      <c r="F159" s="5">
        <v>-2.1867710020160303E-3</v>
      </c>
    </row>
    <row r="160" spans="1:6" x14ac:dyDescent="0.25">
      <c r="A160" s="3" t="s">
        <v>320</v>
      </c>
      <c r="B160" t="s">
        <v>321</v>
      </c>
      <c r="C160" s="5">
        <v>17280293.58190956</v>
      </c>
      <c r="D160" s="5">
        <v>16707110.789999999</v>
      </c>
      <c r="E160" s="5">
        <v>0</v>
      </c>
      <c r="F160" s="5">
        <v>33987404.371909559</v>
      </c>
    </row>
    <row r="161" spans="1:6" x14ac:dyDescent="0.25">
      <c r="A161" s="3" t="s">
        <v>322</v>
      </c>
      <c r="B161" t="s">
        <v>323</v>
      </c>
      <c r="C161" s="5">
        <v>0.45491802599281073</v>
      </c>
      <c r="D161" s="5">
        <v>15510988.35</v>
      </c>
      <c r="E161" s="5">
        <v>0</v>
      </c>
      <c r="F161" s="5">
        <v>15510988.804918025</v>
      </c>
    </row>
    <row r="162" spans="1:6" x14ac:dyDescent="0.25">
      <c r="A162" s="3" t="s">
        <v>324</v>
      </c>
      <c r="B162" t="s">
        <v>283</v>
      </c>
      <c r="C162" s="5">
        <v>0</v>
      </c>
      <c r="D162" s="5">
        <v>0</v>
      </c>
      <c r="E162" s="5">
        <v>0</v>
      </c>
      <c r="F162" s="5">
        <v>0</v>
      </c>
    </row>
    <row r="163" spans="1:6" x14ac:dyDescent="0.25">
      <c r="A163" s="3" t="s">
        <v>325</v>
      </c>
      <c r="B163" t="s">
        <v>326</v>
      </c>
      <c r="C163" s="5">
        <v>1.8578649996925378E-3</v>
      </c>
      <c r="D163" s="5">
        <v>0</v>
      </c>
      <c r="E163" s="5">
        <v>0</v>
      </c>
      <c r="F163" s="5">
        <v>1.8578649996925378E-3</v>
      </c>
    </row>
    <row r="164" spans="1:6" x14ac:dyDescent="0.25">
      <c r="A164" s="3" t="s">
        <v>327</v>
      </c>
      <c r="B164" t="s">
        <v>328</v>
      </c>
      <c r="C164" s="5">
        <v>-3.6838070009252988E-3</v>
      </c>
      <c r="D164" s="5">
        <v>0</v>
      </c>
      <c r="E164" s="5">
        <v>0</v>
      </c>
      <c r="F164" s="5">
        <v>-3.6838070009252988E-3</v>
      </c>
    </row>
    <row r="165" spans="1:6" x14ac:dyDescent="0.25">
      <c r="A165" s="3" t="s">
        <v>329</v>
      </c>
      <c r="B165" t="s">
        <v>330</v>
      </c>
      <c r="C165" s="5">
        <v>0.26576946093700826</v>
      </c>
      <c r="D165" s="5">
        <v>0</v>
      </c>
      <c r="E165" s="5">
        <v>0</v>
      </c>
      <c r="F165" s="5">
        <v>0.26576946093700826</v>
      </c>
    </row>
    <row r="166" spans="1:6" x14ac:dyDescent="0.25">
      <c r="A166" s="3" t="s">
        <v>331</v>
      </c>
      <c r="B166" t="s">
        <v>332</v>
      </c>
      <c r="C166" s="5">
        <v>-1815</v>
      </c>
      <c r="D166" s="5">
        <v>0</v>
      </c>
      <c r="E166" s="5">
        <v>0</v>
      </c>
      <c r="F166" s="5">
        <v>-1815</v>
      </c>
    </row>
    <row r="167" spans="1:6" x14ac:dyDescent="0.25">
      <c r="A167" s="3" t="s">
        <v>333</v>
      </c>
      <c r="B167" t="s">
        <v>334</v>
      </c>
      <c r="C167" s="5">
        <v>-2.1867710001970408E-3</v>
      </c>
      <c r="D167" s="5">
        <v>0</v>
      </c>
      <c r="E167" s="5">
        <v>0</v>
      </c>
      <c r="F167" s="5">
        <v>-2.1867710001970408E-3</v>
      </c>
    </row>
    <row r="168" spans="1:6" x14ac:dyDescent="0.25">
      <c r="A168" s="3" t="s">
        <v>335</v>
      </c>
      <c r="B168" t="s">
        <v>336</v>
      </c>
      <c r="C168" s="5">
        <v>0</v>
      </c>
      <c r="D168" s="5">
        <v>0</v>
      </c>
      <c r="E168" s="5">
        <v>0</v>
      </c>
      <c r="F168" s="5">
        <v>0</v>
      </c>
    </row>
    <row r="169" spans="1:6" x14ac:dyDescent="0.25">
      <c r="A169" s="3" t="s">
        <v>337</v>
      </c>
      <c r="B169" t="s">
        <v>338</v>
      </c>
      <c r="C169" s="5">
        <v>0</v>
      </c>
      <c r="D169" s="5">
        <v>0</v>
      </c>
      <c r="E169" s="5">
        <v>0</v>
      </c>
      <c r="F169" s="5">
        <v>0</v>
      </c>
    </row>
    <row r="170" spans="1:6" x14ac:dyDescent="0.25">
      <c r="A170" s="3" t="s">
        <v>339</v>
      </c>
      <c r="B170" t="s">
        <v>340</v>
      </c>
      <c r="C170" s="5">
        <v>3998330.9307787074</v>
      </c>
      <c r="D170" s="5">
        <v>45552.53</v>
      </c>
      <c r="E170" s="5">
        <v>0</v>
      </c>
      <c r="F170" s="5">
        <v>4043883.4607787072</v>
      </c>
    </row>
    <row r="171" spans="1:6" x14ac:dyDescent="0.25">
      <c r="A171" s="3" t="s">
        <v>341</v>
      </c>
      <c r="B171" t="s">
        <v>342</v>
      </c>
      <c r="C171" s="5">
        <v>10246577.218799591</v>
      </c>
      <c r="D171" s="5">
        <v>33521230.329999998</v>
      </c>
      <c r="E171" s="5">
        <v>1220121556.8899999</v>
      </c>
      <c r="F171" s="5">
        <v>-1176353749.3412004</v>
      </c>
    </row>
    <row r="172" spans="1:6" x14ac:dyDescent="0.25">
      <c r="A172" s="3" t="s">
        <v>343</v>
      </c>
      <c r="B172" t="s">
        <v>344</v>
      </c>
      <c r="C172" s="5">
        <v>0</v>
      </c>
      <c r="D172" s="5">
        <v>0</v>
      </c>
      <c r="E172" s="5">
        <v>0</v>
      </c>
      <c r="F172" s="5">
        <v>0</v>
      </c>
    </row>
    <row r="173" spans="1:6" x14ac:dyDescent="0.25">
      <c r="A173" s="3" t="s">
        <v>345</v>
      </c>
      <c r="B173" t="s">
        <v>346</v>
      </c>
      <c r="C173" s="5">
        <v>-276159704.85999995</v>
      </c>
      <c r="D173" s="5">
        <v>0</v>
      </c>
      <c r="E173" s="5">
        <v>0</v>
      </c>
      <c r="F173" s="5">
        <v>-276159704.85999995</v>
      </c>
    </row>
    <row r="174" spans="1:6" x14ac:dyDescent="0.25">
      <c r="A174" s="3" t="s">
        <v>347</v>
      </c>
      <c r="B174" t="s">
        <v>348</v>
      </c>
      <c r="C174" s="5">
        <v>-93460.079999998212</v>
      </c>
      <c r="D174" s="5">
        <v>0</v>
      </c>
      <c r="E174" s="5">
        <v>0</v>
      </c>
      <c r="F174" s="5">
        <v>-93460.079999998212</v>
      </c>
    </row>
    <row r="175" spans="1:6" x14ac:dyDescent="0.25">
      <c r="A175" s="3" t="s">
        <v>349</v>
      </c>
      <c r="B175" t="s">
        <v>350</v>
      </c>
      <c r="C175" s="5">
        <v>-189168.93999999994</v>
      </c>
      <c r="D175" s="5">
        <v>27740.97</v>
      </c>
      <c r="E175" s="5">
        <v>0</v>
      </c>
      <c r="F175" s="5">
        <v>-161427.96999999994</v>
      </c>
    </row>
    <row r="176" spans="1:6" x14ac:dyDescent="0.25">
      <c r="A176" s="3" t="s">
        <v>351</v>
      </c>
      <c r="B176" t="s">
        <v>352</v>
      </c>
      <c r="C176" s="5">
        <v>0</v>
      </c>
      <c r="D176" s="5">
        <v>0</v>
      </c>
      <c r="E176" s="5">
        <v>0</v>
      </c>
      <c r="F176" s="5">
        <v>0</v>
      </c>
    </row>
    <row r="177" spans="1:6" x14ac:dyDescent="0.25">
      <c r="A177" s="3" t="s">
        <v>353</v>
      </c>
      <c r="B177" t="s">
        <v>354</v>
      </c>
      <c r="C177" s="5">
        <v>-1513461696.9196379</v>
      </c>
      <c r="D177" s="5">
        <v>0</v>
      </c>
      <c r="E177" s="5">
        <v>0</v>
      </c>
      <c r="F177" s="5">
        <v>-1513461696.9196379</v>
      </c>
    </row>
    <row r="178" spans="1:6" x14ac:dyDescent="0.25">
      <c r="A178" s="3" t="s">
        <v>355</v>
      </c>
      <c r="B178" t="s">
        <v>356</v>
      </c>
      <c r="C178" s="5">
        <v>571413.95000000298</v>
      </c>
      <c r="D178" s="5">
        <v>0</v>
      </c>
      <c r="E178" s="5">
        <v>0</v>
      </c>
      <c r="F178" s="5">
        <v>571413.95000000298</v>
      </c>
    </row>
    <row r="179" spans="1:6" x14ac:dyDescent="0.25">
      <c r="A179" s="3" t="s">
        <v>357</v>
      </c>
      <c r="B179" t="s">
        <v>358</v>
      </c>
      <c r="C179" s="5">
        <v>0</v>
      </c>
      <c r="D179" s="5">
        <v>14400371.880000001</v>
      </c>
      <c r="E179" s="5">
        <v>0</v>
      </c>
      <c r="F179" s="5">
        <v>14400371.880000001</v>
      </c>
    </row>
    <row r="180" spans="1:6" x14ac:dyDescent="0.25">
      <c r="A180" s="3" t="s">
        <v>359</v>
      </c>
      <c r="B180" t="s">
        <v>360</v>
      </c>
      <c r="C180" s="5">
        <v>-14400371.879999999</v>
      </c>
      <c r="D180" s="5">
        <v>0</v>
      </c>
      <c r="E180" s="5">
        <v>0</v>
      </c>
      <c r="F180" s="5">
        <v>-14400371.879999999</v>
      </c>
    </row>
    <row r="181" spans="1:6" x14ac:dyDescent="0.25">
      <c r="A181" s="3" t="s">
        <v>361</v>
      </c>
      <c r="B181" t="s">
        <v>362</v>
      </c>
      <c r="C181" s="5">
        <v>0</v>
      </c>
      <c r="D181" s="5">
        <v>0</v>
      </c>
      <c r="E181" s="5">
        <v>0</v>
      </c>
      <c r="F181" s="5">
        <v>0</v>
      </c>
    </row>
    <row r="182" spans="1:6" x14ac:dyDescent="0.25">
      <c r="A182" s="3" t="s">
        <v>363</v>
      </c>
      <c r="B182" t="s">
        <v>364</v>
      </c>
      <c r="C182" s="5">
        <v>0</v>
      </c>
      <c r="D182" s="5">
        <v>0</v>
      </c>
      <c r="E182" s="5">
        <v>0</v>
      </c>
      <c r="F182" s="5">
        <v>0</v>
      </c>
    </row>
    <row r="183" spans="1:6" x14ac:dyDescent="0.25">
      <c r="A183" s="3" t="s">
        <v>365</v>
      </c>
      <c r="B183" t="s">
        <v>366</v>
      </c>
      <c r="C183" s="5">
        <v>490.91</v>
      </c>
      <c r="D183" s="5">
        <v>238306.48</v>
      </c>
      <c r="E183" s="5">
        <v>238306.48</v>
      </c>
      <c r="F183" s="5">
        <v>490.91000000000349</v>
      </c>
    </row>
    <row r="184" spans="1:6" x14ac:dyDescent="0.25">
      <c r="A184" s="3" t="s">
        <v>367</v>
      </c>
      <c r="B184" t="s">
        <v>368</v>
      </c>
      <c r="C184" s="5">
        <v>-1941296.6600000011</v>
      </c>
      <c r="D184" s="5">
        <v>0</v>
      </c>
      <c r="E184" s="5">
        <v>0</v>
      </c>
      <c r="F184" s="5">
        <v>-1941296.6600000011</v>
      </c>
    </row>
    <row r="185" spans="1:6" x14ac:dyDescent="0.25">
      <c r="A185" s="3" t="s">
        <v>369</v>
      </c>
      <c r="B185" t="s">
        <v>370</v>
      </c>
      <c r="C185" s="5">
        <v>162193467.06</v>
      </c>
      <c r="D185" s="5">
        <v>0</v>
      </c>
      <c r="E185" s="5">
        <v>0</v>
      </c>
      <c r="F185" s="5">
        <v>162193467.06</v>
      </c>
    </row>
    <row r="186" spans="1:6" x14ac:dyDescent="0.25">
      <c r="A186" s="3" t="s">
        <v>371</v>
      </c>
      <c r="B186" t="s">
        <v>372</v>
      </c>
      <c r="C186" s="5">
        <v>-31194764.59</v>
      </c>
      <c r="D186" s="5">
        <v>0</v>
      </c>
      <c r="E186" s="5">
        <v>0</v>
      </c>
      <c r="F186" s="5">
        <v>-31194764.59</v>
      </c>
    </row>
    <row r="187" spans="1:6" x14ac:dyDescent="0.25">
      <c r="A187" s="3" t="s">
        <v>373</v>
      </c>
      <c r="B187" t="s">
        <v>374</v>
      </c>
      <c r="C187" s="5">
        <v>-8393506.5899999999</v>
      </c>
      <c r="D187" s="5">
        <v>0</v>
      </c>
      <c r="E187" s="5">
        <v>0</v>
      </c>
      <c r="F187" s="5">
        <v>-8393506.5899999999</v>
      </c>
    </row>
    <row r="188" spans="1:6" x14ac:dyDescent="0.25">
      <c r="A188" s="3" t="s">
        <v>375</v>
      </c>
      <c r="B188" t="s">
        <v>376</v>
      </c>
      <c r="C188" s="5">
        <v>0</v>
      </c>
      <c r="D188" s="5">
        <v>0</v>
      </c>
      <c r="E188" s="5">
        <v>0</v>
      </c>
      <c r="F188" s="5">
        <v>0</v>
      </c>
    </row>
    <row r="189" spans="1:6" x14ac:dyDescent="0.25">
      <c r="A189" s="3" t="s">
        <v>377</v>
      </c>
      <c r="B189" t="s">
        <v>378</v>
      </c>
      <c r="C189" s="5">
        <v>-71400000</v>
      </c>
      <c r="D189" s="5">
        <v>0</v>
      </c>
      <c r="E189" s="5">
        <v>0</v>
      </c>
      <c r="F189" s="5">
        <v>-71400000</v>
      </c>
    </row>
    <row r="190" spans="1:6" x14ac:dyDescent="0.25">
      <c r="A190" s="3" t="s">
        <v>379</v>
      </c>
      <c r="B190" t="s">
        <v>380</v>
      </c>
      <c r="C190" s="5">
        <v>76665.640000104904</v>
      </c>
      <c r="D190" s="5">
        <v>0</v>
      </c>
      <c r="E190" s="5">
        <v>0</v>
      </c>
      <c r="F190" s="5">
        <v>76665.640000104904</v>
      </c>
    </row>
    <row r="191" spans="1:6" x14ac:dyDescent="0.25">
      <c r="A191" s="3" t="s">
        <v>381</v>
      </c>
      <c r="B191" t="s">
        <v>382</v>
      </c>
      <c r="C191" s="5">
        <v>0</v>
      </c>
      <c r="D191" s="5">
        <v>0</v>
      </c>
      <c r="E191" s="5">
        <v>0</v>
      </c>
      <c r="F191" s="5">
        <v>0</v>
      </c>
    </row>
    <row r="192" spans="1:6" x14ac:dyDescent="0.25">
      <c r="A192" s="3" t="s">
        <v>383</v>
      </c>
      <c r="B192" t="s">
        <v>384</v>
      </c>
      <c r="C192" s="5">
        <v>0</v>
      </c>
      <c r="D192" s="5">
        <v>0</v>
      </c>
      <c r="E192" s="5">
        <v>0</v>
      </c>
      <c r="F192" s="5">
        <v>0</v>
      </c>
    </row>
    <row r="193" spans="1:6" x14ac:dyDescent="0.25">
      <c r="A193" s="3" t="s">
        <v>385</v>
      </c>
      <c r="B193" t="s">
        <v>386</v>
      </c>
      <c r="C193" s="5">
        <v>5.9604644775390625E-8</v>
      </c>
      <c r="D193" s="5">
        <v>0</v>
      </c>
      <c r="E193" s="5">
        <v>0</v>
      </c>
      <c r="F193" s="5">
        <v>5.9604644775390625E-8</v>
      </c>
    </row>
    <row r="194" spans="1:6" x14ac:dyDescent="0.25">
      <c r="A194" s="3" t="s">
        <v>387</v>
      </c>
      <c r="B194" t="s">
        <v>388</v>
      </c>
      <c r="C194" s="5">
        <v>0</v>
      </c>
      <c r="D194" s="5">
        <v>0</v>
      </c>
      <c r="E194" s="5">
        <v>0</v>
      </c>
      <c r="F194" s="5">
        <v>0</v>
      </c>
    </row>
    <row r="195" spans="1:6" x14ac:dyDescent="0.25">
      <c r="A195" s="3" t="s">
        <v>389</v>
      </c>
      <c r="B195" t="s">
        <v>390</v>
      </c>
      <c r="C195" s="5">
        <v>0</v>
      </c>
      <c r="D195" s="5">
        <v>0</v>
      </c>
      <c r="E195" s="5">
        <v>0</v>
      </c>
      <c r="F195" s="5">
        <v>0</v>
      </c>
    </row>
    <row r="196" spans="1:6" x14ac:dyDescent="0.25">
      <c r="A196" s="3" t="s">
        <v>391</v>
      </c>
      <c r="B196" t="s">
        <v>392</v>
      </c>
      <c r="C196" s="5">
        <v>-46664216.180000305</v>
      </c>
      <c r="D196" s="5">
        <v>0</v>
      </c>
      <c r="E196" s="5">
        <v>0</v>
      </c>
      <c r="F196" s="5">
        <v>-46664216.180000305</v>
      </c>
    </row>
    <row r="197" spans="1:6" x14ac:dyDescent="0.25">
      <c r="A197" s="3" t="s">
        <v>393</v>
      </c>
      <c r="B197" t="s">
        <v>394</v>
      </c>
      <c r="C197" s="5">
        <v>0</v>
      </c>
      <c r="D197" s="5">
        <v>0</v>
      </c>
      <c r="E197" s="5">
        <v>0</v>
      </c>
      <c r="F197" s="5">
        <v>0</v>
      </c>
    </row>
    <row r="198" spans="1:6" x14ac:dyDescent="0.25">
      <c r="A198" s="3" t="s">
        <v>395</v>
      </c>
      <c r="B198" t="s">
        <v>396</v>
      </c>
      <c r="C198" s="5">
        <v>8646745.2100000083</v>
      </c>
      <c r="D198" s="5">
        <v>0</v>
      </c>
      <c r="E198" s="5">
        <v>0</v>
      </c>
      <c r="F198" s="5">
        <v>8646745.2100000083</v>
      </c>
    </row>
    <row r="199" spans="1:6" x14ac:dyDescent="0.25">
      <c r="A199" s="3" t="s">
        <v>397</v>
      </c>
      <c r="B199" t="s">
        <v>398</v>
      </c>
      <c r="C199" s="5">
        <v>-100000000</v>
      </c>
      <c r="D199" s="5">
        <v>0</v>
      </c>
      <c r="E199" s="5">
        <v>0</v>
      </c>
      <c r="F199" s="5">
        <v>-100000000</v>
      </c>
    </row>
    <row r="200" spans="1:6" x14ac:dyDescent="0.25">
      <c r="A200" s="3" t="s">
        <v>399</v>
      </c>
      <c r="B200" t="s">
        <v>400</v>
      </c>
      <c r="C200" s="5">
        <v>0</v>
      </c>
      <c r="D200" s="5">
        <v>0</v>
      </c>
      <c r="E200" s="5">
        <v>0</v>
      </c>
      <c r="F200" s="5">
        <v>0</v>
      </c>
    </row>
    <row r="201" spans="1:6" x14ac:dyDescent="0.25">
      <c r="A201" s="3" t="s">
        <v>401</v>
      </c>
      <c r="B201" t="s">
        <v>402</v>
      </c>
      <c r="C201" s="5">
        <v>-1994485051.4900002</v>
      </c>
      <c r="D201" s="5">
        <v>115277777.84</v>
      </c>
      <c r="E201" s="5">
        <v>154000000</v>
      </c>
      <c r="F201" s="5">
        <v>-2033207273.6500003</v>
      </c>
    </row>
    <row r="202" spans="1:6" x14ac:dyDescent="0.25">
      <c r="A202" s="3" t="s">
        <v>403</v>
      </c>
      <c r="B202" t="s">
        <v>404</v>
      </c>
      <c r="C202" s="5">
        <v>-415776000</v>
      </c>
      <c r="D202" s="5">
        <v>228000000</v>
      </c>
      <c r="E202" s="5">
        <v>0</v>
      </c>
      <c r="F202" s="5">
        <v>-187776000</v>
      </c>
    </row>
    <row r="203" spans="1:6" x14ac:dyDescent="0.25">
      <c r="A203" s="3" t="s">
        <v>405</v>
      </c>
      <c r="B203" t="s">
        <v>406</v>
      </c>
      <c r="C203" s="5">
        <v>0</v>
      </c>
      <c r="D203" s="5">
        <v>0</v>
      </c>
      <c r="E203" s="5">
        <v>0</v>
      </c>
      <c r="F203" s="5">
        <v>0</v>
      </c>
    </row>
    <row r="204" spans="1:6" x14ac:dyDescent="0.25">
      <c r="A204" s="3" t="s">
        <v>407</v>
      </c>
      <c r="B204" t="s">
        <v>408</v>
      </c>
      <c r="C204" s="5">
        <v>0</v>
      </c>
      <c r="D204" s="5">
        <v>0</v>
      </c>
      <c r="E204" s="5">
        <v>0</v>
      </c>
      <c r="F204" s="5">
        <v>0</v>
      </c>
    </row>
    <row r="205" spans="1:6" x14ac:dyDescent="0.25">
      <c r="A205" s="3" t="s">
        <v>409</v>
      </c>
      <c r="B205" t="s">
        <v>410</v>
      </c>
      <c r="C205" s="5">
        <v>11828622.200000003</v>
      </c>
      <c r="D205" s="5">
        <v>0</v>
      </c>
      <c r="E205" s="5">
        <v>0</v>
      </c>
      <c r="F205" s="5">
        <v>11828622.200000003</v>
      </c>
    </row>
    <row r="206" spans="1:6" x14ac:dyDescent="0.25">
      <c r="A206" s="3" t="s">
        <v>411</v>
      </c>
      <c r="B206" t="s">
        <v>412</v>
      </c>
      <c r="C206" s="5">
        <v>0.25</v>
      </c>
      <c r="D206" s="5">
        <v>0</v>
      </c>
      <c r="E206" s="5">
        <v>0</v>
      </c>
      <c r="F206" s="5">
        <v>0.25</v>
      </c>
    </row>
    <row r="207" spans="1:6" x14ac:dyDescent="0.25">
      <c r="A207" s="3" t="s">
        <v>413</v>
      </c>
      <c r="B207" t="s">
        <v>414</v>
      </c>
      <c r="C207" s="5">
        <v>-335692076.99999928</v>
      </c>
      <c r="D207" s="5">
        <v>3178917740.5299997</v>
      </c>
      <c r="E207" s="5">
        <v>3033917740.5299997</v>
      </c>
      <c r="F207" s="5">
        <v>-190692076.99999905</v>
      </c>
    </row>
    <row r="208" spans="1:6" x14ac:dyDescent="0.25">
      <c r="A208" s="3" t="s">
        <v>415</v>
      </c>
      <c r="B208" t="s">
        <v>416</v>
      </c>
      <c r="C208" s="5">
        <v>0</v>
      </c>
      <c r="D208" s="5">
        <v>615806725.51999998</v>
      </c>
      <c r="E208" s="5">
        <v>615806725.51999998</v>
      </c>
      <c r="F208" s="5">
        <v>0</v>
      </c>
    </row>
    <row r="209" spans="1:6" x14ac:dyDescent="0.25">
      <c r="A209" s="3" t="s">
        <v>417</v>
      </c>
      <c r="B209" t="s">
        <v>418</v>
      </c>
      <c r="C209" s="5">
        <v>-548510543.04999995</v>
      </c>
      <c r="D209" s="5">
        <v>45458333.310000002</v>
      </c>
      <c r="E209" s="5">
        <v>0</v>
      </c>
      <c r="F209" s="5">
        <v>-503052209.73999995</v>
      </c>
    </row>
    <row r="210" spans="1:6" x14ac:dyDescent="0.25">
      <c r="A210" s="3" t="s">
        <v>419</v>
      </c>
      <c r="B210" t="s">
        <v>420</v>
      </c>
      <c r="C210" s="5">
        <v>-5700000</v>
      </c>
      <c r="D210" s="5">
        <v>0</v>
      </c>
      <c r="E210" s="5">
        <v>0</v>
      </c>
      <c r="F210" s="5">
        <v>-5700000</v>
      </c>
    </row>
    <row r="211" spans="1:6" x14ac:dyDescent="0.25">
      <c r="A211" s="3" t="s">
        <v>421</v>
      </c>
      <c r="B211" t="s">
        <v>422</v>
      </c>
      <c r="C211" s="5">
        <v>0</v>
      </c>
      <c r="D211" s="5">
        <v>0</v>
      </c>
      <c r="E211" s="5">
        <v>0</v>
      </c>
      <c r="F211" s="5">
        <v>0</v>
      </c>
    </row>
    <row r="212" spans="1:6" x14ac:dyDescent="0.25">
      <c r="A212" s="3" t="s">
        <v>423</v>
      </c>
      <c r="B212" t="s">
        <v>424</v>
      </c>
      <c r="C212" s="5">
        <v>-716408751.03999996</v>
      </c>
      <c r="D212" s="5">
        <v>83333333.340000004</v>
      </c>
      <c r="E212" s="5">
        <v>125000000</v>
      </c>
      <c r="F212" s="5">
        <v>-758075417.69999993</v>
      </c>
    </row>
    <row r="213" spans="1:6" x14ac:dyDescent="0.25">
      <c r="A213" s="3" t="s">
        <v>425</v>
      </c>
      <c r="B213" t="s">
        <v>426</v>
      </c>
      <c r="C213" s="5">
        <v>-287335106.02000004</v>
      </c>
      <c r="D213" s="5">
        <v>0</v>
      </c>
      <c r="E213" s="5">
        <v>0</v>
      </c>
      <c r="F213" s="5">
        <v>-287335106.02000004</v>
      </c>
    </row>
    <row r="214" spans="1:6" x14ac:dyDescent="0.25">
      <c r="A214" s="3" t="s">
        <v>427</v>
      </c>
      <c r="B214" t="s">
        <v>428</v>
      </c>
      <c r="C214" s="5">
        <v>6760874.7300000042</v>
      </c>
      <c r="D214" s="5">
        <v>0</v>
      </c>
      <c r="E214" s="5">
        <v>0</v>
      </c>
      <c r="F214" s="5">
        <v>6760874.7300000042</v>
      </c>
    </row>
    <row r="215" spans="1:6" x14ac:dyDescent="0.25">
      <c r="A215" s="3" t="s">
        <v>429</v>
      </c>
      <c r="B215" t="s">
        <v>430</v>
      </c>
      <c r="C215" s="5">
        <v>-4802500.7099999785</v>
      </c>
      <c r="D215" s="5">
        <v>0</v>
      </c>
      <c r="E215" s="5">
        <v>0</v>
      </c>
      <c r="F215" s="5">
        <v>-4802500.7099999785</v>
      </c>
    </row>
    <row r="216" spans="1:6" x14ac:dyDescent="0.25">
      <c r="A216" s="3" t="s">
        <v>431</v>
      </c>
      <c r="B216" t="s">
        <v>432</v>
      </c>
      <c r="C216" s="5">
        <v>-497436259.19000006</v>
      </c>
      <c r="D216" s="5">
        <v>1014451558.08</v>
      </c>
      <c r="E216" s="5">
        <v>0</v>
      </c>
      <c r="F216" s="5">
        <v>517015298.88999999</v>
      </c>
    </row>
    <row r="217" spans="1:6" x14ac:dyDescent="0.25">
      <c r="A217" s="3" t="s">
        <v>433</v>
      </c>
      <c r="B217" t="s">
        <v>434</v>
      </c>
      <c r="C217" s="5">
        <v>-5263420181.8099995</v>
      </c>
      <c r="D217" s="5">
        <v>0</v>
      </c>
      <c r="E217" s="5">
        <v>0</v>
      </c>
      <c r="F217" s="5">
        <v>-5263420181.8099995</v>
      </c>
    </row>
    <row r="218" spans="1:6" x14ac:dyDescent="0.25">
      <c r="A218" s="3" t="s">
        <v>435</v>
      </c>
      <c r="B218" t="s">
        <v>436</v>
      </c>
      <c r="C218" s="5">
        <v>-1341736948.3800001</v>
      </c>
      <c r="D218" s="5">
        <v>317320793.04999995</v>
      </c>
      <c r="E218" s="5">
        <v>317320793.04999995</v>
      </c>
      <c r="F218" s="5">
        <v>-1341736948.3800001</v>
      </c>
    </row>
    <row r="219" spans="1:6" x14ac:dyDescent="0.25">
      <c r="A219" s="3" t="s">
        <v>437</v>
      </c>
      <c r="B219" t="s">
        <v>438</v>
      </c>
      <c r="C219" s="5">
        <v>-545044774.79000008</v>
      </c>
      <c r="D219" s="5">
        <v>0</v>
      </c>
      <c r="E219" s="5">
        <v>0</v>
      </c>
      <c r="F219" s="5">
        <v>-545044774.79000008</v>
      </c>
    </row>
    <row r="220" spans="1:6" x14ac:dyDescent="0.25">
      <c r="A220" s="3" t="s">
        <v>439</v>
      </c>
      <c r="B220" t="s">
        <v>440</v>
      </c>
      <c r="C220" s="5">
        <v>-764863.66999999806</v>
      </c>
      <c r="D220" s="5">
        <v>0</v>
      </c>
      <c r="E220" s="5">
        <v>0</v>
      </c>
      <c r="F220" s="5">
        <v>-764863.66999999806</v>
      </c>
    </row>
    <row r="221" spans="1:6" x14ac:dyDescent="0.25">
      <c r="A221" s="3" t="s">
        <v>441</v>
      </c>
      <c r="B221" t="s">
        <v>442</v>
      </c>
      <c r="C221" s="5">
        <v>0</v>
      </c>
      <c r="D221" s="5">
        <v>0</v>
      </c>
      <c r="E221" s="5">
        <v>0</v>
      </c>
      <c r="F221" s="5">
        <v>0</v>
      </c>
    </row>
    <row r="222" spans="1:6" x14ac:dyDescent="0.25">
      <c r="A222" s="3" t="s">
        <v>443</v>
      </c>
      <c r="B222" t="s">
        <v>444</v>
      </c>
      <c r="C222" s="5">
        <v>0.20999999344348907</v>
      </c>
      <c r="D222" s="5">
        <v>0</v>
      </c>
      <c r="E222" s="5">
        <v>0</v>
      </c>
      <c r="F222" s="5">
        <v>0.20999999344348907</v>
      </c>
    </row>
    <row r="223" spans="1:6" x14ac:dyDescent="0.25">
      <c r="A223" s="3" t="s">
        <v>445</v>
      </c>
      <c r="B223" t="s">
        <v>446</v>
      </c>
      <c r="C223" s="5">
        <v>0</v>
      </c>
      <c r="D223" s="5">
        <v>0</v>
      </c>
      <c r="E223" s="5">
        <v>0</v>
      </c>
      <c r="F223" s="5">
        <v>0</v>
      </c>
    </row>
    <row r="224" spans="1:6" x14ac:dyDescent="0.25">
      <c r="A224" s="3" t="s">
        <v>447</v>
      </c>
      <c r="B224" t="s">
        <v>448</v>
      </c>
      <c r="C224" s="5">
        <v>0</v>
      </c>
      <c r="D224" s="5">
        <v>0</v>
      </c>
      <c r="E224" s="5">
        <v>0</v>
      </c>
      <c r="F224" s="5">
        <v>0</v>
      </c>
    </row>
    <row r="225" spans="1:6" x14ac:dyDescent="0.25">
      <c r="A225" s="3" t="s">
        <v>449</v>
      </c>
      <c r="B225" t="s">
        <v>450</v>
      </c>
      <c r="C225" s="5">
        <v>-1250000000</v>
      </c>
      <c r="D225" s="5">
        <v>125000000</v>
      </c>
      <c r="E225" s="5">
        <v>876000000</v>
      </c>
      <c r="F225" s="5">
        <v>-2001000000</v>
      </c>
    </row>
    <row r="226" spans="1:6" x14ac:dyDescent="0.25">
      <c r="A226" s="3" t="s">
        <v>451</v>
      </c>
      <c r="B226" t="s">
        <v>452</v>
      </c>
      <c r="C226" s="5">
        <v>-2.1230359852779657E-3</v>
      </c>
      <c r="D226" s="5">
        <v>0</v>
      </c>
      <c r="E226" s="5">
        <v>0</v>
      </c>
      <c r="F226" s="5">
        <v>-2.1230359852779657E-3</v>
      </c>
    </row>
    <row r="227" spans="1:6" x14ac:dyDescent="0.25">
      <c r="A227" s="3" t="s">
        <v>453</v>
      </c>
      <c r="B227" t="s">
        <v>454</v>
      </c>
      <c r="C227" s="5">
        <v>-2037</v>
      </c>
      <c r="D227" s="5">
        <v>0</v>
      </c>
      <c r="E227" s="5">
        <v>0</v>
      </c>
      <c r="F227" s="5">
        <v>-2037</v>
      </c>
    </row>
    <row r="228" spans="1:6" x14ac:dyDescent="0.25">
      <c r="A228" s="3" t="s">
        <v>455</v>
      </c>
      <c r="B228" t="s">
        <v>456</v>
      </c>
      <c r="C228" s="5">
        <v>-5.0000008195638657E-3</v>
      </c>
      <c r="D228" s="5">
        <v>0</v>
      </c>
      <c r="E228" s="5">
        <v>0</v>
      </c>
      <c r="F228" s="5">
        <v>-5.0000008195638657E-3</v>
      </c>
    </row>
    <row r="229" spans="1:6" x14ac:dyDescent="0.25">
      <c r="A229" s="3" t="s">
        <v>457</v>
      </c>
      <c r="B229" t="s">
        <v>458</v>
      </c>
      <c r="C229" s="5">
        <v>0</v>
      </c>
      <c r="D229" s="5">
        <v>0</v>
      </c>
      <c r="E229" s="5">
        <v>0</v>
      </c>
      <c r="F229" s="5">
        <v>0</v>
      </c>
    </row>
    <row r="230" spans="1:6" x14ac:dyDescent="0.25">
      <c r="A230" s="3" t="s">
        <v>459</v>
      </c>
      <c r="B230" t="s">
        <v>460</v>
      </c>
      <c r="C230" s="5">
        <v>-634574514.82000005</v>
      </c>
      <c r="D230" s="5">
        <v>0</v>
      </c>
      <c r="E230" s="5">
        <v>0</v>
      </c>
      <c r="F230" s="5">
        <v>-634574514.82000005</v>
      </c>
    </row>
    <row r="231" spans="1:6" x14ac:dyDescent="0.25">
      <c r="A231" s="3" t="s">
        <v>461</v>
      </c>
      <c r="B231" t="s">
        <v>462</v>
      </c>
      <c r="C231" s="5">
        <v>0</v>
      </c>
      <c r="D231" s="5">
        <v>0</v>
      </c>
      <c r="E231" s="5">
        <v>0</v>
      </c>
      <c r="F231" s="5">
        <v>0</v>
      </c>
    </row>
    <row r="232" spans="1:6" x14ac:dyDescent="0.25">
      <c r="A232" s="3" t="s">
        <v>463</v>
      </c>
      <c r="B232" t="s">
        <v>464</v>
      </c>
      <c r="C232" s="5">
        <v>0</v>
      </c>
      <c r="D232" s="5">
        <v>0</v>
      </c>
      <c r="E232" s="5">
        <v>0</v>
      </c>
      <c r="F232" s="5">
        <v>0</v>
      </c>
    </row>
    <row r="233" spans="1:6" x14ac:dyDescent="0.25">
      <c r="A233" s="3" t="s">
        <v>465</v>
      </c>
      <c r="B233" t="s">
        <v>466</v>
      </c>
      <c r="C233" s="5">
        <v>0</v>
      </c>
      <c r="D233" s="5">
        <v>0</v>
      </c>
      <c r="E233" s="5">
        <v>0</v>
      </c>
      <c r="F233" s="5">
        <v>0</v>
      </c>
    </row>
    <row r="234" spans="1:6" x14ac:dyDescent="0.25">
      <c r="A234" s="3" t="s">
        <v>467</v>
      </c>
      <c r="B234" t="s">
        <v>468</v>
      </c>
      <c r="C234" s="5">
        <v>0</v>
      </c>
      <c r="D234" s="5">
        <v>0</v>
      </c>
      <c r="E234" s="5">
        <v>0</v>
      </c>
      <c r="F234" s="5">
        <v>0</v>
      </c>
    </row>
    <row r="235" spans="1:6" x14ac:dyDescent="0.25">
      <c r="A235" s="3" t="s">
        <v>469</v>
      </c>
      <c r="B235" t="s">
        <v>470</v>
      </c>
      <c r="C235" s="5">
        <v>-124162283.07000001</v>
      </c>
      <c r="D235" s="5">
        <v>0</v>
      </c>
      <c r="E235" s="5">
        <v>0</v>
      </c>
      <c r="F235" s="5">
        <v>-124162283.07000001</v>
      </c>
    </row>
    <row r="236" spans="1:6" x14ac:dyDescent="0.25">
      <c r="A236" s="3" t="s">
        <v>471</v>
      </c>
      <c r="B236" t="s">
        <v>472</v>
      </c>
      <c r="C236" s="5">
        <v>0</v>
      </c>
      <c r="D236" s="5">
        <v>0</v>
      </c>
      <c r="E236" s="5">
        <v>0</v>
      </c>
      <c r="F236" s="5">
        <v>0</v>
      </c>
    </row>
    <row r="237" spans="1:6" x14ac:dyDescent="0.25">
      <c r="A237" s="3" t="s">
        <v>473</v>
      </c>
      <c r="B237" t="s">
        <v>474</v>
      </c>
      <c r="C237" s="5">
        <v>-33307238.149999999</v>
      </c>
      <c r="D237" s="5">
        <v>0</v>
      </c>
      <c r="E237" s="5">
        <v>0</v>
      </c>
      <c r="F237" s="5">
        <v>-33307238.149999999</v>
      </c>
    </row>
    <row r="238" spans="1:6" x14ac:dyDescent="0.25">
      <c r="A238" s="3" t="s">
        <v>475</v>
      </c>
      <c r="B238" t="s">
        <v>476</v>
      </c>
      <c r="C238" s="5">
        <v>-1817086.9999999998</v>
      </c>
      <c r="D238" s="5">
        <v>0</v>
      </c>
      <c r="E238" s="5">
        <v>0</v>
      </c>
      <c r="F238" s="5">
        <v>-1817086.9999999998</v>
      </c>
    </row>
    <row r="239" spans="1:6" x14ac:dyDescent="0.25">
      <c r="A239" s="3" t="s">
        <v>477</v>
      </c>
      <c r="B239" t="s">
        <v>478</v>
      </c>
      <c r="C239" s="5">
        <v>0</v>
      </c>
      <c r="D239" s="5">
        <v>0</v>
      </c>
      <c r="E239" s="5">
        <v>0</v>
      </c>
      <c r="F239" s="5">
        <v>0</v>
      </c>
    </row>
    <row r="240" spans="1:6" x14ac:dyDescent="0.25">
      <c r="A240" s="3" t="s">
        <v>479</v>
      </c>
      <c r="B240" t="s">
        <v>480</v>
      </c>
      <c r="C240" s="5">
        <v>-403840</v>
      </c>
      <c r="D240" s="5">
        <v>0</v>
      </c>
      <c r="E240" s="5">
        <v>0</v>
      </c>
      <c r="F240" s="5">
        <v>-403840</v>
      </c>
    </row>
    <row r="241" spans="1:6" x14ac:dyDescent="0.25">
      <c r="A241" s="3" t="s">
        <v>481</v>
      </c>
      <c r="B241" t="s">
        <v>482</v>
      </c>
      <c r="C241" s="5">
        <v>-4925744222.3075781</v>
      </c>
      <c r="D241" s="5">
        <v>0</v>
      </c>
      <c r="E241" s="5">
        <v>0</v>
      </c>
      <c r="F241" s="5">
        <v>-4925744222.3075781</v>
      </c>
    </row>
    <row r="242" spans="1:6" x14ac:dyDescent="0.25">
      <c r="A242" s="3" t="s">
        <v>483</v>
      </c>
      <c r="B242" t="s">
        <v>484</v>
      </c>
      <c r="C242" s="5">
        <v>-52227569.081682496</v>
      </c>
      <c r="D242" s="5">
        <v>0</v>
      </c>
      <c r="E242" s="5">
        <v>0</v>
      </c>
      <c r="F242" s="5">
        <v>-52227569.081682496</v>
      </c>
    </row>
    <row r="243" spans="1:6" x14ac:dyDescent="0.25">
      <c r="A243" s="3" t="s">
        <v>485</v>
      </c>
      <c r="B243" t="s">
        <v>486</v>
      </c>
      <c r="C243" s="5">
        <v>-10439168.425555581</v>
      </c>
      <c r="D243" s="5">
        <v>0</v>
      </c>
      <c r="E243" s="5">
        <v>0</v>
      </c>
      <c r="F243" s="5">
        <v>-10439168.425555581</v>
      </c>
    </row>
    <row r="244" spans="1:6" x14ac:dyDescent="0.25">
      <c r="A244" s="3" t="s">
        <v>487</v>
      </c>
      <c r="B244" t="s">
        <v>488</v>
      </c>
      <c r="C244" s="5">
        <v>-1002874185.6522579</v>
      </c>
      <c r="D244" s="5">
        <v>0</v>
      </c>
      <c r="E244" s="5">
        <v>0</v>
      </c>
      <c r="F244" s="5">
        <v>-1002874185.6522579</v>
      </c>
    </row>
    <row r="245" spans="1:6" x14ac:dyDescent="0.25">
      <c r="A245" s="3" t="s">
        <v>489</v>
      </c>
      <c r="B245" t="s">
        <v>490</v>
      </c>
      <c r="C245" s="5">
        <v>-2533392410.5862069</v>
      </c>
      <c r="D245" s="5">
        <v>0</v>
      </c>
      <c r="E245" s="5">
        <v>0</v>
      </c>
      <c r="F245" s="5">
        <v>-2533392410.5862069</v>
      </c>
    </row>
    <row r="246" spans="1:6" x14ac:dyDescent="0.25">
      <c r="A246" s="3" t="s">
        <v>491</v>
      </c>
      <c r="B246" t="s">
        <v>492</v>
      </c>
      <c r="C246" s="5">
        <v>3.4400224685668945E-3</v>
      </c>
      <c r="D246" s="5">
        <v>0</v>
      </c>
      <c r="E246" s="5">
        <v>0</v>
      </c>
      <c r="F246" s="5">
        <v>3.4400224685668945E-3</v>
      </c>
    </row>
    <row r="247" spans="1:6" x14ac:dyDescent="0.25">
      <c r="A247" s="3" t="s">
        <v>493</v>
      </c>
      <c r="B247" t="s">
        <v>494</v>
      </c>
      <c r="C247" s="5">
        <v>-2048795123.9386201</v>
      </c>
      <c r="D247" s="5">
        <v>0</v>
      </c>
      <c r="E247" s="5">
        <v>0</v>
      </c>
      <c r="F247" s="5">
        <v>-2048795123.9386201</v>
      </c>
    </row>
    <row r="248" spans="1:6" x14ac:dyDescent="0.25">
      <c r="A248" s="3" t="s">
        <v>495</v>
      </c>
      <c r="B248" t="s">
        <v>496</v>
      </c>
      <c r="C248" s="5">
        <v>0</v>
      </c>
      <c r="D248" s="5">
        <v>0</v>
      </c>
      <c r="E248" s="5">
        <v>0</v>
      </c>
      <c r="F248" s="5">
        <v>0</v>
      </c>
    </row>
    <row r="249" spans="1:6" x14ac:dyDescent="0.25">
      <c r="A249" s="3" t="s">
        <v>497</v>
      </c>
      <c r="B249" t="s">
        <v>498</v>
      </c>
      <c r="C249" s="5">
        <v>-16051498.869999997</v>
      </c>
      <c r="D249" s="5">
        <v>4991440</v>
      </c>
      <c r="E249" s="5">
        <v>306298593.24000001</v>
      </c>
      <c r="F249" s="5">
        <v>-317358652.11000001</v>
      </c>
    </row>
    <row r="250" spans="1:6" x14ac:dyDescent="0.25">
      <c r="A250" s="3" t="s">
        <v>499</v>
      </c>
      <c r="B250" t="s">
        <v>500</v>
      </c>
      <c r="C250" s="5">
        <v>0</v>
      </c>
      <c r="D250" s="5">
        <v>0</v>
      </c>
      <c r="E250" s="5">
        <v>891450000</v>
      </c>
      <c r="F250" s="5">
        <v>-891450000</v>
      </c>
    </row>
    <row r="251" spans="1:6" x14ac:dyDescent="0.25">
      <c r="A251" s="3" t="s">
        <v>501</v>
      </c>
      <c r="B251" t="s">
        <v>502</v>
      </c>
      <c r="C251" s="5">
        <v>-43357743.520000003</v>
      </c>
      <c r="D251" s="5">
        <v>0</v>
      </c>
      <c r="E251" s="5">
        <v>0</v>
      </c>
      <c r="F251" s="5">
        <v>-43357743.520000003</v>
      </c>
    </row>
    <row r="252" spans="1:6" x14ac:dyDescent="0.25">
      <c r="A252" s="3" t="s">
        <v>503</v>
      </c>
      <c r="B252" t="s">
        <v>504</v>
      </c>
      <c r="C252" s="5">
        <v>0</v>
      </c>
      <c r="D252" s="5">
        <v>0</v>
      </c>
      <c r="E252" s="5">
        <v>0</v>
      </c>
      <c r="F252" s="5">
        <v>0</v>
      </c>
    </row>
    <row r="253" spans="1:6" x14ac:dyDescent="0.25">
      <c r="A253" s="3" t="s">
        <v>505</v>
      </c>
      <c r="B253" t="s">
        <v>506</v>
      </c>
      <c r="C253" s="5">
        <v>-18679006288.939999</v>
      </c>
      <c r="D253" s="5">
        <v>237474893.55000001</v>
      </c>
      <c r="E253" s="5">
        <v>4996502638.9400005</v>
      </c>
      <c r="F253" s="5">
        <v>-23438034034.330002</v>
      </c>
    </row>
    <row r="254" spans="1:6" x14ac:dyDescent="0.25">
      <c r="A254" s="3" t="s">
        <v>507</v>
      </c>
      <c r="B254" t="s">
        <v>508</v>
      </c>
      <c r="C254" s="5">
        <v>0</v>
      </c>
      <c r="D254" s="5">
        <v>0</v>
      </c>
      <c r="E254" s="5">
        <v>0</v>
      </c>
      <c r="F254" s="5">
        <v>0</v>
      </c>
    </row>
    <row r="255" spans="1:6" x14ac:dyDescent="0.25">
      <c r="A255" s="3" t="s">
        <v>509</v>
      </c>
      <c r="B255" t="s">
        <v>510</v>
      </c>
      <c r="C255" s="5">
        <v>0</v>
      </c>
      <c r="D255" s="5">
        <v>0</v>
      </c>
      <c r="E255" s="5">
        <v>0</v>
      </c>
      <c r="F255" s="5">
        <v>0</v>
      </c>
    </row>
    <row r="256" spans="1:6" x14ac:dyDescent="0.25">
      <c r="A256" s="3" t="s">
        <v>511</v>
      </c>
      <c r="B256" t="s">
        <v>512</v>
      </c>
      <c r="C256" s="5">
        <v>0</v>
      </c>
      <c r="D256" s="5">
        <v>0</v>
      </c>
      <c r="E256" s="5">
        <v>0</v>
      </c>
      <c r="F256" s="5">
        <v>0</v>
      </c>
    </row>
    <row r="257" spans="1:6" x14ac:dyDescent="0.25">
      <c r="A257" s="3" t="s">
        <v>513</v>
      </c>
      <c r="B257" t="s">
        <v>514</v>
      </c>
      <c r="C257" s="5">
        <v>0</v>
      </c>
      <c r="D257" s="5">
        <v>0</v>
      </c>
      <c r="E257" s="5">
        <v>0</v>
      </c>
      <c r="F257" s="5">
        <v>0</v>
      </c>
    </row>
    <row r="258" spans="1:6" x14ac:dyDescent="0.25">
      <c r="A258" s="3" t="s">
        <v>515</v>
      </c>
      <c r="B258" t="s">
        <v>516</v>
      </c>
      <c r="C258" s="5">
        <v>0</v>
      </c>
      <c r="D258" s="5">
        <v>0</v>
      </c>
      <c r="E258" s="5">
        <v>0</v>
      </c>
      <c r="F258" s="5">
        <v>0</v>
      </c>
    </row>
    <row r="259" spans="1:6" x14ac:dyDescent="0.25">
      <c r="A259" s="3" t="s">
        <v>517</v>
      </c>
      <c r="B259" t="s">
        <v>518</v>
      </c>
      <c r="C259" s="5">
        <v>0</v>
      </c>
      <c r="D259" s="5">
        <v>0</v>
      </c>
      <c r="E259" s="5">
        <v>0</v>
      </c>
      <c r="F259" s="5">
        <v>0</v>
      </c>
    </row>
    <row r="260" spans="1:6" x14ac:dyDescent="0.25">
      <c r="A260" s="3" t="s">
        <v>519</v>
      </c>
      <c r="B260" t="s">
        <v>520</v>
      </c>
      <c r="C260" s="5">
        <v>-3746681.66</v>
      </c>
      <c r="D260" s="5">
        <v>0</v>
      </c>
      <c r="E260" s="5">
        <v>0</v>
      </c>
      <c r="F260" s="5">
        <v>-3746681.66</v>
      </c>
    </row>
    <row r="261" spans="1:6" x14ac:dyDescent="0.25">
      <c r="A261" s="3" t="s">
        <v>521</v>
      </c>
      <c r="B261" t="s">
        <v>522</v>
      </c>
      <c r="C261" s="5">
        <v>0</v>
      </c>
      <c r="D261" s="5">
        <v>0</v>
      </c>
      <c r="E261" s="5">
        <v>0</v>
      </c>
      <c r="F261" s="5">
        <v>0</v>
      </c>
    </row>
    <row r="262" spans="1:6" x14ac:dyDescent="0.25">
      <c r="A262" s="3" t="s">
        <v>523</v>
      </c>
      <c r="B262" t="s">
        <v>524</v>
      </c>
      <c r="C262" s="5">
        <v>-901357614.8499999</v>
      </c>
      <c r="D262" s="5">
        <v>0</v>
      </c>
      <c r="E262" s="5">
        <v>14.6</v>
      </c>
      <c r="F262" s="5">
        <v>-901357629.44999993</v>
      </c>
    </row>
    <row r="263" spans="1:6" x14ac:dyDescent="0.25">
      <c r="A263" s="3" t="s">
        <v>525</v>
      </c>
      <c r="B263" t="s">
        <v>526</v>
      </c>
      <c r="C263" s="5">
        <v>0</v>
      </c>
      <c r="D263" s="5">
        <v>0</v>
      </c>
      <c r="E263" s="5">
        <v>0</v>
      </c>
      <c r="F263" s="5">
        <v>0</v>
      </c>
    </row>
    <row r="264" spans="1:6" x14ac:dyDescent="0.25">
      <c r="A264" s="3" t="s">
        <v>527</v>
      </c>
      <c r="B264" t="s">
        <v>528</v>
      </c>
      <c r="C264" s="5">
        <v>0</v>
      </c>
      <c r="D264" s="5">
        <v>0</v>
      </c>
      <c r="E264" s="5">
        <v>0</v>
      </c>
      <c r="F264" s="5">
        <v>0</v>
      </c>
    </row>
    <row r="265" spans="1:6" x14ac:dyDescent="0.25">
      <c r="A265" s="3" t="s">
        <v>529</v>
      </c>
      <c r="B265" t="s">
        <v>530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3" t="s">
        <v>531</v>
      </c>
      <c r="B266" t="s">
        <v>532</v>
      </c>
      <c r="C266" s="5">
        <v>0</v>
      </c>
      <c r="D266" s="5">
        <v>286054.48</v>
      </c>
      <c r="E266" s="5">
        <v>116835622.45</v>
      </c>
      <c r="F266" s="5">
        <v>-116549567.97</v>
      </c>
    </row>
    <row r="267" spans="1:6" x14ac:dyDescent="0.25">
      <c r="A267" s="3" t="s">
        <v>533</v>
      </c>
      <c r="B267" t="s">
        <v>534</v>
      </c>
      <c r="C267" s="5">
        <v>0</v>
      </c>
      <c r="D267" s="5">
        <v>0</v>
      </c>
      <c r="E267" s="5">
        <v>0</v>
      </c>
      <c r="F267" s="5">
        <v>0</v>
      </c>
    </row>
    <row r="268" spans="1:6" x14ac:dyDescent="0.25">
      <c r="A268" s="3" t="s">
        <v>535</v>
      </c>
      <c r="B268" t="s">
        <v>536</v>
      </c>
      <c r="C268" s="5">
        <v>0</v>
      </c>
      <c r="D268" s="5">
        <v>0</v>
      </c>
      <c r="E268" s="5">
        <v>0</v>
      </c>
      <c r="F268" s="5">
        <v>0</v>
      </c>
    </row>
    <row r="269" spans="1:6" x14ac:dyDescent="0.25">
      <c r="A269" s="3" t="s">
        <v>537</v>
      </c>
      <c r="B269" t="s">
        <v>538</v>
      </c>
      <c r="C269" s="5">
        <v>0</v>
      </c>
      <c r="D269" s="5">
        <v>0</v>
      </c>
      <c r="E269" s="5">
        <v>0</v>
      </c>
      <c r="F269" s="5">
        <v>0</v>
      </c>
    </row>
    <row r="270" spans="1:6" x14ac:dyDescent="0.25">
      <c r="A270" s="3" t="s">
        <v>539</v>
      </c>
      <c r="B270" t="s">
        <v>540</v>
      </c>
      <c r="C270" s="5">
        <v>0</v>
      </c>
      <c r="D270" s="5">
        <v>0</v>
      </c>
      <c r="E270" s="5">
        <v>0</v>
      </c>
      <c r="F270" s="5">
        <v>0</v>
      </c>
    </row>
    <row r="271" spans="1:6" x14ac:dyDescent="0.25">
      <c r="A271" s="3" t="s">
        <v>541</v>
      </c>
      <c r="B271" t="s">
        <v>542</v>
      </c>
      <c r="C271" s="5">
        <v>0</v>
      </c>
      <c r="D271" s="5">
        <v>0</v>
      </c>
      <c r="E271" s="5">
        <v>0</v>
      </c>
      <c r="F271" s="5">
        <v>0</v>
      </c>
    </row>
    <row r="272" spans="1:6" x14ac:dyDescent="0.25">
      <c r="A272" s="3" t="s">
        <v>543</v>
      </c>
      <c r="B272" t="s">
        <v>544</v>
      </c>
      <c r="C272" s="5">
        <v>0</v>
      </c>
      <c r="D272" s="5">
        <v>0</v>
      </c>
      <c r="E272" s="5">
        <v>0</v>
      </c>
      <c r="F272" s="5">
        <v>0</v>
      </c>
    </row>
    <row r="273" spans="1:6" x14ac:dyDescent="0.25">
      <c r="A273" s="3" t="s">
        <v>545</v>
      </c>
      <c r="B273" t="s">
        <v>546</v>
      </c>
      <c r="C273" s="5">
        <v>85722019.75</v>
      </c>
      <c r="D273" s="5">
        <v>0</v>
      </c>
      <c r="E273" s="5">
        <v>0</v>
      </c>
      <c r="F273" s="5">
        <v>85722019.75</v>
      </c>
    </row>
    <row r="274" spans="1:6" x14ac:dyDescent="0.25">
      <c r="A274" s="3" t="s">
        <v>547</v>
      </c>
      <c r="B274" t="s">
        <v>548</v>
      </c>
      <c r="C274" s="5">
        <v>0</v>
      </c>
      <c r="D274" s="5">
        <v>0</v>
      </c>
      <c r="E274" s="5">
        <v>0</v>
      </c>
      <c r="F274" s="5">
        <v>0</v>
      </c>
    </row>
    <row r="275" spans="1:6" x14ac:dyDescent="0.25">
      <c r="A275" s="3" t="s">
        <v>549</v>
      </c>
      <c r="B275" t="s">
        <v>550</v>
      </c>
      <c r="C275" s="5">
        <v>0</v>
      </c>
      <c r="D275" s="5">
        <v>0</v>
      </c>
      <c r="E275" s="5">
        <v>0</v>
      </c>
      <c r="F275" s="5">
        <v>0</v>
      </c>
    </row>
    <row r="276" spans="1:6" x14ac:dyDescent="0.25">
      <c r="A276" s="3" t="s">
        <v>551</v>
      </c>
      <c r="B276" t="s">
        <v>552</v>
      </c>
      <c r="C276" s="5">
        <v>0</v>
      </c>
      <c r="D276" s="5">
        <v>0</v>
      </c>
      <c r="E276" s="5">
        <v>0</v>
      </c>
      <c r="F276" s="5">
        <v>0</v>
      </c>
    </row>
    <row r="277" spans="1:6" x14ac:dyDescent="0.25">
      <c r="A277" s="3" t="s">
        <v>553</v>
      </c>
      <c r="B277" t="s">
        <v>554</v>
      </c>
      <c r="C277" s="5">
        <v>19702189.820000008</v>
      </c>
      <c r="D277" s="5">
        <v>0</v>
      </c>
      <c r="E277" s="5">
        <v>0</v>
      </c>
      <c r="F277" s="5">
        <v>19702189.820000008</v>
      </c>
    </row>
    <row r="278" spans="1:6" x14ac:dyDescent="0.25">
      <c r="A278" s="3" t="s">
        <v>555</v>
      </c>
      <c r="B278" t="s">
        <v>556</v>
      </c>
      <c r="C278" s="5">
        <v>165131180.32000005</v>
      </c>
      <c r="D278" s="5">
        <v>20400000</v>
      </c>
      <c r="E278" s="5">
        <v>20400000</v>
      </c>
      <c r="F278" s="5">
        <v>165131180.32000005</v>
      </c>
    </row>
    <row r="279" spans="1:6" x14ac:dyDescent="0.25">
      <c r="A279" s="3" t="s">
        <v>557</v>
      </c>
      <c r="B279" t="s">
        <v>558</v>
      </c>
      <c r="C279" s="5">
        <v>969861.00000000012</v>
      </c>
      <c r="D279" s="5">
        <v>161276.03</v>
      </c>
      <c r="E279" s="5">
        <v>0</v>
      </c>
      <c r="F279" s="5">
        <v>1131137.03</v>
      </c>
    </row>
    <row r="280" spans="1:6" x14ac:dyDescent="0.25">
      <c r="A280" s="3" t="s">
        <v>559</v>
      </c>
      <c r="B280" t="s">
        <v>560</v>
      </c>
      <c r="C280" s="5">
        <v>28530628.010000005</v>
      </c>
      <c r="D280" s="5">
        <v>57000000</v>
      </c>
      <c r="E280" s="5">
        <v>15600000</v>
      </c>
      <c r="F280" s="5">
        <v>69930628.010000005</v>
      </c>
    </row>
    <row r="281" spans="1:6" x14ac:dyDescent="0.25">
      <c r="A281" s="3" t="s">
        <v>561</v>
      </c>
      <c r="B281" t="s">
        <v>562</v>
      </c>
      <c r="C281" s="5">
        <v>47541755.699999988</v>
      </c>
      <c r="D281" s="5">
        <v>0</v>
      </c>
      <c r="E281" s="5">
        <v>0</v>
      </c>
      <c r="F281" s="5">
        <v>47541755.699999988</v>
      </c>
    </row>
    <row r="282" spans="1:6" x14ac:dyDescent="0.25">
      <c r="A282" s="3" t="s">
        <v>563</v>
      </c>
      <c r="B282" t="s">
        <v>564</v>
      </c>
      <c r="C282" s="5">
        <v>2.3089991882443428E-3</v>
      </c>
      <c r="D282" s="5">
        <v>0</v>
      </c>
      <c r="E282" s="5">
        <v>0</v>
      </c>
      <c r="F282" s="5">
        <v>2.3089991882443428E-3</v>
      </c>
    </row>
    <row r="283" spans="1:6" x14ac:dyDescent="0.25">
      <c r="A283" s="3" t="s">
        <v>565</v>
      </c>
      <c r="B283" t="s">
        <v>566</v>
      </c>
      <c r="C283" s="5">
        <v>2.3199999704957008E-3</v>
      </c>
      <c r="D283" s="5">
        <v>0</v>
      </c>
      <c r="E283" s="5">
        <v>0</v>
      </c>
      <c r="F283" s="5">
        <v>2.3199999704957008E-3</v>
      </c>
    </row>
    <row r="284" spans="1:6" x14ac:dyDescent="0.25">
      <c r="A284" s="3" t="s">
        <v>567</v>
      </c>
      <c r="B284" t="s">
        <v>568</v>
      </c>
      <c r="C284" s="5">
        <v>33198993.849999994</v>
      </c>
      <c r="D284" s="5">
        <v>0</v>
      </c>
      <c r="E284" s="5">
        <v>0</v>
      </c>
      <c r="F284" s="5">
        <v>33198993.849999994</v>
      </c>
    </row>
    <row r="285" spans="1:6" x14ac:dyDescent="0.25">
      <c r="A285" s="3" t="s">
        <v>569</v>
      </c>
      <c r="B285" t="s">
        <v>570</v>
      </c>
      <c r="C285" s="5">
        <v>-3.1999945640563965E-3</v>
      </c>
      <c r="D285" s="5">
        <v>0</v>
      </c>
      <c r="E285" s="5">
        <v>0</v>
      </c>
      <c r="F285" s="5">
        <v>-3.1999945640563965E-3</v>
      </c>
    </row>
    <row r="286" spans="1:6" x14ac:dyDescent="0.25">
      <c r="A286" s="3" t="s">
        <v>571</v>
      </c>
      <c r="B286" t="s">
        <v>572</v>
      </c>
      <c r="C286" s="5">
        <v>2472.7500000166892</v>
      </c>
      <c r="D286" s="5">
        <v>60990742.689999998</v>
      </c>
      <c r="E286" s="5">
        <v>0</v>
      </c>
      <c r="F286" s="5">
        <v>60993215.440000013</v>
      </c>
    </row>
    <row r="287" spans="1:6" x14ac:dyDescent="0.25">
      <c r="A287" s="3" t="s">
        <v>573</v>
      </c>
      <c r="B287" t="s">
        <v>187</v>
      </c>
      <c r="C287" s="5">
        <v>-3.7252902984619141E-9</v>
      </c>
      <c r="D287" s="5">
        <v>8431339.0399999991</v>
      </c>
      <c r="E287" s="5">
        <v>0</v>
      </c>
      <c r="F287" s="5">
        <v>8431339.0399999954</v>
      </c>
    </row>
    <row r="288" spans="1:6" x14ac:dyDescent="0.25">
      <c r="A288" s="3" t="s">
        <v>574</v>
      </c>
      <c r="B288" t="s">
        <v>575</v>
      </c>
      <c r="C288" s="5">
        <v>70320258.399999961</v>
      </c>
      <c r="D288" s="5">
        <v>25213286.050000001</v>
      </c>
      <c r="E288" s="5">
        <v>14987.5</v>
      </c>
      <c r="F288" s="5">
        <v>95518556.949999958</v>
      </c>
    </row>
    <row r="289" spans="1:6" x14ac:dyDescent="0.25">
      <c r="A289" s="3" t="s">
        <v>576</v>
      </c>
      <c r="B289" t="s">
        <v>577</v>
      </c>
      <c r="C289" s="5">
        <v>-8.0000050365924835E-4</v>
      </c>
      <c r="D289" s="5">
        <v>0</v>
      </c>
      <c r="E289" s="5">
        <v>0</v>
      </c>
      <c r="F289" s="5">
        <v>-8.0000050365924835E-4</v>
      </c>
    </row>
    <row r="290" spans="1:6" x14ac:dyDescent="0.25">
      <c r="A290" s="3" t="s">
        <v>578</v>
      </c>
      <c r="B290" t="s">
        <v>579</v>
      </c>
      <c r="C290" s="5">
        <v>169424057.99999997</v>
      </c>
      <c r="D290" s="5">
        <v>71563850</v>
      </c>
      <c r="E290" s="5">
        <v>0</v>
      </c>
      <c r="F290" s="5">
        <v>240987907.99999997</v>
      </c>
    </row>
    <row r="291" spans="1:6" x14ac:dyDescent="0.25">
      <c r="A291" s="3" t="s">
        <v>580</v>
      </c>
      <c r="B291" t="s">
        <v>581</v>
      </c>
      <c r="C291" s="5">
        <v>1490984.3700000048</v>
      </c>
      <c r="D291" s="5">
        <v>96819</v>
      </c>
      <c r="E291" s="5">
        <v>0</v>
      </c>
      <c r="F291" s="5">
        <v>1587803.3700000048</v>
      </c>
    </row>
    <row r="292" spans="1:6" x14ac:dyDescent="0.25">
      <c r="A292" s="3" t="s">
        <v>582</v>
      </c>
      <c r="B292" t="s">
        <v>583</v>
      </c>
      <c r="C292" s="5">
        <v>0</v>
      </c>
      <c r="D292" s="5">
        <v>0</v>
      </c>
      <c r="E292" s="5">
        <v>0</v>
      </c>
      <c r="F292" s="5">
        <v>0</v>
      </c>
    </row>
    <row r="293" spans="1:6" x14ac:dyDescent="0.25">
      <c r="A293" s="3" t="s">
        <v>584</v>
      </c>
      <c r="B293" t="s">
        <v>585</v>
      </c>
      <c r="C293" s="5">
        <v>1935000.004999999</v>
      </c>
      <c r="D293" s="5">
        <v>193388.7</v>
      </c>
      <c r="E293" s="5">
        <v>0</v>
      </c>
      <c r="F293" s="5">
        <v>2128388.7049999991</v>
      </c>
    </row>
    <row r="294" spans="1:6" x14ac:dyDescent="0.25">
      <c r="A294" s="3" t="s">
        <v>586</v>
      </c>
      <c r="B294" t="s">
        <v>191</v>
      </c>
      <c r="C294" s="5">
        <v>2.499997615814209E-3</v>
      </c>
      <c r="D294" s="5">
        <v>0</v>
      </c>
      <c r="E294" s="5">
        <v>0</v>
      </c>
      <c r="F294" s="5">
        <v>2.499997615814209E-3</v>
      </c>
    </row>
    <row r="295" spans="1:6" x14ac:dyDescent="0.25">
      <c r="A295" s="3" t="s">
        <v>587</v>
      </c>
      <c r="B295" t="s">
        <v>588</v>
      </c>
      <c r="C295" s="5">
        <v>82629206.080000043</v>
      </c>
      <c r="D295" s="5">
        <v>94602142.560000002</v>
      </c>
      <c r="E295" s="5">
        <v>6650200</v>
      </c>
      <c r="F295" s="5">
        <v>170581148.64000005</v>
      </c>
    </row>
    <row r="296" spans="1:6" x14ac:dyDescent="0.25">
      <c r="A296" s="3" t="s">
        <v>589</v>
      </c>
      <c r="B296" t="s">
        <v>590</v>
      </c>
      <c r="C296" s="5">
        <v>0</v>
      </c>
      <c r="D296" s="5">
        <v>0</v>
      </c>
      <c r="E296" s="5">
        <v>0</v>
      </c>
      <c r="F296" s="5">
        <v>0</v>
      </c>
    </row>
    <row r="297" spans="1:6" x14ac:dyDescent="0.25">
      <c r="A297" s="3" t="s">
        <v>591</v>
      </c>
      <c r="B297" t="s">
        <v>193</v>
      </c>
      <c r="C297" s="5">
        <v>2029873.5</v>
      </c>
      <c r="D297" s="5">
        <v>6001751.9800000004</v>
      </c>
      <c r="E297" s="5">
        <v>0</v>
      </c>
      <c r="F297" s="5">
        <v>8031625.4800000004</v>
      </c>
    </row>
    <row r="298" spans="1:6" x14ac:dyDescent="0.25">
      <c r="A298" s="3" t="s">
        <v>592</v>
      </c>
      <c r="B298" t="s">
        <v>593</v>
      </c>
      <c r="C298" s="5">
        <v>4994292.6999999583</v>
      </c>
      <c r="D298" s="5">
        <v>74569222.480000004</v>
      </c>
      <c r="E298" s="5">
        <v>888376.66</v>
      </c>
      <c r="F298" s="5">
        <v>78675138.519999966</v>
      </c>
    </row>
    <row r="299" spans="1:6" x14ac:dyDescent="0.25">
      <c r="A299" s="3" t="s">
        <v>594</v>
      </c>
      <c r="B299" t="s">
        <v>595</v>
      </c>
      <c r="C299" s="5">
        <v>7.0000067353248596E-4</v>
      </c>
      <c r="D299" s="5">
        <v>0</v>
      </c>
      <c r="E299" s="5">
        <v>0</v>
      </c>
      <c r="F299" s="5">
        <v>7.0000067353248596E-4</v>
      </c>
    </row>
    <row r="300" spans="1:6" x14ac:dyDescent="0.25">
      <c r="A300" s="3" t="s">
        <v>596</v>
      </c>
      <c r="B300" t="s">
        <v>597</v>
      </c>
      <c r="C300" s="5">
        <v>0</v>
      </c>
      <c r="D300" s="5">
        <v>0</v>
      </c>
      <c r="E300" s="5">
        <v>0</v>
      </c>
      <c r="F300" s="5">
        <v>0</v>
      </c>
    </row>
    <row r="301" spans="1:6" x14ac:dyDescent="0.25">
      <c r="A301" s="3" t="s">
        <v>598</v>
      </c>
      <c r="B301" t="s">
        <v>599</v>
      </c>
      <c r="C301" s="5">
        <v>13053209.24000001</v>
      </c>
      <c r="D301" s="5">
        <v>0</v>
      </c>
      <c r="E301" s="5">
        <v>0</v>
      </c>
      <c r="F301" s="5">
        <v>13053209.24000001</v>
      </c>
    </row>
    <row r="302" spans="1:6" x14ac:dyDescent="0.25">
      <c r="A302" s="3" t="s">
        <v>600</v>
      </c>
      <c r="B302" t="s">
        <v>601</v>
      </c>
      <c r="C302" s="5">
        <v>3345119.8799999952</v>
      </c>
      <c r="D302" s="5">
        <v>0</v>
      </c>
      <c r="E302" s="5">
        <v>0</v>
      </c>
      <c r="F302" s="5">
        <v>3345119.8799999952</v>
      </c>
    </row>
    <row r="303" spans="1:6" x14ac:dyDescent="0.25">
      <c r="A303" s="3" t="s">
        <v>602</v>
      </c>
      <c r="B303" t="s">
        <v>603</v>
      </c>
      <c r="C303" s="5">
        <v>0</v>
      </c>
      <c r="D303" s="5">
        <v>0</v>
      </c>
      <c r="E303" s="5">
        <v>0</v>
      </c>
      <c r="F303" s="5">
        <v>0</v>
      </c>
    </row>
    <row r="304" spans="1:6" x14ac:dyDescent="0.25">
      <c r="A304" s="3" t="s">
        <v>604</v>
      </c>
      <c r="B304" t="s">
        <v>605</v>
      </c>
      <c r="C304" s="5">
        <v>0</v>
      </c>
      <c r="D304" s="5">
        <v>0</v>
      </c>
      <c r="E304" s="5">
        <v>0</v>
      </c>
      <c r="F304" s="5">
        <v>0</v>
      </c>
    </row>
    <row r="305" spans="1:6" x14ac:dyDescent="0.25">
      <c r="A305" s="3" t="s">
        <v>606</v>
      </c>
      <c r="B305" t="s">
        <v>607</v>
      </c>
      <c r="C305" s="5">
        <v>88841081.310000032</v>
      </c>
      <c r="D305" s="5">
        <v>0</v>
      </c>
      <c r="E305" s="5">
        <v>0</v>
      </c>
      <c r="F305" s="5">
        <v>88841081.310000032</v>
      </c>
    </row>
    <row r="306" spans="1:6" x14ac:dyDescent="0.25">
      <c r="A306" s="3" t="s">
        <v>608</v>
      </c>
      <c r="B306" t="s">
        <v>609</v>
      </c>
      <c r="C306" s="5">
        <v>7614655.7099999972</v>
      </c>
      <c r="D306" s="5">
        <v>2580000</v>
      </c>
      <c r="E306" s="5">
        <v>2580000</v>
      </c>
      <c r="F306" s="5">
        <v>7614655.7099999972</v>
      </c>
    </row>
    <row r="307" spans="1:6" x14ac:dyDescent="0.25">
      <c r="A307" s="3" t="s">
        <v>610</v>
      </c>
      <c r="B307" t="s">
        <v>611</v>
      </c>
      <c r="C307" s="5">
        <v>0</v>
      </c>
      <c r="D307" s="5">
        <v>0</v>
      </c>
      <c r="E307" s="5">
        <v>0</v>
      </c>
      <c r="F307" s="5">
        <v>0</v>
      </c>
    </row>
    <row r="308" spans="1:6" x14ac:dyDescent="0.25">
      <c r="A308" s="3" t="s">
        <v>612</v>
      </c>
      <c r="B308" t="s">
        <v>613</v>
      </c>
      <c r="C308" s="5">
        <v>5.9604644775390625E-8</v>
      </c>
      <c r="D308" s="5">
        <v>47968500</v>
      </c>
      <c r="E308" s="5">
        <v>0</v>
      </c>
      <c r="F308" s="5">
        <v>47968500.00000006</v>
      </c>
    </row>
    <row r="309" spans="1:6" x14ac:dyDescent="0.25">
      <c r="A309" s="3" t="s">
        <v>614</v>
      </c>
      <c r="B309" t="s">
        <v>615</v>
      </c>
      <c r="C309" s="5">
        <v>-1.999999993131496E-3</v>
      </c>
      <c r="D309" s="5">
        <v>0</v>
      </c>
      <c r="E309" s="5">
        <v>0</v>
      </c>
      <c r="F309" s="5">
        <v>-1.999999993131496E-3</v>
      </c>
    </row>
    <row r="310" spans="1:6" x14ac:dyDescent="0.25">
      <c r="A310" s="3" t="s">
        <v>616</v>
      </c>
      <c r="B310" t="s">
        <v>617</v>
      </c>
      <c r="C310" s="5">
        <v>9963737.4000000954</v>
      </c>
      <c r="D310" s="5">
        <v>9992670.9399999995</v>
      </c>
      <c r="E310" s="5">
        <v>316166.40000000002</v>
      </c>
      <c r="F310" s="5">
        <v>19640241.940000094</v>
      </c>
    </row>
    <row r="311" spans="1:6" x14ac:dyDescent="0.25">
      <c r="A311" s="3" t="s">
        <v>618</v>
      </c>
      <c r="B311" t="s">
        <v>619</v>
      </c>
      <c r="C311" s="5">
        <v>107603826.76000002</v>
      </c>
      <c r="D311" s="5">
        <v>36013499.869999997</v>
      </c>
      <c r="E311" s="5">
        <v>0</v>
      </c>
      <c r="F311" s="5">
        <v>143617326.63000003</v>
      </c>
    </row>
    <row r="312" spans="1:6" x14ac:dyDescent="0.25">
      <c r="A312" s="3" t="s">
        <v>620</v>
      </c>
      <c r="B312" t="s">
        <v>621</v>
      </c>
      <c r="C312" s="5">
        <v>62725368.880000114</v>
      </c>
      <c r="D312" s="5">
        <v>23099375.210000001</v>
      </c>
      <c r="E312" s="5">
        <v>0</v>
      </c>
      <c r="F312" s="5">
        <v>85824744.090000123</v>
      </c>
    </row>
    <row r="313" spans="1:6" x14ac:dyDescent="0.25">
      <c r="A313" s="3" t="s">
        <v>622</v>
      </c>
      <c r="B313" t="s">
        <v>623</v>
      </c>
      <c r="C313" s="5">
        <v>0</v>
      </c>
      <c r="D313" s="5">
        <v>0</v>
      </c>
      <c r="E313" s="5">
        <v>0</v>
      </c>
      <c r="F313" s="5">
        <v>0</v>
      </c>
    </row>
    <row r="314" spans="1:6" x14ac:dyDescent="0.25">
      <c r="A314" s="3" t="s">
        <v>624</v>
      </c>
      <c r="B314" t="s">
        <v>625</v>
      </c>
      <c r="C314" s="5">
        <v>0</v>
      </c>
      <c r="D314" s="5">
        <v>0</v>
      </c>
      <c r="E314" s="5">
        <v>0</v>
      </c>
      <c r="F314" s="5">
        <v>0</v>
      </c>
    </row>
    <row r="315" spans="1:6" x14ac:dyDescent="0.25">
      <c r="A315" s="3" t="s">
        <v>626</v>
      </c>
      <c r="B315" t="s">
        <v>627</v>
      </c>
      <c r="C315" s="5">
        <v>9284592.9900999963</v>
      </c>
      <c r="D315" s="5">
        <v>509879.71</v>
      </c>
      <c r="E315" s="5">
        <v>0</v>
      </c>
      <c r="F315" s="5">
        <v>9794472.7000999972</v>
      </c>
    </row>
    <row r="316" spans="1:6" x14ac:dyDescent="0.25">
      <c r="A316" s="3" t="s">
        <v>628</v>
      </c>
      <c r="B316" t="s">
        <v>629</v>
      </c>
      <c r="C316" s="5">
        <v>0</v>
      </c>
      <c r="D316" s="5">
        <v>0</v>
      </c>
      <c r="E316" s="5">
        <v>0</v>
      </c>
      <c r="F316" s="5">
        <v>0</v>
      </c>
    </row>
    <row r="317" spans="1:6" x14ac:dyDescent="0.25">
      <c r="A317" s="3" t="s">
        <v>630</v>
      </c>
      <c r="B317" t="s">
        <v>631</v>
      </c>
      <c r="C317" s="5">
        <v>1480335688.7299995</v>
      </c>
      <c r="D317" s="5">
        <v>0</v>
      </c>
      <c r="E317" s="5">
        <v>0</v>
      </c>
      <c r="F317" s="5">
        <v>1480335688.7299995</v>
      </c>
    </row>
    <row r="318" spans="1:6" x14ac:dyDescent="0.25">
      <c r="A318" s="3" t="s">
        <v>632</v>
      </c>
      <c r="B318" t="s">
        <v>633</v>
      </c>
      <c r="C318" s="5">
        <v>0</v>
      </c>
      <c r="D318" s="5">
        <v>0</v>
      </c>
      <c r="E318" s="5">
        <v>0</v>
      </c>
      <c r="F318" s="5">
        <v>0</v>
      </c>
    </row>
    <row r="319" spans="1:6" x14ac:dyDescent="0.25">
      <c r="A319" s="3" t="s">
        <v>634</v>
      </c>
      <c r="B319" t="s">
        <v>635</v>
      </c>
      <c r="C319" s="5">
        <v>3490572</v>
      </c>
      <c r="D319" s="5">
        <v>0</v>
      </c>
      <c r="E319" s="5">
        <v>0</v>
      </c>
      <c r="F319" s="5">
        <v>3490572</v>
      </c>
    </row>
    <row r="320" spans="1:6" x14ac:dyDescent="0.25">
      <c r="A320" s="3" t="s">
        <v>636</v>
      </c>
      <c r="B320" t="s">
        <v>637</v>
      </c>
      <c r="C320" s="5">
        <v>0</v>
      </c>
      <c r="D320" s="5">
        <v>0</v>
      </c>
      <c r="E320" s="5">
        <v>0</v>
      </c>
      <c r="F320" s="5">
        <v>0</v>
      </c>
    </row>
    <row r="321" spans="1:6" x14ac:dyDescent="0.25">
      <c r="A321" s="3" t="s">
        <v>638</v>
      </c>
      <c r="B321" t="s">
        <v>639</v>
      </c>
      <c r="C321" s="5">
        <v>2.7939677238464355E-9</v>
      </c>
      <c r="D321" s="5">
        <v>42562627.200000003</v>
      </c>
      <c r="E321" s="5">
        <v>3504000</v>
      </c>
      <c r="F321" s="5">
        <v>39058627.200000003</v>
      </c>
    </row>
    <row r="322" spans="1:6" x14ac:dyDescent="0.25">
      <c r="A322" s="3" t="s">
        <v>640</v>
      </c>
      <c r="B322" t="s">
        <v>641</v>
      </c>
      <c r="C322" s="5">
        <v>0</v>
      </c>
      <c r="D322" s="5">
        <v>0</v>
      </c>
      <c r="E322" s="5">
        <v>0</v>
      </c>
      <c r="F322" s="5">
        <v>0</v>
      </c>
    </row>
    <row r="323" spans="1:6" x14ac:dyDescent="0.25">
      <c r="A323" s="3" t="s">
        <v>642</v>
      </c>
      <c r="B323" t="s">
        <v>643</v>
      </c>
      <c r="C323" s="5">
        <v>147104364</v>
      </c>
      <c r="D323" s="5">
        <v>36051705</v>
      </c>
      <c r="E323" s="5">
        <v>0</v>
      </c>
      <c r="F323" s="5">
        <v>183156069</v>
      </c>
    </row>
    <row r="324" spans="1:6" x14ac:dyDescent="0.25">
      <c r="A324" s="3" t="s">
        <v>644</v>
      </c>
      <c r="B324" t="s">
        <v>645</v>
      </c>
      <c r="C324" s="5">
        <v>0</v>
      </c>
      <c r="D324" s="5">
        <v>27689</v>
      </c>
      <c r="E324" s="5">
        <v>0</v>
      </c>
      <c r="F324" s="5">
        <v>27689</v>
      </c>
    </row>
    <row r="325" spans="1:6" x14ac:dyDescent="0.25">
      <c r="A325" s="3" t="s">
        <v>646</v>
      </c>
      <c r="B325" t="s">
        <v>647</v>
      </c>
      <c r="C325" s="5">
        <v>0</v>
      </c>
      <c r="D325" s="5">
        <v>0</v>
      </c>
      <c r="E325" s="5">
        <v>0</v>
      </c>
      <c r="F325" s="5">
        <v>0</v>
      </c>
    </row>
    <row r="326" spans="1:6" x14ac:dyDescent="0.25">
      <c r="A326" s="3" t="s">
        <v>648</v>
      </c>
      <c r="B326" t="s">
        <v>649</v>
      </c>
      <c r="C326" s="5">
        <v>0</v>
      </c>
      <c r="D326" s="5">
        <v>0</v>
      </c>
      <c r="E326" s="5">
        <v>0</v>
      </c>
      <c r="F326" s="5">
        <v>0</v>
      </c>
    </row>
    <row r="327" spans="1:6" x14ac:dyDescent="0.25">
      <c r="A327" s="3" t="s">
        <v>650</v>
      </c>
      <c r="B327" t="s">
        <v>651</v>
      </c>
      <c r="C327" s="5">
        <v>9291199.3999999985</v>
      </c>
      <c r="D327" s="5">
        <v>0</v>
      </c>
      <c r="E327" s="5">
        <v>0</v>
      </c>
      <c r="F327" s="5">
        <v>9291199.3999999985</v>
      </c>
    </row>
    <row r="328" spans="1:6" x14ac:dyDescent="0.25">
      <c r="A328" s="3" t="s">
        <v>652</v>
      </c>
      <c r="B328" t="s">
        <v>653</v>
      </c>
      <c r="C328" s="5">
        <v>0</v>
      </c>
      <c r="D328" s="5">
        <v>0</v>
      </c>
      <c r="E328" s="5">
        <v>0</v>
      </c>
      <c r="F328" s="5">
        <v>0</v>
      </c>
    </row>
    <row r="329" spans="1:6" x14ac:dyDescent="0.25">
      <c r="A329" s="3" t="s">
        <v>654</v>
      </c>
      <c r="B329" t="s">
        <v>655</v>
      </c>
      <c r="C329" s="5">
        <v>0</v>
      </c>
      <c r="D329" s="5">
        <v>0</v>
      </c>
      <c r="E329" s="5">
        <v>0</v>
      </c>
      <c r="F329" s="5">
        <v>0</v>
      </c>
    </row>
    <row r="330" spans="1:6" x14ac:dyDescent="0.25">
      <c r="A330" s="3" t="s">
        <v>656</v>
      </c>
      <c r="B330" t="s">
        <v>657</v>
      </c>
      <c r="C330" s="5">
        <v>0</v>
      </c>
      <c r="D330" s="5">
        <v>0</v>
      </c>
      <c r="E330" s="5">
        <v>0</v>
      </c>
      <c r="F330" s="5">
        <v>0</v>
      </c>
    </row>
    <row r="331" spans="1:6" x14ac:dyDescent="0.25">
      <c r="A331" s="3" t="s">
        <v>658</v>
      </c>
      <c r="B331" t="s">
        <v>659</v>
      </c>
      <c r="C331" s="5">
        <v>4604221.24</v>
      </c>
      <c r="D331" s="5">
        <v>0</v>
      </c>
      <c r="E331" s="5">
        <v>0</v>
      </c>
      <c r="F331" s="5">
        <v>4604221.24</v>
      </c>
    </row>
    <row r="332" spans="1:6" x14ac:dyDescent="0.25">
      <c r="A332" s="3" t="s">
        <v>660</v>
      </c>
      <c r="B332" t="s">
        <v>661</v>
      </c>
      <c r="C332" s="5">
        <v>0</v>
      </c>
      <c r="D332" s="5">
        <v>0</v>
      </c>
      <c r="E332" s="5">
        <v>0</v>
      </c>
      <c r="F332" s="5">
        <v>0</v>
      </c>
    </row>
    <row r="333" spans="1:6" x14ac:dyDescent="0.25">
      <c r="A333" s="3" t="s">
        <v>662</v>
      </c>
      <c r="B333" t="s">
        <v>663</v>
      </c>
      <c r="C333" s="5">
        <v>0</v>
      </c>
      <c r="D333" s="5">
        <v>0</v>
      </c>
      <c r="E333" s="5">
        <v>0</v>
      </c>
      <c r="F333" s="5">
        <v>0</v>
      </c>
    </row>
    <row r="334" spans="1:6" x14ac:dyDescent="0.25">
      <c r="A334" s="3" t="s">
        <v>664</v>
      </c>
      <c r="B334" t="s">
        <v>665</v>
      </c>
      <c r="C334" s="5">
        <v>523628.10999999661</v>
      </c>
      <c r="D334" s="5">
        <v>515236.36</v>
      </c>
      <c r="E334" s="5">
        <v>3818.18</v>
      </c>
      <c r="F334" s="5">
        <v>1035046.2899999965</v>
      </c>
    </row>
    <row r="335" spans="1:6" x14ac:dyDescent="0.25">
      <c r="A335" s="3" t="s">
        <v>666</v>
      </c>
      <c r="B335" t="s">
        <v>667</v>
      </c>
      <c r="C335" s="5">
        <v>0</v>
      </c>
      <c r="D335" s="5">
        <v>0</v>
      </c>
      <c r="E335" s="5">
        <v>0</v>
      </c>
      <c r="F335" s="5">
        <v>0</v>
      </c>
    </row>
    <row r="336" spans="1:6" x14ac:dyDescent="0.25">
      <c r="A336" s="3" t="s">
        <v>668</v>
      </c>
      <c r="B336" t="s">
        <v>669</v>
      </c>
      <c r="C336" s="5">
        <v>17629157.209999997</v>
      </c>
      <c r="D336" s="5">
        <v>969535.2</v>
      </c>
      <c r="E336" s="5">
        <v>0</v>
      </c>
      <c r="F336" s="5">
        <v>18598692.409999996</v>
      </c>
    </row>
    <row r="337" spans="1:6" x14ac:dyDescent="0.25">
      <c r="A337" s="3" t="s">
        <v>670</v>
      </c>
      <c r="B337" t="s">
        <v>671</v>
      </c>
      <c r="C337" s="5">
        <v>30488293.369999997</v>
      </c>
      <c r="D337" s="5">
        <v>16392556.59</v>
      </c>
      <c r="E337" s="5">
        <v>49999</v>
      </c>
      <c r="F337" s="5">
        <v>46830850.959999993</v>
      </c>
    </row>
    <row r="338" spans="1:6" x14ac:dyDescent="0.25">
      <c r="A338" s="3" t="s">
        <v>672</v>
      </c>
      <c r="B338" t="s">
        <v>673</v>
      </c>
      <c r="C338" s="5">
        <v>0</v>
      </c>
      <c r="D338" s="5">
        <v>0</v>
      </c>
      <c r="E338" s="5">
        <v>0</v>
      </c>
      <c r="F338" s="5">
        <v>0</v>
      </c>
    </row>
    <row r="339" spans="1:6" x14ac:dyDescent="0.25">
      <c r="A339" s="3" t="s">
        <v>674</v>
      </c>
      <c r="B339" t="s">
        <v>675</v>
      </c>
      <c r="C339" s="5">
        <v>1262342.9900000021</v>
      </c>
      <c r="D339" s="5">
        <v>0</v>
      </c>
      <c r="E339" s="5">
        <v>0</v>
      </c>
      <c r="F339" s="5">
        <v>1262342.9900000021</v>
      </c>
    </row>
    <row r="340" spans="1:6" x14ac:dyDescent="0.25">
      <c r="A340" s="3" t="s">
        <v>676</v>
      </c>
      <c r="B340" t="s">
        <v>677</v>
      </c>
      <c r="C340" s="5">
        <v>0</v>
      </c>
      <c r="D340" s="5">
        <v>0</v>
      </c>
      <c r="E340" s="5">
        <v>0</v>
      </c>
      <c r="F340" s="5">
        <v>0</v>
      </c>
    </row>
    <row r="341" spans="1:6" x14ac:dyDescent="0.25">
      <c r="A341" s="3" t="s">
        <v>678</v>
      </c>
      <c r="B341" t="s">
        <v>679</v>
      </c>
      <c r="C341" s="5">
        <v>0</v>
      </c>
      <c r="D341" s="5">
        <v>0</v>
      </c>
      <c r="E341" s="5">
        <v>0</v>
      </c>
      <c r="F341" s="5">
        <v>0</v>
      </c>
    </row>
    <row r="342" spans="1:6" x14ac:dyDescent="0.25">
      <c r="A342" s="3" t="s">
        <v>680</v>
      </c>
      <c r="B342" t="s">
        <v>681</v>
      </c>
      <c r="C342" s="5">
        <v>280367428.79000008</v>
      </c>
      <c r="D342" s="5">
        <v>67869084.799999997</v>
      </c>
      <c r="E342" s="5">
        <v>0</v>
      </c>
      <c r="F342" s="5">
        <v>348236513.59000009</v>
      </c>
    </row>
    <row r="343" spans="1:6" x14ac:dyDescent="0.25">
      <c r="A343" s="3" t="s">
        <v>682</v>
      </c>
      <c r="B343" t="s">
        <v>683</v>
      </c>
      <c r="C343" s="5">
        <v>0</v>
      </c>
      <c r="D343" s="5">
        <v>0</v>
      </c>
      <c r="E343" s="5">
        <v>0</v>
      </c>
      <c r="F343" s="5">
        <v>0</v>
      </c>
    </row>
    <row r="344" spans="1:6" x14ac:dyDescent="0.25">
      <c r="A344" s="3" t="s">
        <v>684</v>
      </c>
      <c r="B344" t="s">
        <v>685</v>
      </c>
      <c r="C344" s="5">
        <v>94144470.680000007</v>
      </c>
      <c r="D344" s="5">
        <v>0</v>
      </c>
      <c r="E344" s="5">
        <v>0</v>
      </c>
      <c r="F344" s="5">
        <v>94144470.680000007</v>
      </c>
    </row>
    <row r="345" spans="1:6" x14ac:dyDescent="0.25">
      <c r="A345" s="3" t="s">
        <v>686</v>
      </c>
      <c r="B345" t="s">
        <v>687</v>
      </c>
      <c r="C345" s="5">
        <v>10592000</v>
      </c>
      <c r="D345" s="5">
        <v>0</v>
      </c>
      <c r="E345" s="5">
        <v>0</v>
      </c>
      <c r="F345" s="5">
        <v>10592000</v>
      </c>
    </row>
    <row r="346" spans="1:6" x14ac:dyDescent="0.25">
      <c r="A346" s="3" t="s">
        <v>688</v>
      </c>
      <c r="B346" t="s">
        <v>689</v>
      </c>
      <c r="C346" s="5">
        <v>0</v>
      </c>
      <c r="D346" s="5">
        <v>0</v>
      </c>
      <c r="E346" s="5">
        <v>0</v>
      </c>
      <c r="F346" s="5">
        <v>0</v>
      </c>
    </row>
    <row r="347" spans="1:6" x14ac:dyDescent="0.25">
      <c r="A347" s="3" t="s">
        <v>690</v>
      </c>
      <c r="B347" t="s">
        <v>691</v>
      </c>
      <c r="C347" s="5">
        <v>28044850.659999996</v>
      </c>
      <c r="D347" s="5">
        <v>9397714.75</v>
      </c>
      <c r="E347" s="5">
        <v>447319.66</v>
      </c>
      <c r="F347" s="5">
        <v>36995245.75</v>
      </c>
    </row>
    <row r="348" spans="1:6" x14ac:dyDescent="0.25">
      <c r="A348" s="3" t="s">
        <v>692</v>
      </c>
      <c r="B348" t="s">
        <v>693</v>
      </c>
      <c r="C348" s="5">
        <v>2324562.12</v>
      </c>
      <c r="D348" s="5">
        <v>0</v>
      </c>
      <c r="E348" s="5">
        <v>0</v>
      </c>
      <c r="F348" s="5">
        <v>2324562.12</v>
      </c>
    </row>
    <row r="349" spans="1:6" x14ac:dyDescent="0.25">
      <c r="A349" s="3" t="s">
        <v>694</v>
      </c>
      <c r="B349" t="s">
        <v>695</v>
      </c>
      <c r="C349" s="5">
        <v>0</v>
      </c>
      <c r="D349" s="5">
        <v>0</v>
      </c>
      <c r="E349" s="5">
        <v>0</v>
      </c>
      <c r="F349" s="5">
        <v>0</v>
      </c>
    </row>
    <row r="350" spans="1:6" x14ac:dyDescent="0.25">
      <c r="A350" s="3" t="s">
        <v>696</v>
      </c>
      <c r="B350" t="s">
        <v>697</v>
      </c>
      <c r="C350" s="5">
        <v>0</v>
      </c>
      <c r="D350" s="5">
        <v>0</v>
      </c>
      <c r="E350" s="5">
        <v>0</v>
      </c>
      <c r="F350" s="5">
        <v>0</v>
      </c>
    </row>
    <row r="351" spans="1:6" x14ac:dyDescent="0.25">
      <c r="A351" s="3" t="s">
        <v>698</v>
      </c>
      <c r="B351" t="s">
        <v>699</v>
      </c>
      <c r="C351" s="5">
        <v>2414332.0000000037</v>
      </c>
      <c r="D351" s="5">
        <v>288340</v>
      </c>
      <c r="E351" s="5">
        <v>0</v>
      </c>
      <c r="F351" s="5">
        <v>2702672.0000000037</v>
      </c>
    </row>
    <row r="352" spans="1:6" x14ac:dyDescent="0.25">
      <c r="A352" s="3" t="s">
        <v>700</v>
      </c>
      <c r="B352" t="s">
        <v>701</v>
      </c>
      <c r="C352" s="5">
        <v>19226000.000000015</v>
      </c>
      <c r="D352" s="5">
        <v>9546000</v>
      </c>
      <c r="E352" s="5">
        <v>0</v>
      </c>
      <c r="F352" s="5">
        <v>28772000.000000015</v>
      </c>
    </row>
    <row r="353" spans="1:6" x14ac:dyDescent="0.25">
      <c r="A353" s="3" t="s">
        <v>702</v>
      </c>
      <c r="B353" t="s">
        <v>703</v>
      </c>
      <c r="C353" s="5">
        <v>65180842.970000044</v>
      </c>
      <c r="D353" s="5">
        <v>27419698.949999999</v>
      </c>
      <c r="E353" s="5">
        <v>738287.35</v>
      </c>
      <c r="F353" s="5">
        <v>91862254.570000052</v>
      </c>
    </row>
    <row r="354" spans="1:6" x14ac:dyDescent="0.25">
      <c r="A354" s="3" t="s">
        <v>704</v>
      </c>
      <c r="B354" t="s">
        <v>697</v>
      </c>
      <c r="C354" s="5">
        <v>0</v>
      </c>
      <c r="D354" s="5">
        <v>0</v>
      </c>
      <c r="E354" s="5">
        <v>0</v>
      </c>
      <c r="F354" s="5">
        <v>0</v>
      </c>
    </row>
    <row r="355" spans="1:6" x14ac:dyDescent="0.25">
      <c r="A355" s="3" t="s">
        <v>705</v>
      </c>
      <c r="B355" t="s">
        <v>706</v>
      </c>
      <c r="C355" s="5">
        <v>200000</v>
      </c>
      <c r="D355" s="5">
        <v>0</v>
      </c>
      <c r="E355" s="5">
        <v>0</v>
      </c>
      <c r="F355" s="5">
        <v>200000</v>
      </c>
    </row>
    <row r="356" spans="1:6" x14ac:dyDescent="0.25">
      <c r="A356" s="3" t="s">
        <v>707</v>
      </c>
      <c r="B356" t="s">
        <v>708</v>
      </c>
      <c r="C356" s="5">
        <v>182138315.29999992</v>
      </c>
      <c r="D356" s="5">
        <v>72270592.870000005</v>
      </c>
      <c r="E356" s="5">
        <v>5805820.8200000003</v>
      </c>
      <c r="F356" s="5">
        <v>248603087.34999993</v>
      </c>
    </row>
    <row r="357" spans="1:6" x14ac:dyDescent="0.25">
      <c r="A357" s="3" t="s">
        <v>709</v>
      </c>
      <c r="B357" t="s">
        <v>710</v>
      </c>
      <c r="C357" s="5">
        <v>0</v>
      </c>
      <c r="D357" s="5">
        <v>0</v>
      </c>
      <c r="E357" s="5">
        <v>0</v>
      </c>
      <c r="F357" s="5">
        <v>0</v>
      </c>
    </row>
    <row r="358" spans="1:6" x14ac:dyDescent="0.25">
      <c r="A358" s="3" t="s">
        <v>711</v>
      </c>
      <c r="B358" t="s">
        <v>712</v>
      </c>
      <c r="C358" s="5">
        <v>1331289.48</v>
      </c>
      <c r="D358" s="5">
        <v>4275567.8099999996</v>
      </c>
      <c r="E358" s="5">
        <v>47558.85</v>
      </c>
      <c r="F358" s="5">
        <v>5559298.4399999995</v>
      </c>
    </row>
    <row r="359" spans="1:6" x14ac:dyDescent="0.25">
      <c r="A359" s="3" t="s">
        <v>713</v>
      </c>
      <c r="B359" t="s">
        <v>714</v>
      </c>
      <c r="C359" s="5">
        <v>205918.12</v>
      </c>
      <c r="D359" s="5">
        <v>950587.73</v>
      </c>
      <c r="E359" s="5">
        <v>3752.89</v>
      </c>
      <c r="F359" s="5">
        <v>1152752.9600000002</v>
      </c>
    </row>
    <row r="360" spans="1:6" x14ac:dyDescent="0.25">
      <c r="A360" s="3" t="s">
        <v>715</v>
      </c>
      <c r="B360" t="s">
        <v>716</v>
      </c>
      <c r="C360" s="5">
        <v>7716133.3399999999</v>
      </c>
      <c r="D360" s="5">
        <v>7619805.29</v>
      </c>
      <c r="E360" s="5">
        <v>0</v>
      </c>
      <c r="F360" s="5">
        <v>15335938.629999999</v>
      </c>
    </row>
    <row r="361" spans="1:6" x14ac:dyDescent="0.25">
      <c r="A361" s="3" t="s">
        <v>717</v>
      </c>
      <c r="B361" t="s">
        <v>718</v>
      </c>
      <c r="C361" s="5">
        <v>6189671892.6599998</v>
      </c>
      <c r="D361" s="5">
        <v>29584560.390000001</v>
      </c>
      <c r="E361" s="5">
        <v>95910.35</v>
      </c>
      <c r="F361" s="5">
        <v>6219160542.6999998</v>
      </c>
    </row>
    <row r="362" spans="1:6" x14ac:dyDescent="0.25">
      <c r="A362" s="3" t="s">
        <v>719</v>
      </c>
      <c r="B362" t="s">
        <v>720</v>
      </c>
      <c r="C362" s="5">
        <v>986454318.09999979</v>
      </c>
      <c r="D362" s="5">
        <v>1011014163.27</v>
      </c>
      <c r="E362" s="5">
        <v>0</v>
      </c>
      <c r="F362" s="5">
        <v>1997468481.3699999</v>
      </c>
    </row>
    <row r="363" spans="1:6" x14ac:dyDescent="0.25">
      <c r="A363" s="3" t="s">
        <v>721</v>
      </c>
      <c r="B363" t="s">
        <v>722</v>
      </c>
      <c r="C363" s="5">
        <v>24808548.640000001</v>
      </c>
      <c r="D363" s="5">
        <v>45376532.579999998</v>
      </c>
      <c r="E363" s="5">
        <v>0</v>
      </c>
      <c r="F363" s="5">
        <v>70185081.219999999</v>
      </c>
    </row>
    <row r="364" spans="1:6" x14ac:dyDescent="0.25">
      <c r="A364" s="3" t="s">
        <v>723</v>
      </c>
      <c r="B364" t="s">
        <v>724</v>
      </c>
      <c r="C364" s="5">
        <v>15969817.689999998</v>
      </c>
      <c r="D364" s="5">
        <v>7923374.9199999999</v>
      </c>
      <c r="E364" s="5">
        <v>0</v>
      </c>
      <c r="F364" s="5">
        <v>23893192.609999999</v>
      </c>
    </row>
    <row r="365" spans="1:6" x14ac:dyDescent="0.25">
      <c r="A365" s="3" t="s">
        <v>725</v>
      </c>
      <c r="B365" t="s">
        <v>726</v>
      </c>
      <c r="C365" s="5">
        <v>48361423.43</v>
      </c>
      <c r="D365" s="5">
        <v>2117670.7000000002</v>
      </c>
      <c r="E365" s="5">
        <v>0</v>
      </c>
      <c r="F365" s="5">
        <v>50479094.130000003</v>
      </c>
    </row>
    <row r="366" spans="1:6" x14ac:dyDescent="0.25">
      <c r="A366" s="3" t="s">
        <v>727</v>
      </c>
      <c r="B366" t="s">
        <v>728</v>
      </c>
      <c r="C366" s="5">
        <v>37292615.339999974</v>
      </c>
      <c r="D366" s="5">
        <v>49980931.509999998</v>
      </c>
      <c r="E366" s="5">
        <v>0</v>
      </c>
      <c r="F366" s="5">
        <v>87273546.849999964</v>
      </c>
    </row>
    <row r="367" spans="1:6" x14ac:dyDescent="0.25">
      <c r="A367" s="3" t="s">
        <v>729</v>
      </c>
      <c r="B367" t="s">
        <v>724</v>
      </c>
      <c r="C367" s="5">
        <v>0</v>
      </c>
      <c r="D367" s="5">
        <v>0</v>
      </c>
      <c r="E367" s="5">
        <v>0</v>
      </c>
      <c r="F367" s="5">
        <v>0</v>
      </c>
    </row>
    <row r="368" spans="1:6" x14ac:dyDescent="0.25">
      <c r="A368" s="3" t="s">
        <v>730</v>
      </c>
      <c r="B368" t="s">
        <v>731</v>
      </c>
      <c r="C368" s="5">
        <v>335936977.32999992</v>
      </c>
      <c r="D368" s="5">
        <v>68660608.739999995</v>
      </c>
      <c r="E368" s="5">
        <v>431839.1</v>
      </c>
      <c r="F368" s="5">
        <v>404165746.96999991</v>
      </c>
    </row>
    <row r="369" spans="1:6" x14ac:dyDescent="0.25">
      <c r="A369" s="3" t="s">
        <v>732</v>
      </c>
      <c r="B369" t="s">
        <v>733</v>
      </c>
      <c r="C369" s="5">
        <v>729065560.01000011</v>
      </c>
      <c r="D369" s="5">
        <v>207617010.66</v>
      </c>
      <c r="E369" s="5">
        <v>0</v>
      </c>
      <c r="F369" s="5">
        <v>936682570.67000008</v>
      </c>
    </row>
    <row r="370" spans="1:6" x14ac:dyDescent="0.25">
      <c r="A370" s="3" t="s">
        <v>734</v>
      </c>
      <c r="B370" t="s">
        <v>735</v>
      </c>
      <c r="C370" s="5">
        <v>200928107.99000001</v>
      </c>
      <c r="D370" s="5">
        <v>27469516.739999998</v>
      </c>
      <c r="E370" s="5">
        <v>0</v>
      </c>
      <c r="F370" s="5">
        <v>228397624.73000002</v>
      </c>
    </row>
    <row r="371" spans="1:6" x14ac:dyDescent="0.25">
      <c r="A371" s="3" t="s">
        <v>736</v>
      </c>
      <c r="B371" t="s">
        <v>737</v>
      </c>
      <c r="C371" s="5">
        <v>65857056.730000004</v>
      </c>
      <c r="D371" s="5">
        <v>800000</v>
      </c>
      <c r="E371" s="5">
        <v>0</v>
      </c>
      <c r="F371" s="5">
        <v>66657056.730000004</v>
      </c>
    </row>
    <row r="372" spans="1:6" x14ac:dyDescent="0.25">
      <c r="A372" s="3" t="s">
        <v>738</v>
      </c>
      <c r="B372" t="s">
        <v>739</v>
      </c>
      <c r="C372" s="5">
        <v>64282956.849999905</v>
      </c>
      <c r="D372" s="5">
        <v>25222784.920000002</v>
      </c>
      <c r="E372" s="5">
        <v>0</v>
      </c>
      <c r="F372" s="5">
        <v>89505741.769999906</v>
      </c>
    </row>
    <row r="373" spans="1:6" x14ac:dyDescent="0.25">
      <c r="A373" s="3" t="s">
        <v>740</v>
      </c>
      <c r="B373" t="s">
        <v>741</v>
      </c>
      <c r="C373" s="5">
        <v>574830235.17000008</v>
      </c>
      <c r="D373" s="5">
        <v>0</v>
      </c>
      <c r="E373" s="5">
        <v>0</v>
      </c>
      <c r="F373" s="5">
        <v>574830235.17000008</v>
      </c>
    </row>
    <row r="374" spans="1:6" x14ac:dyDescent="0.25">
      <c r="A374" s="3" t="s">
        <v>742</v>
      </c>
      <c r="B374" t="s">
        <v>743</v>
      </c>
      <c r="C374" s="5">
        <v>0</v>
      </c>
      <c r="D374" s="5">
        <v>0</v>
      </c>
      <c r="E374" s="5">
        <v>0</v>
      </c>
      <c r="F374" s="5">
        <v>0</v>
      </c>
    </row>
    <row r="375" spans="1:6" x14ac:dyDescent="0.25">
      <c r="A375" s="3" t="s">
        <v>744</v>
      </c>
      <c r="B375" t="s">
        <v>745</v>
      </c>
      <c r="C375" s="5">
        <v>8395212.4199999999</v>
      </c>
      <c r="D375" s="5">
        <v>0</v>
      </c>
      <c r="E375" s="5">
        <v>0</v>
      </c>
      <c r="F375" s="5">
        <v>8395212.4199999999</v>
      </c>
    </row>
    <row r="376" spans="1:6" x14ac:dyDescent="0.25">
      <c r="A376" s="3" t="s">
        <v>746</v>
      </c>
      <c r="B376" t="s">
        <v>747</v>
      </c>
      <c r="C376" s="5">
        <v>0</v>
      </c>
      <c r="D376" s="5">
        <v>0</v>
      </c>
      <c r="E376" s="5">
        <v>0</v>
      </c>
      <c r="F376" s="5">
        <v>0</v>
      </c>
    </row>
    <row r="377" spans="1:6" x14ac:dyDescent="0.25">
      <c r="A377" s="3" t="s">
        <v>748</v>
      </c>
      <c r="B377" t="s">
        <v>749</v>
      </c>
      <c r="C377" s="5">
        <v>0</v>
      </c>
      <c r="D377" s="5">
        <v>1036000</v>
      </c>
      <c r="E377" s="5">
        <v>0</v>
      </c>
      <c r="F377" s="5">
        <v>1036000</v>
      </c>
    </row>
    <row r="378" spans="1:6" x14ac:dyDescent="0.25">
      <c r="A378" s="3" t="s">
        <v>750</v>
      </c>
      <c r="B378" t="s">
        <v>751</v>
      </c>
      <c r="C378" s="5">
        <v>0</v>
      </c>
      <c r="D378" s="5">
        <v>0</v>
      </c>
      <c r="E378" s="5">
        <v>0</v>
      </c>
      <c r="F378" s="5">
        <v>0</v>
      </c>
    </row>
    <row r="379" spans="1:6" x14ac:dyDescent="0.25">
      <c r="A379" s="3" t="s">
        <v>752</v>
      </c>
      <c r="B379" t="s">
        <v>753</v>
      </c>
      <c r="C379" s="5">
        <v>175577036.27999994</v>
      </c>
      <c r="D379" s="5">
        <v>51921841.119999997</v>
      </c>
      <c r="E379" s="5">
        <v>0</v>
      </c>
      <c r="F379" s="5">
        <v>227498877.39999995</v>
      </c>
    </row>
    <row r="380" spans="1:6" x14ac:dyDescent="0.25">
      <c r="A380" s="3" t="s">
        <v>754</v>
      </c>
      <c r="B380" t="s">
        <v>755</v>
      </c>
      <c r="C380" s="5">
        <v>-5.0002336502075195E-4</v>
      </c>
      <c r="D380" s="5">
        <v>0</v>
      </c>
      <c r="E380" s="5">
        <v>0</v>
      </c>
      <c r="F380" s="5">
        <v>-5.0002336502075195E-4</v>
      </c>
    </row>
    <row r="381" spans="1:6" x14ac:dyDescent="0.25">
      <c r="A381" s="3" t="s">
        <v>756</v>
      </c>
      <c r="B381" t="s">
        <v>757</v>
      </c>
      <c r="C381" s="5">
        <v>2087550.78</v>
      </c>
      <c r="D381" s="5">
        <v>766668.94</v>
      </c>
      <c r="E381" s="5">
        <v>0</v>
      </c>
      <c r="F381" s="5">
        <v>2854219.7199999997</v>
      </c>
    </row>
    <row r="382" spans="1:6" x14ac:dyDescent="0.25">
      <c r="A382" s="3" t="s">
        <v>758</v>
      </c>
      <c r="B382" t="s">
        <v>759</v>
      </c>
      <c r="C382" s="5">
        <v>0</v>
      </c>
      <c r="D382" s="5">
        <v>0</v>
      </c>
      <c r="E382" s="5">
        <v>0</v>
      </c>
      <c r="F382" s="5">
        <v>0</v>
      </c>
    </row>
    <row r="383" spans="1:6" x14ac:dyDescent="0.25">
      <c r="A383" s="3" t="s">
        <v>760</v>
      </c>
      <c r="B383" t="s">
        <v>761</v>
      </c>
      <c r="C383" s="5">
        <v>0</v>
      </c>
      <c r="D383" s="5">
        <v>0</v>
      </c>
      <c r="E383" s="5">
        <v>0</v>
      </c>
      <c r="F383" s="5">
        <v>0</v>
      </c>
    </row>
    <row r="384" spans="1:6" x14ac:dyDescent="0.25">
      <c r="A384" s="3" t="s">
        <v>762</v>
      </c>
      <c r="B384" t="s">
        <v>763</v>
      </c>
      <c r="C384" s="5">
        <v>2143050.5100000016</v>
      </c>
      <c r="D384" s="5">
        <v>0</v>
      </c>
      <c r="E384" s="5">
        <v>0</v>
      </c>
      <c r="F384" s="5">
        <v>2143050.5100000016</v>
      </c>
    </row>
    <row r="385" spans="1:6" x14ac:dyDescent="0.25">
      <c r="A385" s="3" t="s">
        <v>764</v>
      </c>
      <c r="B385" t="s">
        <v>765</v>
      </c>
      <c r="C385" s="5">
        <v>280443214.31999993</v>
      </c>
      <c r="D385" s="5">
        <v>0</v>
      </c>
      <c r="E385" s="5">
        <v>0</v>
      </c>
      <c r="F385" s="5">
        <v>280443214.31999993</v>
      </c>
    </row>
    <row r="386" spans="1:6" x14ac:dyDescent="0.25">
      <c r="A386" s="3" t="s">
        <v>766</v>
      </c>
      <c r="B386" t="s">
        <v>767</v>
      </c>
      <c r="C386" s="5">
        <v>0</v>
      </c>
      <c r="D386" s="5">
        <v>0</v>
      </c>
      <c r="E386" s="5">
        <v>0</v>
      </c>
      <c r="F386" s="5">
        <v>0</v>
      </c>
    </row>
    <row r="387" spans="1:6" x14ac:dyDescent="0.25">
      <c r="A387" s="3" t="s">
        <v>768</v>
      </c>
      <c r="B387" t="s">
        <v>769</v>
      </c>
      <c r="C387" s="5">
        <v>685266.53000000026</v>
      </c>
      <c r="D387" s="5">
        <v>0</v>
      </c>
      <c r="E387" s="5">
        <v>0</v>
      </c>
      <c r="F387" s="5">
        <v>685266.53000000026</v>
      </c>
    </row>
    <row r="388" spans="1:6" x14ac:dyDescent="0.25">
      <c r="A388" s="3" t="s">
        <v>770</v>
      </c>
      <c r="B388" t="s">
        <v>771</v>
      </c>
      <c r="C388" s="5">
        <v>0</v>
      </c>
      <c r="D388" s="5">
        <v>0</v>
      </c>
      <c r="E388" s="5">
        <v>0</v>
      </c>
      <c r="F388" s="5">
        <v>0</v>
      </c>
    </row>
    <row r="389" spans="1:6" x14ac:dyDescent="0.25">
      <c r="A389" s="3" t="s">
        <v>772</v>
      </c>
      <c r="B389" t="s">
        <v>773</v>
      </c>
      <c r="C389" s="5">
        <v>-2461121.900000006</v>
      </c>
      <c r="D389" s="5">
        <v>1700147.97</v>
      </c>
      <c r="E389" s="5">
        <v>4026558.26</v>
      </c>
      <c r="F389" s="5">
        <v>-4787532.190000006</v>
      </c>
    </row>
    <row r="390" spans="1:6" x14ac:dyDescent="0.25">
      <c r="A390" s="3" t="s">
        <v>774</v>
      </c>
      <c r="B390" t="s">
        <v>775</v>
      </c>
      <c r="C390" s="5">
        <v>31194764.599999994</v>
      </c>
      <c r="D390" s="5">
        <v>48042017.109999999</v>
      </c>
      <c r="E390" s="5">
        <v>0</v>
      </c>
      <c r="F390" s="5">
        <v>79236781.709999993</v>
      </c>
    </row>
    <row r="391" spans="1:6" x14ac:dyDescent="0.25">
      <c r="A391" s="3" t="s">
        <v>776</v>
      </c>
      <c r="B391" t="s">
        <v>777</v>
      </c>
      <c r="C391" s="5">
        <v>0</v>
      </c>
      <c r="D391" s="5">
        <v>0</v>
      </c>
      <c r="E391" s="5">
        <v>0</v>
      </c>
      <c r="F391" s="5">
        <v>0</v>
      </c>
    </row>
    <row r="392" spans="1:6" x14ac:dyDescent="0.25">
      <c r="A392" s="3" t="s">
        <v>778</v>
      </c>
      <c r="B392" t="s">
        <v>779</v>
      </c>
      <c r="C392" s="5">
        <v>6900</v>
      </c>
      <c r="D392" s="5">
        <v>0</v>
      </c>
      <c r="E392" s="5">
        <v>0</v>
      </c>
      <c r="F392" s="5">
        <v>6900</v>
      </c>
    </row>
    <row r="393" spans="1:6" x14ac:dyDescent="0.25">
      <c r="A393" s="3" t="s">
        <v>780</v>
      </c>
      <c r="B393" t="s">
        <v>781</v>
      </c>
      <c r="C393" s="5">
        <v>3435841.6099999994</v>
      </c>
      <c r="D393" s="5">
        <v>0</v>
      </c>
      <c r="E393" s="5">
        <v>0</v>
      </c>
      <c r="F393" s="5">
        <v>3435841.6099999994</v>
      </c>
    </row>
    <row r="394" spans="1:6" x14ac:dyDescent="0.25">
      <c r="A394" s="3" t="s">
        <v>782</v>
      </c>
      <c r="B394" t="s">
        <v>783</v>
      </c>
      <c r="C394" s="5">
        <v>0</v>
      </c>
      <c r="D394" s="5">
        <v>0</v>
      </c>
      <c r="E394" s="5">
        <v>0</v>
      </c>
      <c r="F394" s="5">
        <v>0</v>
      </c>
    </row>
    <row r="395" spans="1:6" x14ac:dyDescent="0.25">
      <c r="A395" s="3" t="s">
        <v>784</v>
      </c>
      <c r="B395" t="s">
        <v>785</v>
      </c>
      <c r="C395" s="5">
        <v>18292924.75</v>
      </c>
      <c r="D395" s="5">
        <v>6718015.3700000001</v>
      </c>
      <c r="E395" s="5">
        <v>0</v>
      </c>
      <c r="F395" s="5">
        <v>25010940.120000001</v>
      </c>
    </row>
    <row r="396" spans="1:6" x14ac:dyDescent="0.25">
      <c r="A396" s="3" t="s">
        <v>786</v>
      </c>
      <c r="B396" t="s">
        <v>787</v>
      </c>
      <c r="C396" s="5">
        <v>-1.1920928955078125E-7</v>
      </c>
      <c r="D396" s="5">
        <v>0</v>
      </c>
      <c r="E396" s="5">
        <v>0</v>
      </c>
      <c r="F396" s="5">
        <v>-1.1920928955078125E-7</v>
      </c>
    </row>
    <row r="397" spans="1:6" x14ac:dyDescent="0.25">
      <c r="A397" s="3" t="s">
        <v>788</v>
      </c>
      <c r="B397" t="s">
        <v>789</v>
      </c>
      <c r="C397" s="5">
        <v>0</v>
      </c>
      <c r="D397" s="5">
        <v>0</v>
      </c>
      <c r="E397" s="5">
        <v>0</v>
      </c>
      <c r="F397" s="5">
        <v>0</v>
      </c>
    </row>
    <row r="398" spans="1:6" x14ac:dyDescent="0.25">
      <c r="A398" s="3" t="s">
        <v>790</v>
      </c>
      <c r="B398" t="s">
        <v>791</v>
      </c>
      <c r="C398" s="5">
        <v>0</v>
      </c>
      <c r="D398" s="5">
        <v>0</v>
      </c>
      <c r="E398" s="5">
        <v>0</v>
      </c>
      <c r="F398" s="5">
        <v>0</v>
      </c>
    </row>
    <row r="399" spans="1:6" x14ac:dyDescent="0.25">
      <c r="A399" s="3" t="s">
        <v>792</v>
      </c>
      <c r="B399" t="s">
        <v>793</v>
      </c>
      <c r="C399" s="5">
        <v>0</v>
      </c>
      <c r="D399" s="5">
        <v>0</v>
      </c>
      <c r="E399" s="5">
        <v>0</v>
      </c>
      <c r="F399" s="5">
        <v>0</v>
      </c>
    </row>
    <row r="400" spans="1:6" x14ac:dyDescent="0.25">
      <c r="A400" s="3" t="s">
        <v>794</v>
      </c>
      <c r="B400" t="s">
        <v>795</v>
      </c>
      <c r="C400" s="5">
        <v>0</v>
      </c>
      <c r="D400" s="5">
        <v>0</v>
      </c>
      <c r="E400" s="5">
        <v>0</v>
      </c>
      <c r="F400" s="5">
        <v>0</v>
      </c>
    </row>
    <row r="401" spans="1:6" x14ac:dyDescent="0.25">
      <c r="A401" s="3" t="s">
        <v>796</v>
      </c>
      <c r="B401" t="s">
        <v>797</v>
      </c>
      <c r="C401" s="5">
        <v>0</v>
      </c>
      <c r="D401" s="5">
        <v>0</v>
      </c>
      <c r="E401" s="5">
        <v>0</v>
      </c>
      <c r="F401" s="5">
        <v>0</v>
      </c>
    </row>
    <row r="402" spans="1:6" x14ac:dyDescent="0.25">
      <c r="A402" s="3" t="s">
        <v>798</v>
      </c>
      <c r="B402" t="s">
        <v>799</v>
      </c>
      <c r="C402" s="5">
        <v>0</v>
      </c>
      <c r="D402" s="5">
        <v>37752000</v>
      </c>
      <c r="E402" s="5">
        <v>18876000</v>
      </c>
      <c r="F402" s="5">
        <v>18876000</v>
      </c>
    </row>
    <row r="403" spans="1:6" x14ac:dyDescent="0.25">
      <c r="A403" s="3" t="s">
        <v>800</v>
      </c>
      <c r="B403" t="s">
        <v>801</v>
      </c>
      <c r="C403" s="5">
        <v>0</v>
      </c>
      <c r="D403" s="5">
        <v>2313161.66</v>
      </c>
      <c r="E403" s="5">
        <v>0</v>
      </c>
      <c r="F403" s="5">
        <v>2313161.66</v>
      </c>
    </row>
    <row r="404" spans="1:6" x14ac:dyDescent="0.25">
      <c r="A404" s="3" t="s">
        <v>802</v>
      </c>
      <c r="B404" t="s">
        <v>803</v>
      </c>
      <c r="C404" s="5">
        <v>0</v>
      </c>
      <c r="D404" s="5">
        <v>0</v>
      </c>
      <c r="E404" s="5">
        <v>0</v>
      </c>
      <c r="F404" s="5">
        <v>0</v>
      </c>
    </row>
    <row r="405" spans="1:6" x14ac:dyDescent="0.25">
      <c r="A405" s="3" t="s">
        <v>804</v>
      </c>
      <c r="B405" t="s">
        <v>805</v>
      </c>
      <c r="C405" s="5">
        <v>0</v>
      </c>
      <c r="D405" s="5">
        <v>4855680</v>
      </c>
      <c r="E405" s="5">
        <v>0</v>
      </c>
      <c r="F405" s="5">
        <v>4855680</v>
      </c>
    </row>
    <row r="406" spans="1:6" x14ac:dyDescent="0.25">
      <c r="A406" s="3" t="s">
        <v>806</v>
      </c>
      <c r="B406" t="s">
        <v>619</v>
      </c>
      <c r="C406" s="5">
        <v>0</v>
      </c>
      <c r="D406" s="5">
        <v>0</v>
      </c>
      <c r="E406" s="5">
        <v>0</v>
      </c>
      <c r="F406" s="5">
        <v>0</v>
      </c>
    </row>
    <row r="407" spans="1:6" x14ac:dyDescent="0.25">
      <c r="A407" s="3" t="s">
        <v>807</v>
      </c>
      <c r="B407" t="s">
        <v>808</v>
      </c>
      <c r="C407" s="5">
        <v>0</v>
      </c>
      <c r="D407" s="5">
        <v>0</v>
      </c>
      <c r="E407" s="5">
        <v>0</v>
      </c>
      <c r="F407" s="5">
        <v>0</v>
      </c>
    </row>
    <row r="408" spans="1:6" x14ac:dyDescent="0.25">
      <c r="A408" s="3" t="s">
        <v>809</v>
      </c>
      <c r="B408" t="s">
        <v>810</v>
      </c>
      <c r="C408" s="5">
        <v>0</v>
      </c>
      <c r="D408" s="5">
        <v>0</v>
      </c>
      <c r="E408" s="5">
        <v>0</v>
      </c>
      <c r="F408" s="5">
        <v>0</v>
      </c>
    </row>
    <row r="409" spans="1:6" x14ac:dyDescent="0.25">
      <c r="A409" s="3" t="s">
        <v>811</v>
      </c>
      <c r="B409" t="s">
        <v>812</v>
      </c>
      <c r="C409" s="5">
        <v>0</v>
      </c>
      <c r="D409" s="5">
        <v>0</v>
      </c>
      <c r="E409" s="5">
        <v>0</v>
      </c>
      <c r="F409" s="5">
        <v>0</v>
      </c>
    </row>
    <row r="410" spans="1:6" x14ac:dyDescent="0.25">
      <c r="A410" s="3" t="s">
        <v>813</v>
      </c>
      <c r="B410" t="s">
        <v>814</v>
      </c>
      <c r="C410" s="5">
        <v>0</v>
      </c>
      <c r="D410" s="5">
        <v>0</v>
      </c>
      <c r="E410" s="5">
        <v>0</v>
      </c>
      <c r="F410" s="5">
        <v>0</v>
      </c>
    </row>
    <row r="411" spans="1:6" x14ac:dyDescent="0.25">
      <c r="A411" s="3" t="s">
        <v>815</v>
      </c>
      <c r="B411" t="s">
        <v>816</v>
      </c>
      <c r="C411" s="5">
        <v>0</v>
      </c>
      <c r="D411" s="5">
        <v>0</v>
      </c>
      <c r="E411" s="5">
        <v>0</v>
      </c>
      <c r="F411" s="5">
        <v>0</v>
      </c>
    </row>
    <row r="412" spans="1:6" x14ac:dyDescent="0.25">
      <c r="A412" s="3" t="s">
        <v>817</v>
      </c>
      <c r="B412" t="s">
        <v>818</v>
      </c>
      <c r="C412" s="5">
        <v>-38145221.36000061</v>
      </c>
      <c r="D412" s="5">
        <v>1176523532.3199999</v>
      </c>
      <c r="E412" s="5">
        <v>1180009568.3399999</v>
      </c>
      <c r="F412" s="5">
        <v>-41631257.380000591</v>
      </c>
    </row>
    <row r="413" spans="1:6" x14ac:dyDescent="0.25">
      <c r="A413" s="3" t="s">
        <v>819</v>
      </c>
      <c r="B413" t="s">
        <v>820</v>
      </c>
      <c r="C413" s="5">
        <v>0</v>
      </c>
      <c r="D413" s="5">
        <v>32000000</v>
      </c>
      <c r="E413" s="5">
        <v>32000000</v>
      </c>
      <c r="F413" s="5">
        <v>0</v>
      </c>
    </row>
    <row r="414" spans="1:6" x14ac:dyDescent="0.25">
      <c r="A414" s="3" t="s">
        <v>821</v>
      </c>
      <c r="B414" t="s">
        <v>822</v>
      </c>
      <c r="C414" s="5">
        <v>0</v>
      </c>
      <c r="D414" s="5">
        <v>0</v>
      </c>
      <c r="E414" s="5">
        <v>0</v>
      </c>
      <c r="F414" s="5">
        <v>0</v>
      </c>
    </row>
    <row r="415" spans="1:6" x14ac:dyDescent="0.25">
      <c r="A415" s="3" t="s">
        <v>823</v>
      </c>
      <c r="B415" t="s">
        <v>824</v>
      </c>
      <c r="C415" s="5">
        <v>-19946877.50999999</v>
      </c>
      <c r="D415" s="5">
        <v>1800161597.4799998</v>
      </c>
      <c r="E415" s="5">
        <v>42241067.979999997</v>
      </c>
      <c r="F415" s="5">
        <v>1737973651.9899998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1EA9-0F59-4619-9FA8-95EC630200F2}">
  <dimension ref="A1:F387"/>
  <sheetViews>
    <sheetView workbookViewId="0">
      <selection activeCell="C6" sqref="C6"/>
    </sheetView>
  </sheetViews>
  <sheetFormatPr baseColWidth="10" defaultRowHeight="15" x14ac:dyDescent="0.25"/>
  <cols>
    <col min="1" max="1" width="13.28515625" bestFit="1" customWidth="1"/>
    <col min="2" max="2" width="44.140625" customWidth="1"/>
    <col min="3" max="3" width="16.7109375" bestFit="1" customWidth="1"/>
    <col min="4" max="5" width="15.85546875" bestFit="1" customWidth="1"/>
    <col min="6" max="6" width="16.7109375" bestFit="1" customWidth="1"/>
  </cols>
  <sheetData>
    <row r="1" spans="1:6" x14ac:dyDescent="0.25">
      <c r="B1" t="s">
        <v>982</v>
      </c>
      <c r="C1" s="1">
        <v>46023</v>
      </c>
    </row>
    <row r="2" spans="1:6" x14ac:dyDescent="0.25">
      <c r="A2" s="4" t="s">
        <v>0</v>
      </c>
      <c r="B2" s="2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x14ac:dyDescent="0.25">
      <c r="A3" s="3" t="s">
        <v>6</v>
      </c>
      <c r="B3" t="s">
        <v>7</v>
      </c>
      <c r="C3" s="5">
        <v>-631477111.33000183</v>
      </c>
      <c r="D3" s="5">
        <v>2268931983.1500001</v>
      </c>
      <c r="E3" s="5">
        <v>1946806666.3900001</v>
      </c>
      <c r="F3" s="5">
        <v>-309351794.57000184</v>
      </c>
    </row>
    <row r="4" spans="1:6" x14ac:dyDescent="0.25">
      <c r="A4" s="3" t="s">
        <v>8</v>
      </c>
      <c r="B4" t="s">
        <v>9</v>
      </c>
      <c r="C4" s="5">
        <v>-95200000</v>
      </c>
      <c r="D4" s="5">
        <v>365430000</v>
      </c>
      <c r="E4" s="5">
        <v>266930000</v>
      </c>
      <c r="F4" s="5">
        <v>3300000</v>
      </c>
    </row>
    <row r="5" spans="1:6" x14ac:dyDescent="0.25">
      <c r="A5" s="3" t="s">
        <v>10</v>
      </c>
      <c r="B5" t="s">
        <v>11</v>
      </c>
      <c r="C5" s="5">
        <v>12074103.129999995</v>
      </c>
      <c r="D5" s="5">
        <v>273379786.69</v>
      </c>
      <c r="E5" s="5">
        <v>243682929.79000002</v>
      </c>
      <c r="F5" s="5">
        <v>41770960.029999971</v>
      </c>
    </row>
    <row r="6" spans="1:6" x14ac:dyDescent="0.25">
      <c r="A6" s="3" t="s">
        <v>827</v>
      </c>
      <c r="B6" t="s">
        <v>828</v>
      </c>
      <c r="C6" s="5">
        <v>-120737921.59999996</v>
      </c>
      <c r="D6" s="5">
        <v>0</v>
      </c>
      <c r="E6" s="5">
        <v>0</v>
      </c>
      <c r="F6" s="5">
        <v>-120737921.59999996</v>
      </c>
    </row>
    <row r="7" spans="1:6" x14ac:dyDescent="0.25">
      <c r="A7" s="3" t="s">
        <v>829</v>
      </c>
      <c r="B7" t="s">
        <v>830</v>
      </c>
      <c r="C7" s="5">
        <v>-388891.06</v>
      </c>
      <c r="D7" s="5">
        <v>0</v>
      </c>
      <c r="E7" s="5">
        <v>0</v>
      </c>
      <c r="F7" s="5">
        <v>-388891.06</v>
      </c>
    </row>
    <row r="8" spans="1:6" x14ac:dyDescent="0.25">
      <c r="A8" s="3" t="s">
        <v>14</v>
      </c>
      <c r="B8" t="s">
        <v>15</v>
      </c>
      <c r="C8" s="5">
        <v>56974.490000009537</v>
      </c>
      <c r="D8" s="5">
        <v>3038822.6</v>
      </c>
      <c r="E8" s="5">
        <v>3052394.59</v>
      </c>
      <c r="F8" s="5">
        <v>43402.500000009779</v>
      </c>
    </row>
    <row r="9" spans="1:6" x14ac:dyDescent="0.25">
      <c r="A9" s="3" t="s">
        <v>16</v>
      </c>
      <c r="B9" t="s">
        <v>17</v>
      </c>
      <c r="C9" s="5">
        <v>39310.519999980927</v>
      </c>
      <c r="D9" s="5">
        <v>134000</v>
      </c>
      <c r="E9" s="5">
        <v>76477.259999999995</v>
      </c>
      <c r="F9" s="5">
        <v>96833.259999980932</v>
      </c>
    </row>
    <row r="10" spans="1:6" x14ac:dyDescent="0.25">
      <c r="A10" s="3" t="s">
        <v>18</v>
      </c>
      <c r="B10" t="s">
        <v>19</v>
      </c>
      <c r="C10" s="5">
        <v>-334955302.51998901</v>
      </c>
      <c r="D10" s="5">
        <v>573845067.66000009</v>
      </c>
      <c r="E10" s="5">
        <v>233926243.84</v>
      </c>
      <c r="F10" s="5">
        <v>4963521.3000110686</v>
      </c>
    </row>
    <row r="11" spans="1:6" x14ac:dyDescent="0.25">
      <c r="A11" s="3" t="s">
        <v>22</v>
      </c>
      <c r="B11" t="s">
        <v>23</v>
      </c>
      <c r="C11" s="5">
        <v>165162994.04000092</v>
      </c>
      <c r="D11" s="5">
        <v>1752115091.6600001</v>
      </c>
      <c r="E11" s="5">
        <v>1759725876.45</v>
      </c>
      <c r="F11" s="5">
        <v>157552209.25000095</v>
      </c>
    </row>
    <row r="12" spans="1:6" x14ac:dyDescent="0.25">
      <c r="A12" s="3" t="s">
        <v>24</v>
      </c>
      <c r="B12" t="s">
        <v>25</v>
      </c>
      <c r="C12" s="5">
        <v>-278177240.76000118</v>
      </c>
      <c r="D12" s="5">
        <v>52127578.530000001</v>
      </c>
      <c r="E12" s="5">
        <v>10184053.390000001</v>
      </c>
      <c r="F12" s="5">
        <v>-236233715.6200012</v>
      </c>
    </row>
    <row r="13" spans="1:6" x14ac:dyDescent="0.25">
      <c r="A13" s="3" t="s">
        <v>831</v>
      </c>
      <c r="B13" t="s">
        <v>832</v>
      </c>
      <c r="C13" s="5">
        <v>0</v>
      </c>
      <c r="D13" s="5">
        <v>0</v>
      </c>
      <c r="E13" s="5">
        <v>0</v>
      </c>
      <c r="F13" s="5">
        <v>0</v>
      </c>
    </row>
    <row r="14" spans="1:6" x14ac:dyDescent="0.25">
      <c r="A14" s="3" t="s">
        <v>28</v>
      </c>
      <c r="B14" t="s">
        <v>29</v>
      </c>
      <c r="C14" s="5">
        <v>0</v>
      </c>
      <c r="D14" s="5">
        <v>0</v>
      </c>
      <c r="E14" s="5">
        <v>0</v>
      </c>
      <c r="F14" s="5">
        <v>0</v>
      </c>
    </row>
    <row r="15" spans="1:6" x14ac:dyDescent="0.25">
      <c r="A15" s="3" t="s">
        <v>833</v>
      </c>
      <c r="B15" t="s">
        <v>834</v>
      </c>
      <c r="C15" s="5">
        <v>-77317596.740000069</v>
      </c>
      <c r="D15" s="5">
        <v>0</v>
      </c>
      <c r="E15" s="5">
        <v>0</v>
      </c>
      <c r="F15" s="5">
        <v>-77317596.740000069</v>
      </c>
    </row>
    <row r="16" spans="1:6" x14ac:dyDescent="0.25">
      <c r="A16" s="3" t="s">
        <v>835</v>
      </c>
      <c r="B16" t="s">
        <v>836</v>
      </c>
      <c r="C16" s="5">
        <v>114108815.39999986</v>
      </c>
      <c r="D16" s="5">
        <v>1878153.55</v>
      </c>
      <c r="E16" s="5">
        <v>15757.3</v>
      </c>
      <c r="F16" s="5">
        <v>115971211.64999986</v>
      </c>
    </row>
    <row r="17" spans="1:6" x14ac:dyDescent="0.25">
      <c r="A17" s="3" t="s">
        <v>837</v>
      </c>
      <c r="B17" t="s">
        <v>838</v>
      </c>
      <c r="C17" s="5">
        <v>0</v>
      </c>
      <c r="D17" s="5">
        <v>20391.22</v>
      </c>
      <c r="E17" s="5">
        <v>0</v>
      </c>
      <c r="F17" s="5">
        <v>20391.22</v>
      </c>
    </row>
    <row r="18" spans="1:6" x14ac:dyDescent="0.25">
      <c r="A18" s="3" t="s">
        <v>839</v>
      </c>
      <c r="B18" t="s">
        <v>840</v>
      </c>
      <c r="C18" s="5">
        <v>0</v>
      </c>
      <c r="D18" s="5">
        <v>0</v>
      </c>
      <c r="E18" s="5">
        <v>25046.61</v>
      </c>
      <c r="F18" s="5">
        <v>-25046.61</v>
      </c>
    </row>
    <row r="19" spans="1:6" x14ac:dyDescent="0.25">
      <c r="A19" s="3" t="s">
        <v>44</v>
      </c>
      <c r="B19" t="s">
        <v>45</v>
      </c>
      <c r="C19" s="5">
        <v>1796214317.6300049</v>
      </c>
      <c r="D19" s="5">
        <v>11060237989.65</v>
      </c>
      <c r="E19" s="5">
        <v>10694494754.860001</v>
      </c>
      <c r="F19" s="5">
        <v>2161957552.4200039</v>
      </c>
    </row>
    <row r="20" spans="1:6" x14ac:dyDescent="0.25">
      <c r="A20" s="3" t="s">
        <v>46</v>
      </c>
      <c r="B20" t="s">
        <v>47</v>
      </c>
      <c r="C20" s="5">
        <v>1772337252.9799998</v>
      </c>
      <c r="D20" s="5">
        <v>3489090147.1900001</v>
      </c>
      <c r="E20" s="5">
        <v>253514693.90000001</v>
      </c>
      <c r="F20" s="5">
        <v>5007912706.2700005</v>
      </c>
    </row>
    <row r="21" spans="1:6" x14ac:dyDescent="0.25">
      <c r="A21" s="3" t="s">
        <v>48</v>
      </c>
      <c r="B21" t="s">
        <v>49</v>
      </c>
      <c r="C21" s="5">
        <v>2384672.9499969482</v>
      </c>
      <c r="D21" s="5">
        <v>16015573.27</v>
      </c>
      <c r="E21" s="5">
        <v>16015573.27</v>
      </c>
      <c r="F21" s="5">
        <v>2384672.9499969482</v>
      </c>
    </row>
    <row r="22" spans="1:6" x14ac:dyDescent="0.25">
      <c r="A22" s="3" t="s">
        <v>50</v>
      </c>
      <c r="B22" t="s">
        <v>51</v>
      </c>
      <c r="C22" s="5">
        <v>-849120.18999958038</v>
      </c>
      <c r="D22" s="5">
        <v>0</v>
      </c>
      <c r="E22" s="5">
        <v>0</v>
      </c>
      <c r="F22" s="5">
        <v>-849120.18999958038</v>
      </c>
    </row>
    <row r="23" spans="1:6" x14ac:dyDescent="0.25">
      <c r="A23" s="3" t="s">
        <v>58</v>
      </c>
      <c r="B23" t="s">
        <v>59</v>
      </c>
      <c r="C23" s="5">
        <v>0</v>
      </c>
      <c r="D23" s="5">
        <v>186055868.84999999</v>
      </c>
      <c r="E23" s="5">
        <v>185775384.30000001</v>
      </c>
      <c r="F23" s="5">
        <v>280484.54999998212</v>
      </c>
    </row>
    <row r="24" spans="1:6" x14ac:dyDescent="0.25">
      <c r="A24" s="3" t="s">
        <v>62</v>
      </c>
      <c r="B24" t="s">
        <v>63</v>
      </c>
      <c r="C24" s="5">
        <v>-281610434.86999512</v>
      </c>
      <c r="D24" s="5">
        <v>1106661405.6399999</v>
      </c>
      <c r="E24" s="5">
        <v>1801101476.6000001</v>
      </c>
      <c r="F24" s="5">
        <v>-976050505.82999539</v>
      </c>
    </row>
    <row r="25" spans="1:6" x14ac:dyDescent="0.25">
      <c r="A25" s="3" t="s">
        <v>66</v>
      </c>
      <c r="B25" t="s">
        <v>67</v>
      </c>
      <c r="C25" s="5">
        <v>359882464.83999991</v>
      </c>
      <c r="D25" s="5">
        <v>152085384</v>
      </c>
      <c r="E25" s="5">
        <v>179483054.41999999</v>
      </c>
      <c r="F25" s="5">
        <v>332484794.41999996</v>
      </c>
    </row>
    <row r="26" spans="1:6" x14ac:dyDescent="0.25">
      <c r="A26" s="3" t="s">
        <v>68</v>
      </c>
      <c r="B26" t="s">
        <v>69</v>
      </c>
      <c r="C26" s="5">
        <v>-348832145.13999939</v>
      </c>
      <c r="D26" s="5">
        <v>1262068388.6899998</v>
      </c>
      <c r="E26" s="5">
        <v>1900955824.9200001</v>
      </c>
      <c r="F26" s="5">
        <v>-987719581.36999965</v>
      </c>
    </row>
    <row r="27" spans="1:6" x14ac:dyDescent="0.25">
      <c r="A27" s="3" t="s">
        <v>70</v>
      </c>
      <c r="B27" t="s">
        <v>71</v>
      </c>
      <c r="C27" s="5">
        <v>1517457714.197998</v>
      </c>
      <c r="D27" s="5">
        <v>710397864.95000005</v>
      </c>
      <c r="E27" s="5">
        <v>36794227.539999999</v>
      </c>
      <c r="F27" s="5">
        <v>2191061351.6079979</v>
      </c>
    </row>
    <row r="28" spans="1:6" x14ac:dyDescent="0.25">
      <c r="A28" s="3" t="s">
        <v>72</v>
      </c>
      <c r="B28" t="s">
        <v>73</v>
      </c>
      <c r="C28" s="5">
        <v>0</v>
      </c>
      <c r="D28" s="5">
        <v>0</v>
      </c>
      <c r="E28" s="5">
        <v>0</v>
      </c>
      <c r="F28" s="5">
        <v>0</v>
      </c>
    </row>
    <row r="29" spans="1:6" x14ac:dyDescent="0.25">
      <c r="A29" s="3" t="s">
        <v>74</v>
      </c>
      <c r="B29" t="s">
        <v>75</v>
      </c>
      <c r="C29" s="5">
        <v>0</v>
      </c>
      <c r="D29" s="5">
        <v>0</v>
      </c>
      <c r="E29" s="5">
        <v>0</v>
      </c>
      <c r="F29" s="5">
        <v>0</v>
      </c>
    </row>
    <row r="30" spans="1:6" x14ac:dyDescent="0.25">
      <c r="A30" s="3" t="s">
        <v>76</v>
      </c>
      <c r="B30" t="s">
        <v>77</v>
      </c>
      <c r="C30" s="5">
        <v>60796378.960000038</v>
      </c>
      <c r="D30" s="5">
        <v>0</v>
      </c>
      <c r="E30" s="5">
        <v>0</v>
      </c>
      <c r="F30" s="5">
        <v>60796378.960000038</v>
      </c>
    </row>
    <row r="31" spans="1:6" x14ac:dyDescent="0.25">
      <c r="A31" s="3" t="s">
        <v>78</v>
      </c>
      <c r="B31" t="s">
        <v>79</v>
      </c>
      <c r="C31" s="5">
        <v>0</v>
      </c>
      <c r="D31" s="5">
        <v>0</v>
      </c>
      <c r="E31" s="5">
        <v>0</v>
      </c>
      <c r="F31" s="5">
        <v>0</v>
      </c>
    </row>
    <row r="32" spans="1:6" x14ac:dyDescent="0.25">
      <c r="A32" s="3" t="s">
        <v>80</v>
      </c>
      <c r="B32" t="s">
        <v>81</v>
      </c>
      <c r="C32" s="5">
        <v>6563090.9717999995</v>
      </c>
      <c r="D32" s="5">
        <v>1346920.82</v>
      </c>
      <c r="E32" s="5">
        <v>0</v>
      </c>
      <c r="F32" s="5">
        <v>7910011.7917999998</v>
      </c>
    </row>
    <row r="33" spans="1:6" x14ac:dyDescent="0.25">
      <c r="A33" s="3" t="s">
        <v>82</v>
      </c>
      <c r="B33" t="s">
        <v>83</v>
      </c>
      <c r="C33" s="5">
        <v>0</v>
      </c>
      <c r="D33" s="5">
        <v>11766300</v>
      </c>
      <c r="E33" s="5">
        <v>0</v>
      </c>
      <c r="F33" s="5">
        <v>11766300</v>
      </c>
    </row>
    <row r="34" spans="1:6" x14ac:dyDescent="0.25">
      <c r="A34" s="3" t="s">
        <v>84</v>
      </c>
      <c r="B34" t="s">
        <v>85</v>
      </c>
      <c r="C34" s="5">
        <v>128686123.48999998</v>
      </c>
      <c r="D34" s="5">
        <v>0</v>
      </c>
      <c r="E34" s="5">
        <v>0</v>
      </c>
      <c r="F34" s="5">
        <v>128686123.48999998</v>
      </c>
    </row>
    <row r="35" spans="1:6" x14ac:dyDescent="0.25">
      <c r="A35" s="3" t="s">
        <v>86</v>
      </c>
      <c r="B35" t="s">
        <v>87</v>
      </c>
      <c r="C35" s="5">
        <v>357380520.36999995</v>
      </c>
      <c r="D35" s="5">
        <v>54625961.729999997</v>
      </c>
      <c r="E35" s="5">
        <v>583446.5</v>
      </c>
      <c r="F35" s="5">
        <v>411423035.59999996</v>
      </c>
    </row>
    <row r="36" spans="1:6" x14ac:dyDescent="0.25">
      <c r="A36" s="3" t="s">
        <v>88</v>
      </c>
      <c r="B36" t="s">
        <v>89</v>
      </c>
      <c r="C36" s="5">
        <v>52181594.219999999</v>
      </c>
      <c r="D36" s="5">
        <v>0</v>
      </c>
      <c r="E36" s="5">
        <v>0</v>
      </c>
      <c r="F36" s="5">
        <v>52181594.219999999</v>
      </c>
    </row>
    <row r="37" spans="1:6" x14ac:dyDescent="0.25">
      <c r="A37" s="3" t="s">
        <v>90</v>
      </c>
      <c r="B37" t="s">
        <v>91</v>
      </c>
      <c r="C37" s="5">
        <v>0</v>
      </c>
      <c r="D37" s="5">
        <v>0</v>
      </c>
      <c r="E37" s="5">
        <v>0</v>
      </c>
      <c r="F37" s="5">
        <v>0</v>
      </c>
    </row>
    <row r="38" spans="1:6" x14ac:dyDescent="0.25">
      <c r="A38" s="3" t="s">
        <v>92</v>
      </c>
      <c r="B38" t="s">
        <v>93</v>
      </c>
      <c r="C38" s="5">
        <v>23459369.419710852</v>
      </c>
      <c r="D38" s="5">
        <v>1255540</v>
      </c>
      <c r="E38" s="5">
        <v>0</v>
      </c>
      <c r="F38" s="5">
        <v>24714909.419710852</v>
      </c>
    </row>
    <row r="39" spans="1:6" x14ac:dyDescent="0.25">
      <c r="A39" s="3" t="s">
        <v>96</v>
      </c>
      <c r="B39" t="s">
        <v>97</v>
      </c>
      <c r="C39" s="5">
        <v>204078907.07600009</v>
      </c>
      <c r="D39" s="5">
        <v>8083524.9400000004</v>
      </c>
      <c r="E39" s="5">
        <v>0</v>
      </c>
      <c r="F39" s="5">
        <v>212162432.01600009</v>
      </c>
    </row>
    <row r="40" spans="1:6" x14ac:dyDescent="0.25">
      <c r="A40" s="3" t="s">
        <v>841</v>
      </c>
      <c r="B40" t="s">
        <v>842</v>
      </c>
      <c r="C40" s="5">
        <v>0.2800000011920929</v>
      </c>
      <c r="D40" s="5">
        <v>0</v>
      </c>
      <c r="E40" s="5">
        <v>0</v>
      </c>
      <c r="F40" s="5">
        <v>0.2800000011920929</v>
      </c>
    </row>
    <row r="41" spans="1:6" x14ac:dyDescent="0.25">
      <c r="A41" s="3" t="s">
        <v>98</v>
      </c>
      <c r="B41" t="s">
        <v>99</v>
      </c>
      <c r="C41" s="5">
        <v>14708817.668199997</v>
      </c>
      <c r="D41" s="5">
        <v>0</v>
      </c>
      <c r="E41" s="5">
        <v>0</v>
      </c>
      <c r="F41" s="5">
        <v>14708817.668199997</v>
      </c>
    </row>
    <row r="42" spans="1:6" x14ac:dyDescent="0.25">
      <c r="A42" s="3" t="s">
        <v>102</v>
      </c>
      <c r="B42" t="s">
        <v>103</v>
      </c>
      <c r="C42" s="5">
        <v>4466040.5299999975</v>
      </c>
      <c r="D42" s="5">
        <v>1398375.2</v>
      </c>
      <c r="E42" s="5">
        <v>96250</v>
      </c>
      <c r="F42" s="5">
        <v>5768165.7299999977</v>
      </c>
    </row>
    <row r="43" spans="1:6" x14ac:dyDescent="0.25">
      <c r="A43" s="3" t="s">
        <v>104</v>
      </c>
      <c r="B43" t="s">
        <v>105</v>
      </c>
      <c r="C43" s="5">
        <v>24853417.829999998</v>
      </c>
      <c r="D43" s="5">
        <v>9200917.9000000004</v>
      </c>
      <c r="E43" s="5">
        <v>50791.62</v>
      </c>
      <c r="F43" s="5">
        <v>34003544.109999999</v>
      </c>
    </row>
    <row r="44" spans="1:6" x14ac:dyDescent="0.25">
      <c r="A44" s="3" t="s">
        <v>843</v>
      </c>
      <c r="B44" t="s">
        <v>844</v>
      </c>
      <c r="C44" s="5">
        <v>238480.70999999996</v>
      </c>
      <c r="D44" s="5">
        <v>417900.19</v>
      </c>
      <c r="E44" s="5">
        <v>0</v>
      </c>
      <c r="F44" s="5">
        <v>656380.89999999991</v>
      </c>
    </row>
    <row r="45" spans="1:6" x14ac:dyDescent="0.25">
      <c r="A45" s="3" t="s">
        <v>106</v>
      </c>
      <c r="B45" t="s">
        <v>107</v>
      </c>
      <c r="C45" s="5">
        <v>0</v>
      </c>
      <c r="D45" s="5">
        <v>0</v>
      </c>
      <c r="E45" s="5">
        <v>0</v>
      </c>
      <c r="F45" s="5">
        <v>0</v>
      </c>
    </row>
    <row r="46" spans="1:6" x14ac:dyDescent="0.25">
      <c r="A46" s="3" t="s">
        <v>108</v>
      </c>
      <c r="B46" t="s">
        <v>109</v>
      </c>
      <c r="C46" s="5">
        <v>3925711.9200000018</v>
      </c>
      <c r="D46" s="5">
        <v>1693656.12</v>
      </c>
      <c r="E46" s="5">
        <v>0</v>
      </c>
      <c r="F46" s="5">
        <v>5619368.0400000019</v>
      </c>
    </row>
    <row r="47" spans="1:6" x14ac:dyDescent="0.25">
      <c r="A47" s="3" t="s">
        <v>110</v>
      </c>
      <c r="B47" t="s">
        <v>111</v>
      </c>
      <c r="C47" s="5">
        <v>18071815.390000015</v>
      </c>
      <c r="D47" s="5">
        <v>18116674.280000001</v>
      </c>
      <c r="E47" s="5">
        <v>470415.33</v>
      </c>
      <c r="F47" s="5">
        <v>35718074.340000018</v>
      </c>
    </row>
    <row r="48" spans="1:6" x14ac:dyDescent="0.25">
      <c r="A48" s="3" t="s">
        <v>112</v>
      </c>
      <c r="B48" t="s">
        <v>113</v>
      </c>
      <c r="C48" s="5">
        <v>1857935.2890000008</v>
      </c>
      <c r="D48" s="5">
        <v>832028.79</v>
      </c>
      <c r="E48" s="5">
        <v>24967.4</v>
      </c>
      <c r="F48" s="5">
        <v>2664996.6790000009</v>
      </c>
    </row>
    <row r="49" spans="1:6" x14ac:dyDescent="0.25">
      <c r="A49" s="3" t="s">
        <v>114</v>
      </c>
      <c r="B49" t="s">
        <v>115</v>
      </c>
      <c r="C49" s="5">
        <v>4966347.1800000006</v>
      </c>
      <c r="D49" s="5">
        <v>958584.6</v>
      </c>
      <c r="E49" s="5">
        <v>40473.79</v>
      </c>
      <c r="F49" s="5">
        <v>5884457.9900000002</v>
      </c>
    </row>
    <row r="50" spans="1:6" x14ac:dyDescent="0.25">
      <c r="A50" s="3" t="s">
        <v>845</v>
      </c>
      <c r="B50" t="s">
        <v>846</v>
      </c>
      <c r="C50" s="5">
        <v>-16599.890000000014</v>
      </c>
      <c r="D50" s="5">
        <v>11683.05</v>
      </c>
      <c r="E50" s="5">
        <v>0</v>
      </c>
      <c r="F50" s="5">
        <v>-4916.8400000000147</v>
      </c>
    </row>
    <row r="51" spans="1:6" x14ac:dyDescent="0.25">
      <c r="A51" s="3" t="s">
        <v>116</v>
      </c>
      <c r="B51" t="s">
        <v>117</v>
      </c>
      <c r="C51" s="5">
        <v>0</v>
      </c>
      <c r="D51" s="5">
        <v>80329.55</v>
      </c>
      <c r="E51" s="5">
        <v>0</v>
      </c>
      <c r="F51" s="5">
        <v>80329.55</v>
      </c>
    </row>
    <row r="52" spans="1:6" x14ac:dyDescent="0.25">
      <c r="A52" s="3" t="s">
        <v>118</v>
      </c>
      <c r="B52" t="s">
        <v>119</v>
      </c>
      <c r="C52" s="5">
        <v>11830890.681999996</v>
      </c>
      <c r="D52" s="5">
        <v>7211358.0300000003</v>
      </c>
      <c r="E52" s="5">
        <v>613152</v>
      </c>
      <c r="F52" s="5">
        <v>18429096.711999997</v>
      </c>
    </row>
    <row r="53" spans="1:6" x14ac:dyDescent="0.25">
      <c r="A53" s="3" t="s">
        <v>120</v>
      </c>
      <c r="B53" t="s">
        <v>121</v>
      </c>
      <c r="C53" s="5">
        <v>15203611.510000005</v>
      </c>
      <c r="D53" s="5">
        <v>58260</v>
      </c>
      <c r="E53" s="5">
        <v>0</v>
      </c>
      <c r="F53" s="5">
        <v>15261871.510000005</v>
      </c>
    </row>
    <row r="54" spans="1:6" x14ac:dyDescent="0.25">
      <c r="A54" s="3" t="s">
        <v>122</v>
      </c>
      <c r="B54" t="s">
        <v>123</v>
      </c>
      <c r="C54" s="5">
        <v>21101616.200000003</v>
      </c>
      <c r="D54" s="5">
        <v>2757838.29</v>
      </c>
      <c r="E54" s="5">
        <v>0</v>
      </c>
      <c r="F54" s="5">
        <v>23859454.490000002</v>
      </c>
    </row>
    <row r="55" spans="1:6" x14ac:dyDescent="0.25">
      <c r="A55" s="3" t="s">
        <v>124</v>
      </c>
      <c r="B55" t="s">
        <v>125</v>
      </c>
      <c r="C55" s="5">
        <v>34168281.720000029</v>
      </c>
      <c r="D55" s="5">
        <v>0</v>
      </c>
      <c r="E55" s="5">
        <v>0</v>
      </c>
      <c r="F55" s="5">
        <v>34168281.720000029</v>
      </c>
    </row>
    <row r="56" spans="1:6" x14ac:dyDescent="0.25">
      <c r="A56" s="3" t="s">
        <v>126</v>
      </c>
      <c r="B56" t="s">
        <v>127</v>
      </c>
      <c r="C56" s="5">
        <v>2368516.4499999993</v>
      </c>
      <c r="D56" s="5">
        <v>228272.17</v>
      </c>
      <c r="E56" s="5">
        <v>0</v>
      </c>
      <c r="F56" s="5">
        <v>2596788.6199999992</v>
      </c>
    </row>
    <row r="57" spans="1:6" x14ac:dyDescent="0.25">
      <c r="A57" s="3" t="s">
        <v>128</v>
      </c>
      <c r="B57" t="s">
        <v>129</v>
      </c>
      <c r="C57" s="5">
        <v>1658968589.7900004</v>
      </c>
      <c r="D57" s="5">
        <v>1107606.3999999999</v>
      </c>
      <c r="E57" s="5">
        <v>0</v>
      </c>
      <c r="F57" s="5">
        <v>1660076196.1900005</v>
      </c>
    </row>
    <row r="58" spans="1:6" x14ac:dyDescent="0.25">
      <c r="A58" s="3" t="s">
        <v>132</v>
      </c>
      <c r="B58" t="s">
        <v>133</v>
      </c>
      <c r="C58" s="5">
        <v>784428878.31396055</v>
      </c>
      <c r="D58" s="5">
        <v>0</v>
      </c>
      <c r="E58" s="5">
        <v>0</v>
      </c>
      <c r="F58" s="5">
        <v>784428878.31396055</v>
      </c>
    </row>
    <row r="59" spans="1:6" x14ac:dyDescent="0.25">
      <c r="A59" s="3" t="s">
        <v>136</v>
      </c>
      <c r="B59" t="s">
        <v>137</v>
      </c>
      <c r="C59" s="5">
        <v>2500000</v>
      </c>
      <c r="D59" s="5">
        <v>650000</v>
      </c>
      <c r="E59" s="5">
        <v>0</v>
      </c>
      <c r="F59" s="5">
        <v>3150000</v>
      </c>
    </row>
    <row r="60" spans="1:6" x14ac:dyDescent="0.25">
      <c r="A60" s="3" t="s">
        <v>142</v>
      </c>
      <c r="B60" t="s">
        <v>143</v>
      </c>
      <c r="C60" s="5">
        <v>6600000</v>
      </c>
      <c r="D60" s="5">
        <v>0</v>
      </c>
      <c r="E60" s="5">
        <v>0</v>
      </c>
      <c r="F60" s="5">
        <v>6600000</v>
      </c>
    </row>
    <row r="61" spans="1:6" x14ac:dyDescent="0.25">
      <c r="A61" s="3" t="s">
        <v>144</v>
      </c>
      <c r="B61" t="s">
        <v>145</v>
      </c>
      <c r="C61" s="5">
        <v>332778.4000005722</v>
      </c>
      <c r="D61" s="5">
        <v>912000057.75999999</v>
      </c>
      <c r="E61" s="5">
        <v>912000057.75999999</v>
      </c>
      <c r="F61" s="5">
        <v>332778.4000005722</v>
      </c>
    </row>
    <row r="62" spans="1:6" x14ac:dyDescent="0.25">
      <c r="A62" s="3" t="s">
        <v>146</v>
      </c>
      <c r="B62" t="s">
        <v>147</v>
      </c>
      <c r="C62" s="5">
        <v>998491.30999994278</v>
      </c>
      <c r="D62" s="5">
        <v>136261.82</v>
      </c>
      <c r="E62" s="5">
        <v>77578.53</v>
      </c>
      <c r="F62" s="5">
        <v>1057174.5999999428</v>
      </c>
    </row>
    <row r="63" spans="1:6" x14ac:dyDescent="0.25">
      <c r="A63" s="3" t="s">
        <v>148</v>
      </c>
      <c r="B63" t="s">
        <v>149</v>
      </c>
      <c r="C63" s="5">
        <v>372602290.69999993</v>
      </c>
      <c r="D63" s="5">
        <v>0</v>
      </c>
      <c r="E63" s="5">
        <v>0</v>
      </c>
      <c r="F63" s="5">
        <v>372602290.69999993</v>
      </c>
    </row>
    <row r="64" spans="1:6" x14ac:dyDescent="0.25">
      <c r="A64" s="3" t="s">
        <v>150</v>
      </c>
      <c r="B64" t="s">
        <v>151</v>
      </c>
      <c r="C64" s="5">
        <v>147855341.60999966</v>
      </c>
      <c r="D64" s="5">
        <v>651457995.04999995</v>
      </c>
      <c r="E64" s="5">
        <v>113659402.5</v>
      </c>
      <c r="F64" s="5">
        <v>685653934.15999961</v>
      </c>
    </row>
    <row r="65" spans="1:6" x14ac:dyDescent="0.25">
      <c r="A65" s="3" t="s">
        <v>152</v>
      </c>
      <c r="B65" t="s">
        <v>153</v>
      </c>
      <c r="C65" s="5">
        <v>-339726443.00999999</v>
      </c>
      <c r="D65" s="5">
        <v>0</v>
      </c>
      <c r="E65" s="5">
        <v>0</v>
      </c>
      <c r="F65" s="5">
        <v>-339726443.00999999</v>
      </c>
    </row>
    <row r="66" spans="1:6" x14ac:dyDescent="0.25">
      <c r="A66" s="3" t="s">
        <v>154</v>
      </c>
      <c r="B66" t="s">
        <v>155</v>
      </c>
      <c r="C66" s="5">
        <v>0</v>
      </c>
      <c r="D66" s="5">
        <v>0</v>
      </c>
      <c r="E66" s="5">
        <v>54605000</v>
      </c>
      <c r="F66" s="5">
        <v>-54605000</v>
      </c>
    </row>
    <row r="67" spans="1:6" x14ac:dyDescent="0.25">
      <c r="A67" s="3" t="s">
        <v>156</v>
      </c>
      <c r="B67" t="s">
        <v>157</v>
      </c>
      <c r="C67" s="5">
        <v>-352072293.59000397</v>
      </c>
      <c r="D67" s="5">
        <v>4999942954.0800009</v>
      </c>
      <c r="E67" s="5">
        <v>8977532426.1599998</v>
      </c>
      <c r="F67" s="5">
        <v>-4329661765.6700029</v>
      </c>
    </row>
    <row r="68" spans="1:6" x14ac:dyDescent="0.25">
      <c r="A68" s="3" t="s">
        <v>158</v>
      </c>
      <c r="B68" t="s">
        <v>159</v>
      </c>
      <c r="C68" s="5">
        <v>-85810830.260000005</v>
      </c>
      <c r="D68" s="5">
        <v>0</v>
      </c>
      <c r="E68" s="5">
        <v>0</v>
      </c>
      <c r="F68" s="5">
        <v>-85810830.260000005</v>
      </c>
    </row>
    <row r="69" spans="1:6" x14ac:dyDescent="0.25">
      <c r="A69" s="3" t="s">
        <v>847</v>
      </c>
      <c r="B69" t="s">
        <v>848</v>
      </c>
      <c r="C69" s="5">
        <v>-48447593.399999999</v>
      </c>
      <c r="D69" s="5">
        <v>0</v>
      </c>
      <c r="E69" s="5">
        <v>0</v>
      </c>
      <c r="F69" s="5">
        <v>-48447593.399999999</v>
      </c>
    </row>
    <row r="70" spans="1:6" x14ac:dyDescent="0.25">
      <c r="A70" s="3" t="s">
        <v>849</v>
      </c>
      <c r="B70" t="s">
        <v>850</v>
      </c>
      <c r="C70" s="5">
        <v>5.1222741603851318E-9</v>
      </c>
      <c r="D70" s="5">
        <v>0</v>
      </c>
      <c r="E70" s="5">
        <v>0</v>
      </c>
      <c r="F70" s="5">
        <v>5.1222741603851318E-9</v>
      </c>
    </row>
    <row r="71" spans="1:6" ht="30" x14ac:dyDescent="0.25">
      <c r="A71" s="3" t="s">
        <v>851</v>
      </c>
      <c r="B71" s="7" t="s">
        <v>852</v>
      </c>
      <c r="C71" s="5">
        <v>0</v>
      </c>
      <c r="D71" s="5">
        <v>0</v>
      </c>
      <c r="E71" s="5">
        <v>0</v>
      </c>
      <c r="F71" s="5">
        <v>0</v>
      </c>
    </row>
    <row r="72" spans="1:6" x14ac:dyDescent="0.25">
      <c r="A72" s="3" t="s">
        <v>162</v>
      </c>
      <c r="B72" t="s">
        <v>163</v>
      </c>
      <c r="C72" s="5">
        <v>1566924623.7299995</v>
      </c>
      <c r="D72" s="5">
        <v>0</v>
      </c>
      <c r="E72" s="5">
        <v>0</v>
      </c>
      <c r="F72" s="5">
        <v>1566924623.7299995</v>
      </c>
    </row>
    <row r="73" spans="1:6" x14ac:dyDescent="0.25">
      <c r="A73" s="3" t="s">
        <v>853</v>
      </c>
      <c r="B73" t="s">
        <v>854</v>
      </c>
      <c r="C73" s="5">
        <v>0</v>
      </c>
      <c r="D73" s="5">
        <v>16054714.5</v>
      </c>
      <c r="E73" s="5">
        <v>0</v>
      </c>
      <c r="F73" s="5">
        <v>16054714.5</v>
      </c>
    </row>
    <row r="74" spans="1:6" ht="30" x14ac:dyDescent="0.25">
      <c r="A74" s="3" t="s">
        <v>855</v>
      </c>
      <c r="B74" s="7" t="s">
        <v>856</v>
      </c>
      <c r="C74" s="5">
        <v>0</v>
      </c>
      <c r="D74" s="5">
        <v>0</v>
      </c>
      <c r="E74" s="5">
        <v>0</v>
      </c>
      <c r="F74" s="5">
        <v>0</v>
      </c>
    </row>
    <row r="75" spans="1:6" x14ac:dyDescent="0.25">
      <c r="A75" s="3" t="s">
        <v>168</v>
      </c>
      <c r="B75" t="s">
        <v>169</v>
      </c>
      <c r="C75" s="5">
        <v>0</v>
      </c>
      <c r="D75" s="5">
        <v>0</v>
      </c>
      <c r="E75" s="5">
        <v>0</v>
      </c>
      <c r="F75" s="5">
        <v>0</v>
      </c>
    </row>
    <row r="76" spans="1:6" x14ac:dyDescent="0.25">
      <c r="A76" s="3" t="s">
        <v>170</v>
      </c>
      <c r="B76" t="s">
        <v>171</v>
      </c>
      <c r="C76" s="5">
        <v>209257040</v>
      </c>
      <c r="D76" s="5">
        <v>0</v>
      </c>
      <c r="E76" s="5">
        <v>0</v>
      </c>
      <c r="F76" s="5">
        <v>209257040</v>
      </c>
    </row>
    <row r="77" spans="1:6" ht="30" x14ac:dyDescent="0.25">
      <c r="A77" s="3" t="s">
        <v>857</v>
      </c>
      <c r="B77" s="7" t="s">
        <v>858</v>
      </c>
      <c r="C77" s="5">
        <v>27369540</v>
      </c>
      <c r="D77" s="5">
        <v>0</v>
      </c>
      <c r="E77" s="5">
        <v>0</v>
      </c>
      <c r="F77" s="5">
        <v>27369540</v>
      </c>
    </row>
    <row r="78" spans="1:6" ht="30" x14ac:dyDescent="0.25">
      <c r="A78" s="3" t="s">
        <v>859</v>
      </c>
      <c r="B78" s="7" t="s">
        <v>860</v>
      </c>
      <c r="C78" s="5">
        <v>86559500</v>
      </c>
      <c r="D78" s="5">
        <v>0</v>
      </c>
      <c r="E78" s="5">
        <v>0</v>
      </c>
      <c r="F78" s="5">
        <v>86559500</v>
      </c>
    </row>
    <row r="79" spans="1:6" x14ac:dyDescent="0.25">
      <c r="A79" s="3" t="s">
        <v>178</v>
      </c>
      <c r="B79" t="s">
        <v>179</v>
      </c>
      <c r="C79" s="5">
        <v>2993137857.8400002</v>
      </c>
      <c r="D79" s="5">
        <v>0</v>
      </c>
      <c r="E79" s="5">
        <v>0</v>
      </c>
      <c r="F79" s="5">
        <v>2993137857.8400002</v>
      </c>
    </row>
    <row r="80" spans="1:6" x14ac:dyDescent="0.25">
      <c r="A80" s="3" t="s">
        <v>861</v>
      </c>
      <c r="B80" t="s">
        <v>862</v>
      </c>
      <c r="C80" s="5">
        <v>14769114.379999999</v>
      </c>
      <c r="D80" s="5">
        <v>0</v>
      </c>
      <c r="E80" s="5">
        <v>0</v>
      </c>
      <c r="F80" s="5">
        <v>14769114.379999999</v>
      </c>
    </row>
    <row r="81" spans="1:6" x14ac:dyDescent="0.25">
      <c r="A81" s="3" t="s">
        <v>180</v>
      </c>
      <c r="B81" t="s">
        <v>181</v>
      </c>
      <c r="C81" s="5">
        <v>1239838501.4200001</v>
      </c>
      <c r="D81" s="5">
        <v>3516000</v>
      </c>
      <c r="E81" s="5">
        <v>0</v>
      </c>
      <c r="F81" s="5">
        <v>1243354501.4200001</v>
      </c>
    </row>
    <row r="82" spans="1:6" x14ac:dyDescent="0.25">
      <c r="A82" s="3" t="s">
        <v>182</v>
      </c>
      <c r="B82" t="s">
        <v>183</v>
      </c>
      <c r="C82" s="5">
        <v>0</v>
      </c>
      <c r="D82" s="5">
        <v>0</v>
      </c>
      <c r="E82" s="5">
        <v>0</v>
      </c>
      <c r="F82" s="5">
        <v>0</v>
      </c>
    </row>
    <row r="83" spans="1:6" x14ac:dyDescent="0.25">
      <c r="A83" s="3" t="s">
        <v>863</v>
      </c>
      <c r="B83" t="s">
        <v>621</v>
      </c>
      <c r="C83" s="5">
        <v>7748800.0000000596</v>
      </c>
      <c r="D83" s="5">
        <v>0</v>
      </c>
      <c r="E83" s="5">
        <v>0</v>
      </c>
      <c r="F83" s="5">
        <v>7748800.0000000596</v>
      </c>
    </row>
    <row r="84" spans="1:6" x14ac:dyDescent="0.25">
      <c r="A84" s="3" t="s">
        <v>864</v>
      </c>
      <c r="B84" t="s">
        <v>568</v>
      </c>
      <c r="C84" s="5">
        <v>0</v>
      </c>
      <c r="D84" s="5">
        <v>0</v>
      </c>
      <c r="E84" s="5">
        <v>0</v>
      </c>
      <c r="F84" s="5">
        <v>0</v>
      </c>
    </row>
    <row r="85" spans="1:6" x14ac:dyDescent="0.25">
      <c r="A85" s="3" t="s">
        <v>865</v>
      </c>
      <c r="B85" t="s">
        <v>570</v>
      </c>
      <c r="C85" s="5">
        <v>7140.5</v>
      </c>
      <c r="D85" s="5">
        <v>0</v>
      </c>
      <c r="E85" s="5">
        <v>0</v>
      </c>
      <c r="F85" s="5">
        <v>7140.5</v>
      </c>
    </row>
    <row r="86" spans="1:6" x14ac:dyDescent="0.25">
      <c r="A86" s="3" t="s">
        <v>184</v>
      </c>
      <c r="B86" t="s">
        <v>185</v>
      </c>
      <c r="C86" s="5">
        <v>0</v>
      </c>
      <c r="D86" s="5">
        <v>0</v>
      </c>
      <c r="E86" s="5">
        <v>0</v>
      </c>
      <c r="F86" s="5">
        <v>0</v>
      </c>
    </row>
    <row r="87" spans="1:6" x14ac:dyDescent="0.25">
      <c r="A87" s="3" t="s">
        <v>186</v>
      </c>
      <c r="B87" t="s">
        <v>187</v>
      </c>
      <c r="C87" s="5">
        <v>7438.02</v>
      </c>
      <c r="D87" s="5">
        <v>6229.44</v>
      </c>
      <c r="E87" s="5">
        <v>0</v>
      </c>
      <c r="F87" s="5">
        <v>13667.46</v>
      </c>
    </row>
    <row r="88" spans="1:6" x14ac:dyDescent="0.25">
      <c r="A88" s="3" t="s">
        <v>188</v>
      </c>
      <c r="B88" t="s">
        <v>189</v>
      </c>
      <c r="C88" s="5">
        <v>4492632.5999999996</v>
      </c>
      <c r="D88" s="5">
        <v>0</v>
      </c>
      <c r="E88" s="5">
        <v>0</v>
      </c>
      <c r="F88" s="5">
        <v>4492632.5999999996</v>
      </c>
    </row>
    <row r="89" spans="1:6" x14ac:dyDescent="0.25">
      <c r="A89" s="3" t="s">
        <v>866</v>
      </c>
      <c r="B89" t="s">
        <v>585</v>
      </c>
      <c r="C89" s="5">
        <v>0</v>
      </c>
      <c r="D89" s="5">
        <v>0</v>
      </c>
      <c r="E89" s="5">
        <v>0</v>
      </c>
      <c r="F89" s="5">
        <v>0</v>
      </c>
    </row>
    <row r="90" spans="1:6" x14ac:dyDescent="0.25">
      <c r="A90" s="3" t="s">
        <v>192</v>
      </c>
      <c r="B90" t="s">
        <v>193</v>
      </c>
      <c r="C90" s="5">
        <v>53175551.7535</v>
      </c>
      <c r="D90" s="5">
        <v>33444309.149999999</v>
      </c>
      <c r="E90" s="5">
        <v>0</v>
      </c>
      <c r="F90" s="5">
        <v>86619860.903499991</v>
      </c>
    </row>
    <row r="91" spans="1:6" x14ac:dyDescent="0.25">
      <c r="A91" s="3" t="s">
        <v>196</v>
      </c>
      <c r="B91" t="s">
        <v>197</v>
      </c>
      <c r="C91" s="5">
        <v>490937651.47767705</v>
      </c>
      <c r="D91" s="5">
        <v>0</v>
      </c>
      <c r="E91" s="5">
        <v>0</v>
      </c>
      <c r="F91" s="5">
        <v>490937651.47767705</v>
      </c>
    </row>
    <row r="92" spans="1:6" x14ac:dyDescent="0.25">
      <c r="A92" s="3" t="s">
        <v>198</v>
      </c>
      <c r="B92" t="s">
        <v>199</v>
      </c>
      <c r="C92" s="5">
        <v>0</v>
      </c>
      <c r="D92" s="5">
        <v>0</v>
      </c>
      <c r="E92" s="5">
        <v>0</v>
      </c>
      <c r="F92" s="5">
        <v>0</v>
      </c>
    </row>
    <row r="93" spans="1:6" x14ac:dyDescent="0.25">
      <c r="A93" s="3" t="s">
        <v>867</v>
      </c>
      <c r="B93" t="s">
        <v>868</v>
      </c>
      <c r="C93" s="5">
        <v>274681397.00537103</v>
      </c>
      <c r="D93" s="5">
        <v>0</v>
      </c>
      <c r="E93" s="5">
        <v>0</v>
      </c>
      <c r="F93" s="5">
        <v>274681397.00537103</v>
      </c>
    </row>
    <row r="94" spans="1:6" x14ac:dyDescent="0.25">
      <c r="A94" s="3" t="s">
        <v>200</v>
      </c>
      <c r="B94" t="s">
        <v>201</v>
      </c>
      <c r="C94" s="5">
        <v>2631606823.0959196</v>
      </c>
      <c r="D94" s="5">
        <v>83248384.409999996</v>
      </c>
      <c r="E94" s="5">
        <v>0</v>
      </c>
      <c r="F94" s="5">
        <v>2714855207.5059195</v>
      </c>
    </row>
    <row r="95" spans="1:6" x14ac:dyDescent="0.25">
      <c r="A95" s="3" t="s">
        <v>869</v>
      </c>
      <c r="B95" t="s">
        <v>870</v>
      </c>
      <c r="C95" s="5">
        <v>0</v>
      </c>
      <c r="D95" s="5">
        <v>0</v>
      </c>
      <c r="E95" s="5">
        <v>0</v>
      </c>
      <c r="F95" s="5">
        <v>0</v>
      </c>
    </row>
    <row r="96" spans="1:6" x14ac:dyDescent="0.25">
      <c r="A96" s="3" t="s">
        <v>206</v>
      </c>
      <c r="B96" t="s">
        <v>207</v>
      </c>
      <c r="C96" s="5">
        <v>1643710391.4995301</v>
      </c>
      <c r="D96" s="5">
        <v>0</v>
      </c>
      <c r="E96" s="5">
        <v>0</v>
      </c>
      <c r="F96" s="5">
        <v>1643710391.4995301</v>
      </c>
    </row>
    <row r="97" spans="1:6" x14ac:dyDescent="0.25">
      <c r="A97" s="3" t="s">
        <v>871</v>
      </c>
      <c r="B97" t="s">
        <v>872</v>
      </c>
      <c r="C97" s="5">
        <v>2957748250.9607697</v>
      </c>
      <c r="D97" s="5">
        <v>0</v>
      </c>
      <c r="E97" s="5">
        <v>0</v>
      </c>
      <c r="F97" s="5">
        <v>2957748250.9607697</v>
      </c>
    </row>
    <row r="98" spans="1:6" x14ac:dyDescent="0.25">
      <c r="A98" s="3" t="s">
        <v>873</v>
      </c>
      <c r="B98" t="s">
        <v>874</v>
      </c>
      <c r="C98" s="5">
        <v>931332564.57305694</v>
      </c>
      <c r="D98" s="5">
        <v>0</v>
      </c>
      <c r="E98" s="5">
        <v>0</v>
      </c>
      <c r="F98" s="5">
        <v>931332564.57305694</v>
      </c>
    </row>
    <row r="99" spans="1:6" x14ac:dyDescent="0.25">
      <c r="A99" s="3" t="s">
        <v>210</v>
      </c>
      <c r="B99" t="s">
        <v>211</v>
      </c>
      <c r="C99" s="5">
        <v>194477528.10152292</v>
      </c>
      <c r="D99" s="5">
        <v>0</v>
      </c>
      <c r="E99" s="5">
        <v>0</v>
      </c>
      <c r="F99" s="5">
        <v>194477528.10152292</v>
      </c>
    </row>
    <row r="100" spans="1:6" x14ac:dyDescent="0.25">
      <c r="A100" s="3" t="s">
        <v>212</v>
      </c>
      <c r="B100" t="s">
        <v>213</v>
      </c>
      <c r="C100" s="5">
        <v>0</v>
      </c>
      <c r="D100" s="5">
        <v>0</v>
      </c>
      <c r="E100" s="5">
        <v>0</v>
      </c>
      <c r="F100" s="5">
        <v>0</v>
      </c>
    </row>
    <row r="101" spans="1:6" x14ac:dyDescent="0.25">
      <c r="A101" s="3" t="s">
        <v>875</v>
      </c>
      <c r="B101" t="s">
        <v>876</v>
      </c>
      <c r="C101" s="5">
        <v>-43949023.520859301</v>
      </c>
      <c r="D101" s="5">
        <v>0</v>
      </c>
      <c r="E101" s="5">
        <v>0</v>
      </c>
      <c r="F101" s="5">
        <v>-43949023.520859301</v>
      </c>
    </row>
    <row r="102" spans="1:6" x14ac:dyDescent="0.25">
      <c r="A102" s="3" t="s">
        <v>214</v>
      </c>
      <c r="B102" t="s">
        <v>215</v>
      </c>
      <c r="C102" s="5">
        <v>-135539417.07456699</v>
      </c>
      <c r="D102" s="5">
        <v>0</v>
      </c>
      <c r="E102" s="5">
        <v>0</v>
      </c>
      <c r="F102" s="5">
        <v>-135539417.07456699</v>
      </c>
    </row>
    <row r="103" spans="1:6" x14ac:dyDescent="0.25">
      <c r="A103" s="3" t="s">
        <v>877</v>
      </c>
      <c r="B103" t="s">
        <v>878</v>
      </c>
      <c r="C103" s="5">
        <v>4804432.837946699</v>
      </c>
      <c r="D103" s="5">
        <v>0</v>
      </c>
      <c r="E103" s="5">
        <v>0</v>
      </c>
      <c r="F103" s="5">
        <v>4804432.837946699</v>
      </c>
    </row>
    <row r="104" spans="1:6" x14ac:dyDescent="0.25">
      <c r="A104" s="3" t="s">
        <v>216</v>
      </c>
      <c r="B104" t="s">
        <v>217</v>
      </c>
      <c r="C104" s="5">
        <v>-1773708.451277961</v>
      </c>
      <c r="D104" s="5">
        <v>0</v>
      </c>
      <c r="E104" s="5">
        <v>0</v>
      </c>
      <c r="F104" s="5">
        <v>-1773708.451277961</v>
      </c>
    </row>
    <row r="105" spans="1:6" x14ac:dyDescent="0.25">
      <c r="A105" s="3" t="s">
        <v>218</v>
      </c>
      <c r="B105" t="s">
        <v>219</v>
      </c>
      <c r="C105" s="5">
        <v>-107188036.6320399</v>
      </c>
      <c r="D105" s="5">
        <v>0</v>
      </c>
      <c r="E105" s="5">
        <v>0</v>
      </c>
      <c r="F105" s="5">
        <v>-107188036.6320399</v>
      </c>
    </row>
    <row r="106" spans="1:6" x14ac:dyDescent="0.25">
      <c r="A106" s="3" t="s">
        <v>222</v>
      </c>
      <c r="B106" t="s">
        <v>223</v>
      </c>
      <c r="C106" s="5">
        <v>-303499584.70313501</v>
      </c>
      <c r="D106" s="5">
        <v>0</v>
      </c>
      <c r="E106" s="5">
        <v>0</v>
      </c>
      <c r="F106" s="5">
        <v>-303499584.70313501</v>
      </c>
    </row>
    <row r="107" spans="1:6" ht="30" x14ac:dyDescent="0.25">
      <c r="A107" s="3" t="s">
        <v>879</v>
      </c>
      <c r="B107" s="7" t="s">
        <v>880</v>
      </c>
      <c r="C107" s="5">
        <v>-668865662.54793823</v>
      </c>
      <c r="D107" s="5">
        <v>0</v>
      </c>
      <c r="E107" s="5">
        <v>0</v>
      </c>
      <c r="F107" s="5">
        <v>-668865662.54793823</v>
      </c>
    </row>
    <row r="108" spans="1:6" x14ac:dyDescent="0.25">
      <c r="A108" s="3" t="s">
        <v>881</v>
      </c>
      <c r="B108" t="s">
        <v>882</v>
      </c>
      <c r="C108" s="5">
        <v>-291998893.24711704</v>
      </c>
      <c r="D108" s="5">
        <v>0</v>
      </c>
      <c r="E108" s="5">
        <v>0</v>
      </c>
      <c r="F108" s="5">
        <v>-291998893.24711704</v>
      </c>
    </row>
    <row r="109" spans="1:6" x14ac:dyDescent="0.25">
      <c r="A109" s="3" t="s">
        <v>228</v>
      </c>
      <c r="B109" t="s">
        <v>229</v>
      </c>
      <c r="C109" s="5">
        <v>0</v>
      </c>
      <c r="D109" s="5">
        <v>0</v>
      </c>
      <c r="E109" s="5">
        <v>0</v>
      </c>
      <c r="F109" s="5">
        <v>0</v>
      </c>
    </row>
    <row r="110" spans="1:6" x14ac:dyDescent="0.25">
      <c r="A110" s="3" t="s">
        <v>230</v>
      </c>
      <c r="B110" t="s">
        <v>231</v>
      </c>
      <c r="C110" s="5">
        <v>0</v>
      </c>
      <c r="D110" s="5">
        <v>0</v>
      </c>
      <c r="E110" s="5">
        <v>641131</v>
      </c>
      <c r="F110" s="5">
        <v>-641131</v>
      </c>
    </row>
    <row r="111" spans="1:6" x14ac:dyDescent="0.25">
      <c r="A111" s="3" t="s">
        <v>883</v>
      </c>
      <c r="B111" t="s">
        <v>884</v>
      </c>
      <c r="C111" s="5">
        <v>103750</v>
      </c>
      <c r="D111" s="5">
        <v>0</v>
      </c>
      <c r="E111" s="5">
        <v>0</v>
      </c>
      <c r="F111" s="5">
        <v>103750</v>
      </c>
    </row>
    <row r="112" spans="1:6" x14ac:dyDescent="0.25">
      <c r="A112" s="3" t="s">
        <v>885</v>
      </c>
      <c r="B112" t="s">
        <v>886</v>
      </c>
      <c r="C112" s="5">
        <v>1971250</v>
      </c>
      <c r="D112" s="5">
        <v>0</v>
      </c>
      <c r="E112" s="5">
        <v>0</v>
      </c>
      <c r="F112" s="5">
        <v>1971250</v>
      </c>
    </row>
    <row r="113" spans="1:6" x14ac:dyDescent="0.25">
      <c r="A113" s="3" t="s">
        <v>887</v>
      </c>
      <c r="B113" t="s">
        <v>888</v>
      </c>
      <c r="C113" s="5">
        <v>-0.42000001668930054</v>
      </c>
      <c r="D113" s="5">
        <v>0</v>
      </c>
      <c r="E113" s="5">
        <v>0</v>
      </c>
      <c r="F113" s="5">
        <v>-0.42000001668930054</v>
      </c>
    </row>
    <row r="114" spans="1:6" x14ac:dyDescent="0.25">
      <c r="A114" s="3" t="s">
        <v>234</v>
      </c>
      <c r="B114" t="s">
        <v>235</v>
      </c>
      <c r="C114" s="5">
        <v>0</v>
      </c>
      <c r="D114" s="5">
        <v>0</v>
      </c>
      <c r="E114" s="5">
        <v>0</v>
      </c>
      <c r="F114" s="5">
        <v>0</v>
      </c>
    </row>
    <row r="115" spans="1:6" x14ac:dyDescent="0.25">
      <c r="A115" s="3" t="s">
        <v>236</v>
      </c>
      <c r="B115" t="s">
        <v>237</v>
      </c>
      <c r="C115" s="5">
        <v>-815761810.59669495</v>
      </c>
      <c r="D115" s="5">
        <v>7844615470.6190004</v>
      </c>
      <c r="E115" s="5">
        <v>7633694830.0499992</v>
      </c>
      <c r="F115" s="5">
        <v>-604841170.02769375</v>
      </c>
    </row>
    <row r="116" spans="1:6" x14ac:dyDescent="0.25">
      <c r="A116" s="3" t="s">
        <v>240</v>
      </c>
      <c r="B116" t="s">
        <v>241</v>
      </c>
      <c r="C116" s="5">
        <v>0</v>
      </c>
      <c r="D116" s="5">
        <v>0</v>
      </c>
      <c r="E116" s="5">
        <v>507500000</v>
      </c>
      <c r="F116" s="5">
        <v>-507500000</v>
      </c>
    </row>
    <row r="117" spans="1:6" x14ac:dyDescent="0.25">
      <c r="A117" s="3" t="s">
        <v>242</v>
      </c>
      <c r="B117" t="s">
        <v>243</v>
      </c>
      <c r="C117" s="5">
        <v>0</v>
      </c>
      <c r="D117" s="5">
        <v>0</v>
      </c>
      <c r="E117" s="5">
        <v>0</v>
      </c>
      <c r="F117" s="5">
        <v>0</v>
      </c>
    </row>
    <row r="118" spans="1:6" x14ac:dyDescent="0.25">
      <c r="A118" s="3" t="s">
        <v>244</v>
      </c>
      <c r="B118" t="s">
        <v>245</v>
      </c>
      <c r="C118" s="5">
        <v>0</v>
      </c>
      <c r="D118" s="5">
        <v>0</v>
      </c>
      <c r="E118" s="5">
        <v>0</v>
      </c>
      <c r="F118" s="5">
        <v>0</v>
      </c>
    </row>
    <row r="119" spans="1:6" x14ac:dyDescent="0.25">
      <c r="A119" s="3" t="s">
        <v>246</v>
      </c>
      <c r="B119" t="s">
        <v>247</v>
      </c>
      <c r="C119" s="5">
        <v>-1534030297.7399998</v>
      </c>
      <c r="D119" s="5">
        <v>1039586303.6500001</v>
      </c>
      <c r="E119" s="5">
        <v>691358285.62</v>
      </c>
      <c r="F119" s="5">
        <v>-1185802279.7099996</v>
      </c>
    </row>
    <row r="120" spans="1:6" x14ac:dyDescent="0.25">
      <c r="A120" s="3" t="s">
        <v>889</v>
      </c>
      <c r="B120" t="s">
        <v>890</v>
      </c>
      <c r="C120" s="5">
        <v>0</v>
      </c>
      <c r="D120" s="5">
        <v>0</v>
      </c>
      <c r="E120" s="5">
        <v>0</v>
      </c>
      <c r="F120" s="5">
        <v>0</v>
      </c>
    </row>
    <row r="121" spans="1:6" x14ac:dyDescent="0.25">
      <c r="A121" s="3" t="s">
        <v>248</v>
      </c>
      <c r="B121" t="s">
        <v>249</v>
      </c>
      <c r="C121" s="5">
        <v>-1711103895.640007</v>
      </c>
      <c r="D121" s="5">
        <v>355068798.83999997</v>
      </c>
      <c r="E121" s="5">
        <v>42157337.880000003</v>
      </c>
      <c r="F121" s="5">
        <v>-1398192434.6800072</v>
      </c>
    </row>
    <row r="122" spans="1:6" x14ac:dyDescent="0.25">
      <c r="A122" s="3" t="s">
        <v>891</v>
      </c>
      <c r="B122" t="s">
        <v>892</v>
      </c>
      <c r="C122" s="5">
        <v>0</v>
      </c>
      <c r="D122" s="5">
        <v>0</v>
      </c>
      <c r="E122" s="5">
        <v>0</v>
      </c>
      <c r="F122" s="5">
        <v>0</v>
      </c>
    </row>
    <row r="123" spans="1:6" x14ac:dyDescent="0.25">
      <c r="A123" s="3" t="s">
        <v>252</v>
      </c>
      <c r="B123" t="s">
        <v>253</v>
      </c>
      <c r="C123" s="5">
        <v>-275993003.39000005</v>
      </c>
      <c r="D123" s="5">
        <v>58447000</v>
      </c>
      <c r="E123" s="5">
        <v>30193446.489999998</v>
      </c>
      <c r="F123" s="5">
        <v>-247739449.88000005</v>
      </c>
    </row>
    <row r="124" spans="1:6" x14ac:dyDescent="0.25">
      <c r="A124" s="3" t="s">
        <v>254</v>
      </c>
      <c r="B124" t="s">
        <v>255</v>
      </c>
      <c r="C124" s="5">
        <v>0</v>
      </c>
      <c r="D124" s="5">
        <v>0</v>
      </c>
      <c r="E124" s="5">
        <v>0</v>
      </c>
      <c r="F124" s="5">
        <v>0</v>
      </c>
    </row>
    <row r="125" spans="1:6" x14ac:dyDescent="0.25">
      <c r="A125" s="3" t="s">
        <v>256</v>
      </c>
      <c r="B125" t="s">
        <v>257</v>
      </c>
      <c r="C125" s="5">
        <v>-571291298.77999997</v>
      </c>
      <c r="D125" s="5">
        <v>0</v>
      </c>
      <c r="E125" s="5">
        <v>0</v>
      </c>
      <c r="F125" s="5">
        <v>-571291298.77999997</v>
      </c>
    </row>
    <row r="126" spans="1:6" x14ac:dyDescent="0.25">
      <c r="A126" s="3" t="s">
        <v>258</v>
      </c>
      <c r="B126" t="s">
        <v>259</v>
      </c>
      <c r="C126" s="5">
        <v>4068013.9399999976</v>
      </c>
      <c r="D126" s="5">
        <v>7928399.6500000004</v>
      </c>
      <c r="E126" s="5">
        <v>601475.69999999995</v>
      </c>
      <c r="F126" s="5">
        <v>11394937.889999999</v>
      </c>
    </row>
    <row r="127" spans="1:6" x14ac:dyDescent="0.25">
      <c r="A127" s="3" t="s">
        <v>893</v>
      </c>
      <c r="B127" t="s">
        <v>894</v>
      </c>
      <c r="C127" s="5">
        <v>-1419.7199999988079</v>
      </c>
      <c r="D127" s="5">
        <v>0</v>
      </c>
      <c r="E127" s="5">
        <v>0</v>
      </c>
      <c r="F127" s="5">
        <v>-1419.7199999988079</v>
      </c>
    </row>
    <row r="128" spans="1:6" x14ac:dyDescent="0.25">
      <c r="A128" s="3" t="s">
        <v>260</v>
      </c>
      <c r="B128" t="s">
        <v>261</v>
      </c>
      <c r="C128" s="5">
        <v>-2.2899999991059303</v>
      </c>
      <c r="D128" s="5">
        <v>263446.49</v>
      </c>
      <c r="E128" s="5">
        <v>0</v>
      </c>
      <c r="F128" s="5">
        <v>263444.20000000088</v>
      </c>
    </row>
    <row r="129" spans="1:6" x14ac:dyDescent="0.25">
      <c r="A129" s="3" t="s">
        <v>266</v>
      </c>
      <c r="B129" t="s">
        <v>267</v>
      </c>
      <c r="C129" s="5">
        <v>-93077847.630002975</v>
      </c>
      <c r="D129" s="5">
        <v>19240319.100000001</v>
      </c>
      <c r="E129" s="5">
        <v>0</v>
      </c>
      <c r="F129" s="5">
        <v>-73837528.530002981</v>
      </c>
    </row>
    <row r="130" spans="1:6" x14ac:dyDescent="0.25">
      <c r="A130" s="3" t="s">
        <v>268</v>
      </c>
      <c r="B130" t="s">
        <v>269</v>
      </c>
      <c r="C130" s="5">
        <v>0</v>
      </c>
      <c r="D130" s="5">
        <v>0</v>
      </c>
      <c r="E130" s="5">
        <v>0</v>
      </c>
      <c r="F130" s="5">
        <v>0</v>
      </c>
    </row>
    <row r="131" spans="1:6" x14ac:dyDescent="0.25">
      <c r="A131" s="3" t="s">
        <v>270</v>
      </c>
      <c r="B131" t="s">
        <v>271</v>
      </c>
      <c r="C131" s="5">
        <v>3.1999996863305569E-3</v>
      </c>
      <c r="D131" s="5">
        <v>0</v>
      </c>
      <c r="E131" s="5">
        <v>0</v>
      </c>
      <c r="F131" s="5">
        <v>3.1999996863305569E-3</v>
      </c>
    </row>
    <row r="132" spans="1:6" x14ac:dyDescent="0.25">
      <c r="A132" s="3" t="s">
        <v>272</v>
      </c>
      <c r="B132" t="s">
        <v>273</v>
      </c>
      <c r="C132" s="5">
        <v>0</v>
      </c>
      <c r="D132" s="5">
        <v>0</v>
      </c>
      <c r="E132" s="5">
        <v>0</v>
      </c>
      <c r="F132" s="5">
        <v>0</v>
      </c>
    </row>
    <row r="133" spans="1:6" x14ac:dyDescent="0.25">
      <c r="A133" s="3" t="s">
        <v>274</v>
      </c>
      <c r="B133" t="s">
        <v>275</v>
      </c>
      <c r="C133" s="5">
        <v>-57321539.860000372</v>
      </c>
      <c r="D133" s="5">
        <v>0</v>
      </c>
      <c r="E133" s="5">
        <v>0</v>
      </c>
      <c r="F133" s="5">
        <v>-57321539.860000372</v>
      </c>
    </row>
    <row r="134" spans="1:6" x14ac:dyDescent="0.25">
      <c r="A134" s="3" t="s">
        <v>276</v>
      </c>
      <c r="B134" t="s">
        <v>277</v>
      </c>
      <c r="C134" s="5">
        <v>-69497005.300000191</v>
      </c>
      <c r="D134" s="5">
        <v>0</v>
      </c>
      <c r="E134" s="5">
        <v>0</v>
      </c>
      <c r="F134" s="5">
        <v>-69497005.300000191</v>
      </c>
    </row>
    <row r="135" spans="1:6" x14ac:dyDescent="0.25">
      <c r="A135" s="3" t="s">
        <v>278</v>
      </c>
      <c r="B135" t="s">
        <v>279</v>
      </c>
      <c r="C135" s="5">
        <v>46542863.150000036</v>
      </c>
      <c r="D135" s="5">
        <v>13380124.060000001</v>
      </c>
      <c r="E135" s="5">
        <v>0</v>
      </c>
      <c r="F135" s="5">
        <v>59922987.210000038</v>
      </c>
    </row>
    <row r="136" spans="1:6" x14ac:dyDescent="0.25">
      <c r="A136" s="3" t="s">
        <v>280</v>
      </c>
      <c r="B136" t="s">
        <v>281</v>
      </c>
      <c r="C136" s="5">
        <v>-1004.0399999991059</v>
      </c>
      <c r="D136" s="5">
        <v>245320.44</v>
      </c>
      <c r="E136" s="5">
        <v>0</v>
      </c>
      <c r="F136" s="5">
        <v>244316.4000000009</v>
      </c>
    </row>
    <row r="137" spans="1:6" x14ac:dyDescent="0.25">
      <c r="A137" s="3" t="s">
        <v>282</v>
      </c>
      <c r="B137" t="s">
        <v>283</v>
      </c>
      <c r="C137" s="5">
        <v>104724109.1444993</v>
      </c>
      <c r="D137" s="5">
        <v>0</v>
      </c>
      <c r="E137" s="5">
        <v>0</v>
      </c>
      <c r="F137" s="5">
        <v>104724109.1444993</v>
      </c>
    </row>
    <row r="138" spans="1:6" x14ac:dyDescent="0.25">
      <c r="A138" s="3" t="s">
        <v>284</v>
      </c>
      <c r="B138" t="s">
        <v>285</v>
      </c>
      <c r="C138" s="5">
        <v>13809853.940000005</v>
      </c>
      <c r="D138" s="5">
        <v>2929999.5</v>
      </c>
      <c r="E138" s="5">
        <v>0</v>
      </c>
      <c r="F138" s="5">
        <v>16739853.440000005</v>
      </c>
    </row>
    <row r="139" spans="1:6" x14ac:dyDescent="0.25">
      <c r="A139" s="3" t="s">
        <v>286</v>
      </c>
      <c r="B139" t="s">
        <v>287</v>
      </c>
      <c r="C139" s="5">
        <v>20399393.709999993</v>
      </c>
      <c r="D139" s="5">
        <v>4248767.84</v>
      </c>
      <c r="E139" s="5">
        <v>0</v>
      </c>
      <c r="F139" s="5">
        <v>24648161.549999993</v>
      </c>
    </row>
    <row r="140" spans="1:6" x14ac:dyDescent="0.25">
      <c r="A140" s="3" t="s">
        <v>288</v>
      </c>
      <c r="B140" t="s">
        <v>289</v>
      </c>
      <c r="C140" s="5">
        <v>-4769692</v>
      </c>
      <c r="D140" s="5">
        <v>0</v>
      </c>
      <c r="E140" s="5">
        <v>0</v>
      </c>
      <c r="F140" s="5">
        <v>-4769692</v>
      </c>
    </row>
    <row r="141" spans="1:6" x14ac:dyDescent="0.25">
      <c r="A141" s="3" t="s">
        <v>290</v>
      </c>
      <c r="B141" t="s">
        <v>291</v>
      </c>
      <c r="C141" s="5">
        <v>4030000</v>
      </c>
      <c r="D141" s="5">
        <v>345000</v>
      </c>
      <c r="E141" s="5">
        <v>0</v>
      </c>
      <c r="F141" s="5">
        <v>4375000</v>
      </c>
    </row>
    <row r="142" spans="1:6" x14ac:dyDescent="0.25">
      <c r="A142" s="3" t="s">
        <v>292</v>
      </c>
      <c r="B142" t="s">
        <v>293</v>
      </c>
      <c r="C142" s="5">
        <v>0</v>
      </c>
      <c r="D142" s="5">
        <v>0</v>
      </c>
      <c r="E142" s="5">
        <v>0</v>
      </c>
      <c r="F142" s="5">
        <v>0</v>
      </c>
    </row>
    <row r="143" spans="1:6" x14ac:dyDescent="0.25">
      <c r="A143" s="3" t="s">
        <v>294</v>
      </c>
      <c r="B143" t="s">
        <v>295</v>
      </c>
      <c r="C143" s="5">
        <v>794500</v>
      </c>
      <c r="D143" s="5">
        <v>0</v>
      </c>
      <c r="E143" s="5">
        <v>0</v>
      </c>
      <c r="F143" s="5">
        <v>794500</v>
      </c>
    </row>
    <row r="144" spans="1:6" x14ac:dyDescent="0.25">
      <c r="A144" s="3" t="s">
        <v>296</v>
      </c>
      <c r="B144" t="s">
        <v>297</v>
      </c>
      <c r="C144" s="5">
        <v>0</v>
      </c>
      <c r="D144" s="5">
        <v>0</v>
      </c>
      <c r="E144" s="5">
        <v>0</v>
      </c>
      <c r="F144" s="5">
        <v>0</v>
      </c>
    </row>
    <row r="145" spans="1:6" x14ac:dyDescent="0.25">
      <c r="A145" s="3" t="s">
        <v>298</v>
      </c>
      <c r="B145" t="s">
        <v>299</v>
      </c>
      <c r="C145" s="5">
        <v>-3438000</v>
      </c>
      <c r="D145" s="5">
        <v>0</v>
      </c>
      <c r="E145" s="5">
        <v>0</v>
      </c>
      <c r="F145" s="5">
        <v>-3438000</v>
      </c>
    </row>
    <row r="146" spans="1:6" x14ac:dyDescent="0.25">
      <c r="A146" s="3" t="s">
        <v>895</v>
      </c>
      <c r="B146" t="s">
        <v>896</v>
      </c>
      <c r="C146" s="5">
        <v>0</v>
      </c>
      <c r="D146" s="5">
        <v>0</v>
      </c>
      <c r="E146" s="5">
        <v>0</v>
      </c>
      <c r="F146" s="5">
        <v>0</v>
      </c>
    </row>
    <row r="147" spans="1:6" x14ac:dyDescent="0.25">
      <c r="A147" s="3" t="s">
        <v>300</v>
      </c>
      <c r="B147" t="s">
        <v>301</v>
      </c>
      <c r="C147" s="5">
        <v>-410941.21574197803</v>
      </c>
      <c r="D147" s="5">
        <v>26838.76</v>
      </c>
      <c r="E147" s="5">
        <v>0</v>
      </c>
      <c r="F147" s="5">
        <v>-384102.45574197802</v>
      </c>
    </row>
    <row r="148" spans="1:6" x14ac:dyDescent="0.25">
      <c r="A148" s="3" t="s">
        <v>302</v>
      </c>
      <c r="B148" t="s">
        <v>303</v>
      </c>
      <c r="C148" s="5">
        <v>-48646.91899679997</v>
      </c>
      <c r="D148" s="5">
        <v>56422.69</v>
      </c>
      <c r="E148" s="5">
        <v>0</v>
      </c>
      <c r="F148" s="5">
        <v>7775.7710032000323</v>
      </c>
    </row>
    <row r="149" spans="1:6" x14ac:dyDescent="0.25">
      <c r="A149" s="3" t="s">
        <v>304</v>
      </c>
      <c r="B149" t="s">
        <v>305</v>
      </c>
      <c r="C149" s="5">
        <v>-3.5448369962978177E-3</v>
      </c>
      <c r="D149" s="5">
        <v>0</v>
      </c>
      <c r="E149" s="5">
        <v>0</v>
      </c>
      <c r="F149" s="5">
        <v>-3.5448369962978177E-3</v>
      </c>
    </row>
    <row r="150" spans="1:6" x14ac:dyDescent="0.25">
      <c r="A150" s="3" t="s">
        <v>306</v>
      </c>
      <c r="B150" t="s">
        <v>307</v>
      </c>
      <c r="C150" s="5">
        <v>0</v>
      </c>
      <c r="D150" s="5">
        <v>0</v>
      </c>
      <c r="E150" s="5">
        <v>0</v>
      </c>
      <c r="F150" s="5">
        <v>0</v>
      </c>
    </row>
    <row r="151" spans="1:6" x14ac:dyDescent="0.25">
      <c r="A151" s="3" t="s">
        <v>308</v>
      </c>
      <c r="B151" t="s">
        <v>309</v>
      </c>
      <c r="C151" s="5">
        <v>15620075.212777048</v>
      </c>
      <c r="D151" s="5">
        <v>10797259.210000001</v>
      </c>
      <c r="E151" s="5">
        <v>0</v>
      </c>
      <c r="F151" s="5">
        <v>26417334.422777049</v>
      </c>
    </row>
    <row r="152" spans="1:6" x14ac:dyDescent="0.25">
      <c r="A152" s="3" t="s">
        <v>310</v>
      </c>
      <c r="B152" t="s">
        <v>311</v>
      </c>
      <c r="C152" s="5">
        <v>-48080.974234186579</v>
      </c>
      <c r="D152" s="5">
        <v>0</v>
      </c>
      <c r="E152" s="5">
        <v>0</v>
      </c>
      <c r="F152" s="5">
        <v>-48080.974234186579</v>
      </c>
    </row>
    <row r="153" spans="1:6" x14ac:dyDescent="0.25">
      <c r="A153" s="3" t="s">
        <v>312</v>
      </c>
      <c r="B153" t="s">
        <v>313</v>
      </c>
      <c r="C153" s="5">
        <v>-2775602.4448644295</v>
      </c>
      <c r="D153" s="5">
        <v>0</v>
      </c>
      <c r="E153" s="5">
        <v>0</v>
      </c>
      <c r="F153" s="5">
        <v>-2775602.4448644295</v>
      </c>
    </row>
    <row r="154" spans="1:6" x14ac:dyDescent="0.25">
      <c r="A154" s="3" t="s">
        <v>897</v>
      </c>
      <c r="B154" t="s">
        <v>898</v>
      </c>
      <c r="C154" s="5">
        <v>0</v>
      </c>
      <c r="D154" s="5">
        <v>0</v>
      </c>
      <c r="E154" s="5">
        <v>0</v>
      </c>
      <c r="F154" s="5">
        <v>0</v>
      </c>
    </row>
    <row r="155" spans="1:6" x14ac:dyDescent="0.25">
      <c r="A155" s="3" t="s">
        <v>314</v>
      </c>
      <c r="B155" t="s">
        <v>315</v>
      </c>
      <c r="C155" s="5">
        <v>0</v>
      </c>
      <c r="D155" s="5">
        <v>0</v>
      </c>
      <c r="E155" s="5">
        <v>0</v>
      </c>
      <c r="F155" s="5">
        <v>0</v>
      </c>
    </row>
    <row r="156" spans="1:6" x14ac:dyDescent="0.25">
      <c r="A156" s="3" t="s">
        <v>316</v>
      </c>
      <c r="B156" t="s">
        <v>317</v>
      </c>
      <c r="C156" s="5">
        <v>1316783.3169667572</v>
      </c>
      <c r="D156" s="5">
        <v>211514.51</v>
      </c>
      <c r="E156" s="5">
        <v>0</v>
      </c>
      <c r="F156" s="5">
        <v>1528297.8269667572</v>
      </c>
    </row>
    <row r="157" spans="1:6" x14ac:dyDescent="0.25">
      <c r="A157" s="3" t="s">
        <v>318</v>
      </c>
      <c r="B157" t="s">
        <v>319</v>
      </c>
      <c r="C157" s="5">
        <v>2945.0485366012435</v>
      </c>
      <c r="D157" s="5">
        <v>77395.53</v>
      </c>
      <c r="E157" s="5">
        <v>0</v>
      </c>
      <c r="F157" s="5">
        <v>80340.578536601242</v>
      </c>
    </row>
    <row r="158" spans="1:6" x14ac:dyDescent="0.25">
      <c r="A158" s="3" t="s">
        <v>320</v>
      </c>
      <c r="B158" t="s">
        <v>321</v>
      </c>
      <c r="C158" s="5">
        <v>20282861.146831036</v>
      </c>
      <c r="D158" s="5">
        <v>34963285.619999997</v>
      </c>
      <c r="E158" s="5">
        <v>0</v>
      </c>
      <c r="F158" s="5">
        <v>55246146.766831033</v>
      </c>
    </row>
    <row r="159" spans="1:6" x14ac:dyDescent="0.25">
      <c r="A159" s="3" t="s">
        <v>322</v>
      </c>
      <c r="B159" t="s">
        <v>323</v>
      </c>
      <c r="C159" s="5">
        <v>16627062.237704188</v>
      </c>
      <c r="D159" s="5">
        <v>19627062.239999998</v>
      </c>
      <c r="E159" s="5">
        <v>0</v>
      </c>
      <c r="F159" s="5">
        <v>36254124.477704182</v>
      </c>
    </row>
    <row r="160" spans="1:6" x14ac:dyDescent="0.25">
      <c r="A160" s="3" t="s">
        <v>324</v>
      </c>
      <c r="B160" t="s">
        <v>283</v>
      </c>
      <c r="C160" s="5">
        <v>0</v>
      </c>
      <c r="D160" s="5">
        <v>0</v>
      </c>
      <c r="E160" s="5">
        <v>0</v>
      </c>
      <c r="F160" s="5">
        <v>0</v>
      </c>
    </row>
    <row r="161" spans="1:6" x14ac:dyDescent="0.25">
      <c r="A161" s="3" t="s">
        <v>325</v>
      </c>
      <c r="B161" t="s">
        <v>326</v>
      </c>
      <c r="C161" s="5">
        <v>-40209.551095887</v>
      </c>
      <c r="D161" s="5">
        <v>0</v>
      </c>
      <c r="E161" s="5">
        <v>0</v>
      </c>
      <c r="F161" s="5">
        <v>-40209.551095887</v>
      </c>
    </row>
    <row r="162" spans="1:6" x14ac:dyDescent="0.25">
      <c r="A162" s="3" t="s">
        <v>327</v>
      </c>
      <c r="B162" t="s">
        <v>328</v>
      </c>
      <c r="C162" s="5">
        <v>337574.15176833491</v>
      </c>
      <c r="D162" s="5">
        <v>0</v>
      </c>
      <c r="E162" s="5">
        <v>0</v>
      </c>
      <c r="F162" s="5">
        <v>337574.15176833491</v>
      </c>
    </row>
    <row r="163" spans="1:6" x14ac:dyDescent="0.25">
      <c r="A163" s="3" t="s">
        <v>329</v>
      </c>
      <c r="B163" t="s">
        <v>330</v>
      </c>
      <c r="C163" s="5">
        <v>-76911.437915140763</v>
      </c>
      <c r="D163" s="5">
        <v>57396.58</v>
      </c>
      <c r="E163" s="5">
        <v>0</v>
      </c>
      <c r="F163" s="5">
        <v>-19514.857915140761</v>
      </c>
    </row>
    <row r="164" spans="1:6" x14ac:dyDescent="0.25">
      <c r="A164" s="3" t="s">
        <v>331</v>
      </c>
      <c r="B164" t="s">
        <v>332</v>
      </c>
      <c r="C164" s="5">
        <v>3.6088749766349792E-8</v>
      </c>
      <c r="D164" s="5">
        <v>0</v>
      </c>
      <c r="E164" s="5">
        <v>0</v>
      </c>
      <c r="F164" s="5">
        <v>3.6088749766349792E-8</v>
      </c>
    </row>
    <row r="165" spans="1:6" x14ac:dyDescent="0.25">
      <c r="A165" s="3" t="s">
        <v>333</v>
      </c>
      <c r="B165" t="s">
        <v>334</v>
      </c>
      <c r="C165" s="5">
        <v>-3.6328479181975126E-3</v>
      </c>
      <c r="D165" s="5">
        <v>0</v>
      </c>
      <c r="E165" s="5">
        <v>0</v>
      </c>
      <c r="F165" s="5">
        <v>-3.6328479181975126E-3</v>
      </c>
    </row>
    <row r="166" spans="1:6" x14ac:dyDescent="0.25">
      <c r="A166" s="3" t="s">
        <v>335</v>
      </c>
      <c r="B166" t="s">
        <v>336</v>
      </c>
      <c r="C166" s="5">
        <v>0</v>
      </c>
      <c r="D166" s="5">
        <v>0</v>
      </c>
      <c r="E166" s="5">
        <v>0</v>
      </c>
      <c r="F166" s="5">
        <v>0</v>
      </c>
    </row>
    <row r="167" spans="1:6" x14ac:dyDescent="0.25">
      <c r="A167" s="3" t="s">
        <v>337</v>
      </c>
      <c r="B167" t="s">
        <v>338</v>
      </c>
      <c r="C167" s="5">
        <v>-91712.75</v>
      </c>
      <c r="D167" s="5">
        <v>0</v>
      </c>
      <c r="E167" s="5">
        <v>0</v>
      </c>
      <c r="F167" s="5">
        <v>-91712.75</v>
      </c>
    </row>
    <row r="168" spans="1:6" x14ac:dyDescent="0.25">
      <c r="A168" s="3" t="s">
        <v>339</v>
      </c>
      <c r="B168" t="s">
        <v>340</v>
      </c>
      <c r="C168" s="5">
        <v>4476.3796215448529</v>
      </c>
      <c r="D168" s="5">
        <v>144351.25</v>
      </c>
      <c r="E168" s="5">
        <v>0</v>
      </c>
      <c r="F168" s="5">
        <v>148827.62962154485</v>
      </c>
    </row>
    <row r="169" spans="1:6" x14ac:dyDescent="0.25">
      <c r="A169" s="3" t="s">
        <v>899</v>
      </c>
      <c r="B169" t="s">
        <v>900</v>
      </c>
      <c r="C169" s="5">
        <v>-36005.040000000001</v>
      </c>
      <c r="D169" s="5">
        <v>0</v>
      </c>
      <c r="E169" s="5">
        <v>0</v>
      </c>
      <c r="F169" s="5">
        <v>-36005.040000000001</v>
      </c>
    </row>
    <row r="170" spans="1:6" x14ac:dyDescent="0.25">
      <c r="A170" s="3" t="s">
        <v>901</v>
      </c>
      <c r="B170" t="s">
        <v>902</v>
      </c>
      <c r="C170" s="5">
        <v>-40511.06</v>
      </c>
      <c r="D170" s="5">
        <v>0</v>
      </c>
      <c r="E170" s="5">
        <v>0</v>
      </c>
      <c r="F170" s="5">
        <v>-40511.06</v>
      </c>
    </row>
    <row r="171" spans="1:6" x14ac:dyDescent="0.25">
      <c r="A171" s="3" t="s">
        <v>903</v>
      </c>
      <c r="B171" t="s">
        <v>902</v>
      </c>
      <c r="C171" s="5">
        <v>-201615.19</v>
      </c>
      <c r="D171" s="5">
        <v>0</v>
      </c>
      <c r="E171" s="5">
        <v>0</v>
      </c>
      <c r="F171" s="5">
        <v>-201615.19</v>
      </c>
    </row>
    <row r="172" spans="1:6" x14ac:dyDescent="0.25">
      <c r="A172" s="3" t="s">
        <v>341</v>
      </c>
      <c r="B172" t="s">
        <v>342</v>
      </c>
      <c r="C172" s="5">
        <v>-2514261702.340004</v>
      </c>
      <c r="D172" s="5">
        <v>8916940.6699999999</v>
      </c>
      <c r="E172" s="5">
        <v>923746152.73000002</v>
      </c>
      <c r="F172" s="5">
        <v>-3429090914.4000039</v>
      </c>
    </row>
    <row r="173" spans="1:6" x14ac:dyDescent="0.25">
      <c r="A173" s="3" t="s">
        <v>343</v>
      </c>
      <c r="B173" t="s">
        <v>344</v>
      </c>
      <c r="C173" s="5">
        <v>0</v>
      </c>
      <c r="D173" s="5">
        <v>0</v>
      </c>
      <c r="E173" s="5">
        <v>0</v>
      </c>
      <c r="F173" s="5">
        <v>0</v>
      </c>
    </row>
    <row r="174" spans="1:6" x14ac:dyDescent="0.25">
      <c r="A174" s="3" t="s">
        <v>345</v>
      </c>
      <c r="B174" t="s">
        <v>346</v>
      </c>
      <c r="C174" s="5">
        <v>0</v>
      </c>
      <c r="D174" s="5">
        <v>0</v>
      </c>
      <c r="E174" s="5">
        <v>0</v>
      </c>
      <c r="F174" s="5">
        <v>0</v>
      </c>
    </row>
    <row r="175" spans="1:6" x14ac:dyDescent="0.25">
      <c r="A175" s="3" t="s">
        <v>347</v>
      </c>
      <c r="B175" t="s">
        <v>348</v>
      </c>
      <c r="C175" s="5">
        <v>1647308.0899999999</v>
      </c>
      <c r="D175" s="5">
        <v>218344.08</v>
      </c>
      <c r="E175" s="5">
        <v>0</v>
      </c>
      <c r="F175" s="5">
        <v>1865652.17</v>
      </c>
    </row>
    <row r="176" spans="1:6" x14ac:dyDescent="0.25">
      <c r="A176" s="3" t="s">
        <v>349</v>
      </c>
      <c r="B176" t="s">
        <v>350</v>
      </c>
      <c r="C176" s="5">
        <v>-8054835.6700000018</v>
      </c>
      <c r="D176" s="5">
        <v>764204.27</v>
      </c>
      <c r="E176" s="5">
        <v>0</v>
      </c>
      <c r="F176" s="5">
        <v>-7290631.4000000022</v>
      </c>
    </row>
    <row r="177" spans="1:6" x14ac:dyDescent="0.25">
      <c r="A177" s="3" t="s">
        <v>904</v>
      </c>
      <c r="B177" t="s">
        <v>905</v>
      </c>
      <c r="C177" s="5">
        <v>7965224</v>
      </c>
      <c r="D177" s="5">
        <v>0</v>
      </c>
      <c r="E177" s="5">
        <v>0</v>
      </c>
      <c r="F177" s="5">
        <v>7965224</v>
      </c>
    </row>
    <row r="178" spans="1:6" x14ac:dyDescent="0.25">
      <c r="A178" s="3" t="s">
        <v>351</v>
      </c>
      <c r="B178" t="s">
        <v>352</v>
      </c>
      <c r="C178" s="5">
        <v>0</v>
      </c>
      <c r="D178" s="5">
        <v>0</v>
      </c>
      <c r="E178" s="5">
        <v>0</v>
      </c>
      <c r="F178" s="5">
        <v>0</v>
      </c>
    </row>
    <row r="179" spans="1:6" x14ac:dyDescent="0.25">
      <c r="A179" s="3" t="s">
        <v>353</v>
      </c>
      <c r="B179" t="s">
        <v>354</v>
      </c>
      <c r="C179" s="5">
        <v>-50369763</v>
      </c>
      <c r="D179" s="5">
        <v>0</v>
      </c>
      <c r="E179" s="5">
        <v>0</v>
      </c>
      <c r="F179" s="5">
        <v>-50369763</v>
      </c>
    </row>
    <row r="180" spans="1:6" x14ac:dyDescent="0.25">
      <c r="A180" s="3" t="s">
        <v>355</v>
      </c>
      <c r="B180" t="s">
        <v>356</v>
      </c>
      <c r="C180" s="5">
        <v>-1095994580.8799996</v>
      </c>
      <c r="D180" s="5">
        <v>105702441.47</v>
      </c>
      <c r="E180" s="5">
        <v>0</v>
      </c>
      <c r="F180" s="5">
        <v>-990292139.40999961</v>
      </c>
    </row>
    <row r="181" spans="1:6" x14ac:dyDescent="0.25">
      <c r="A181" s="3" t="s">
        <v>906</v>
      </c>
      <c r="B181" t="s">
        <v>907</v>
      </c>
      <c r="C181" s="5">
        <v>-3041075.65</v>
      </c>
      <c r="D181" s="5">
        <v>0</v>
      </c>
      <c r="E181" s="5">
        <v>0</v>
      </c>
      <c r="F181" s="5">
        <v>-3041075.65</v>
      </c>
    </row>
    <row r="182" spans="1:6" x14ac:dyDescent="0.25">
      <c r="A182" s="3" t="s">
        <v>357</v>
      </c>
      <c r="B182" t="s">
        <v>358</v>
      </c>
      <c r="C182" s="5">
        <v>12284256.76</v>
      </c>
      <c r="D182" s="5">
        <v>6739688.1699999999</v>
      </c>
      <c r="E182" s="5">
        <v>0</v>
      </c>
      <c r="F182" s="5">
        <v>19023944.93</v>
      </c>
    </row>
    <row r="183" spans="1:6" x14ac:dyDescent="0.25">
      <c r="A183" s="3" t="s">
        <v>359</v>
      </c>
      <c r="B183" t="s">
        <v>360</v>
      </c>
      <c r="C183" s="5">
        <v>-12910260.520000003</v>
      </c>
      <c r="D183" s="5">
        <v>0</v>
      </c>
      <c r="E183" s="5">
        <v>0</v>
      </c>
      <c r="F183" s="5">
        <v>-12910260.520000003</v>
      </c>
    </row>
    <row r="184" spans="1:6" x14ac:dyDescent="0.25">
      <c r="A184" s="3" t="s">
        <v>908</v>
      </c>
      <c r="B184" t="s">
        <v>909</v>
      </c>
      <c r="C184" s="5">
        <v>-406954.12999999896</v>
      </c>
      <c r="D184" s="5">
        <v>0</v>
      </c>
      <c r="E184" s="5">
        <v>0</v>
      </c>
      <c r="F184" s="5">
        <v>-406954.12999999896</v>
      </c>
    </row>
    <row r="185" spans="1:6" x14ac:dyDescent="0.25">
      <c r="A185" s="3" t="s">
        <v>910</v>
      </c>
      <c r="B185" t="s">
        <v>911</v>
      </c>
      <c r="C185" s="5">
        <v>-18443.380000000354</v>
      </c>
      <c r="D185" s="5">
        <v>197673.29</v>
      </c>
      <c r="E185" s="5">
        <v>0</v>
      </c>
      <c r="F185" s="5">
        <v>179229.90999999965</v>
      </c>
    </row>
    <row r="186" spans="1:6" x14ac:dyDescent="0.25">
      <c r="A186" s="3" t="s">
        <v>912</v>
      </c>
      <c r="B186" t="s">
        <v>913</v>
      </c>
      <c r="C186" s="5">
        <v>0</v>
      </c>
      <c r="D186" s="5">
        <v>0</v>
      </c>
      <c r="E186" s="5">
        <v>0</v>
      </c>
      <c r="F186" s="5">
        <v>0</v>
      </c>
    </row>
    <row r="187" spans="1:6" x14ac:dyDescent="0.25">
      <c r="A187" s="3" t="s">
        <v>361</v>
      </c>
      <c r="B187" t="s">
        <v>362</v>
      </c>
      <c r="C187" s="5">
        <v>9537712.5299999714</v>
      </c>
      <c r="D187" s="5">
        <v>23757719.300000001</v>
      </c>
      <c r="E187" s="5">
        <v>0</v>
      </c>
      <c r="F187" s="5">
        <v>33295431.829999972</v>
      </c>
    </row>
    <row r="188" spans="1:6" x14ac:dyDescent="0.25">
      <c r="A188" s="3" t="s">
        <v>363</v>
      </c>
      <c r="B188" t="s">
        <v>364</v>
      </c>
      <c r="C188" s="5">
        <v>0</v>
      </c>
      <c r="D188" s="5">
        <v>0</v>
      </c>
      <c r="E188" s="5">
        <v>0</v>
      </c>
      <c r="F188" s="5">
        <v>0</v>
      </c>
    </row>
    <row r="189" spans="1:6" x14ac:dyDescent="0.25">
      <c r="A189" s="3" t="s">
        <v>365</v>
      </c>
      <c r="B189" t="s">
        <v>366</v>
      </c>
      <c r="C189" s="5">
        <v>0</v>
      </c>
      <c r="D189" s="5">
        <v>10227.27</v>
      </c>
      <c r="E189" s="5">
        <v>10227.27</v>
      </c>
      <c r="F189" s="5">
        <v>0</v>
      </c>
    </row>
    <row r="190" spans="1:6" x14ac:dyDescent="0.25">
      <c r="A190" s="3" t="s">
        <v>367</v>
      </c>
      <c r="B190" t="s">
        <v>368</v>
      </c>
      <c r="C190" s="5">
        <v>-4104758.6679999977</v>
      </c>
      <c r="D190" s="5">
        <v>0</v>
      </c>
      <c r="E190" s="5">
        <v>0</v>
      </c>
      <c r="F190" s="5">
        <v>-4104758.6679999977</v>
      </c>
    </row>
    <row r="191" spans="1:6" x14ac:dyDescent="0.25">
      <c r="A191" s="3" t="s">
        <v>369</v>
      </c>
      <c r="B191" t="s">
        <v>370</v>
      </c>
      <c r="C191" s="5">
        <v>43142691.319999814</v>
      </c>
      <c r="D191" s="5">
        <v>0</v>
      </c>
      <c r="E191" s="5">
        <v>0</v>
      </c>
      <c r="F191" s="5">
        <v>43142691.319999814</v>
      </c>
    </row>
    <row r="192" spans="1:6" x14ac:dyDescent="0.25">
      <c r="A192" s="3" t="s">
        <v>373</v>
      </c>
      <c r="B192" t="s">
        <v>374</v>
      </c>
      <c r="C192" s="5">
        <v>7.4505805969238281E-9</v>
      </c>
      <c r="D192" s="5">
        <v>0</v>
      </c>
      <c r="E192" s="5">
        <v>0</v>
      </c>
      <c r="F192" s="5">
        <v>7.4505805969238281E-9</v>
      </c>
    </row>
    <row r="193" spans="1:6" x14ac:dyDescent="0.25">
      <c r="A193" s="3" t="s">
        <v>377</v>
      </c>
      <c r="B193" t="s">
        <v>378</v>
      </c>
      <c r="C193" s="5">
        <v>-200400000</v>
      </c>
      <c r="D193" s="5">
        <v>0</v>
      </c>
      <c r="E193" s="5">
        <v>0</v>
      </c>
      <c r="F193" s="5">
        <v>-200400000</v>
      </c>
    </row>
    <row r="194" spans="1:6" x14ac:dyDescent="0.25">
      <c r="A194" s="3" t="s">
        <v>379</v>
      </c>
      <c r="B194" t="s">
        <v>380</v>
      </c>
      <c r="C194" s="5">
        <v>0</v>
      </c>
      <c r="D194" s="5">
        <v>0</v>
      </c>
      <c r="E194" s="5">
        <v>0</v>
      </c>
      <c r="F194" s="5">
        <v>0</v>
      </c>
    </row>
    <row r="195" spans="1:6" x14ac:dyDescent="0.25">
      <c r="A195" s="3" t="s">
        <v>389</v>
      </c>
      <c r="B195" t="s">
        <v>390</v>
      </c>
      <c r="C195" s="5">
        <v>0</v>
      </c>
      <c r="D195" s="5">
        <v>0</v>
      </c>
      <c r="E195" s="5">
        <v>0</v>
      </c>
      <c r="F195" s="5">
        <v>0</v>
      </c>
    </row>
    <row r="196" spans="1:6" x14ac:dyDescent="0.25">
      <c r="A196" s="3" t="s">
        <v>397</v>
      </c>
      <c r="B196" t="s">
        <v>398</v>
      </c>
      <c r="C196" s="5">
        <v>0</v>
      </c>
      <c r="D196" s="5">
        <v>0</v>
      </c>
      <c r="E196" s="5">
        <v>0</v>
      </c>
      <c r="F196" s="5">
        <v>0</v>
      </c>
    </row>
    <row r="197" spans="1:6" x14ac:dyDescent="0.25">
      <c r="A197" s="3" t="s">
        <v>401</v>
      </c>
      <c r="B197" t="s">
        <v>402</v>
      </c>
      <c r="C197" s="5">
        <v>-2536833333.3000002</v>
      </c>
      <c r="D197" s="5">
        <v>0</v>
      </c>
      <c r="E197" s="5">
        <v>0</v>
      </c>
      <c r="F197" s="5">
        <v>-2536833333.3000002</v>
      </c>
    </row>
    <row r="198" spans="1:6" x14ac:dyDescent="0.25">
      <c r="A198" s="3" t="s">
        <v>403</v>
      </c>
      <c r="B198" t="s">
        <v>404</v>
      </c>
      <c r="C198" s="5">
        <v>-422460999.99999952</v>
      </c>
      <c r="D198" s="5">
        <v>66000000</v>
      </c>
      <c r="E198" s="5">
        <v>33000000</v>
      </c>
      <c r="F198" s="5">
        <v>-389460999.99999952</v>
      </c>
    </row>
    <row r="199" spans="1:6" x14ac:dyDescent="0.25">
      <c r="A199" s="3" t="s">
        <v>405</v>
      </c>
      <c r="B199" t="s">
        <v>406</v>
      </c>
      <c r="C199" s="5">
        <v>0</v>
      </c>
      <c r="D199" s="5">
        <v>0</v>
      </c>
      <c r="E199" s="5">
        <v>0</v>
      </c>
      <c r="F199" s="5">
        <v>0</v>
      </c>
    </row>
    <row r="200" spans="1:6" x14ac:dyDescent="0.25">
      <c r="A200" s="3" t="s">
        <v>409</v>
      </c>
      <c r="B200" t="s">
        <v>410</v>
      </c>
      <c r="C200" s="5">
        <v>0</v>
      </c>
      <c r="D200" s="5">
        <v>0</v>
      </c>
      <c r="E200" s="5">
        <v>0</v>
      </c>
      <c r="F200" s="5">
        <v>0</v>
      </c>
    </row>
    <row r="201" spans="1:6" x14ac:dyDescent="0.25">
      <c r="A201" s="3" t="s">
        <v>413</v>
      </c>
      <c r="B201" t="s">
        <v>414</v>
      </c>
      <c r="C201" s="5">
        <v>-317943526.85000038</v>
      </c>
      <c r="D201" s="5">
        <v>405558783.31999999</v>
      </c>
      <c r="E201" s="5">
        <v>401593783.31999999</v>
      </c>
      <c r="F201" s="5">
        <v>-313978526.85000038</v>
      </c>
    </row>
    <row r="202" spans="1:6" x14ac:dyDescent="0.25">
      <c r="A202" s="3" t="s">
        <v>417</v>
      </c>
      <c r="B202" t="s">
        <v>418</v>
      </c>
      <c r="C202" s="5">
        <v>-104166666.63999999</v>
      </c>
      <c r="D202" s="5">
        <v>347666169.00999999</v>
      </c>
      <c r="E202" s="5">
        <v>339853669</v>
      </c>
      <c r="F202" s="5">
        <v>-96354166.629999995</v>
      </c>
    </row>
    <row r="203" spans="1:6" x14ac:dyDescent="0.25">
      <c r="A203" s="3" t="s">
        <v>419</v>
      </c>
      <c r="B203" t="s">
        <v>420</v>
      </c>
      <c r="C203" s="5">
        <v>15625000</v>
      </c>
      <c r="D203" s="5">
        <v>0</v>
      </c>
      <c r="E203" s="5">
        <v>0</v>
      </c>
      <c r="F203" s="5">
        <v>15625000</v>
      </c>
    </row>
    <row r="204" spans="1:6" x14ac:dyDescent="0.25">
      <c r="A204" s="3" t="s">
        <v>421</v>
      </c>
      <c r="B204" t="s">
        <v>422</v>
      </c>
      <c r="C204" s="5">
        <v>2386.5100000016391</v>
      </c>
      <c r="D204" s="5">
        <v>0</v>
      </c>
      <c r="E204" s="5">
        <v>0</v>
      </c>
      <c r="F204" s="5">
        <v>2386.5100000016391</v>
      </c>
    </row>
    <row r="205" spans="1:6" x14ac:dyDescent="0.25">
      <c r="A205" s="3" t="s">
        <v>429</v>
      </c>
      <c r="B205" t="s">
        <v>430</v>
      </c>
      <c r="C205" s="5">
        <v>-32424560.970000029</v>
      </c>
      <c r="D205" s="5">
        <v>940587.42</v>
      </c>
      <c r="E205" s="5">
        <v>0</v>
      </c>
      <c r="F205" s="5">
        <v>-31483973.550000027</v>
      </c>
    </row>
    <row r="206" spans="1:6" x14ac:dyDescent="0.25">
      <c r="A206" s="3" t="s">
        <v>914</v>
      </c>
      <c r="B206" t="s">
        <v>915</v>
      </c>
      <c r="C206" s="5">
        <v>-521509030</v>
      </c>
      <c r="D206" s="5">
        <v>0</v>
      </c>
      <c r="E206" s="5">
        <v>0</v>
      </c>
      <c r="F206" s="5">
        <v>-521509030</v>
      </c>
    </row>
    <row r="207" spans="1:6" ht="30" x14ac:dyDescent="0.25">
      <c r="A207" s="3" t="s">
        <v>916</v>
      </c>
      <c r="B207" s="7" t="s">
        <v>917</v>
      </c>
      <c r="C207" s="5">
        <v>-80279837.099999994</v>
      </c>
      <c r="D207" s="5">
        <v>0</v>
      </c>
      <c r="E207" s="5">
        <v>0</v>
      </c>
      <c r="F207" s="5">
        <v>-80279837.099999994</v>
      </c>
    </row>
    <row r="208" spans="1:6" x14ac:dyDescent="0.25">
      <c r="A208" s="3" t="s">
        <v>918</v>
      </c>
      <c r="B208" t="s">
        <v>919</v>
      </c>
      <c r="C208" s="5">
        <v>-1093500000</v>
      </c>
      <c r="D208" s="5">
        <v>0</v>
      </c>
      <c r="E208" s="5">
        <v>0</v>
      </c>
      <c r="F208" s="5">
        <v>-1093500000</v>
      </c>
    </row>
    <row r="209" spans="1:6" x14ac:dyDescent="0.25">
      <c r="A209" s="3" t="s">
        <v>920</v>
      </c>
      <c r="B209" t="s">
        <v>921</v>
      </c>
      <c r="C209" s="5">
        <v>0</v>
      </c>
      <c r="D209" s="5">
        <v>0</v>
      </c>
      <c r="E209" s="5">
        <v>0</v>
      </c>
      <c r="F209" s="5">
        <v>0</v>
      </c>
    </row>
    <row r="210" spans="1:6" x14ac:dyDescent="0.25">
      <c r="A210" s="3" t="s">
        <v>451</v>
      </c>
      <c r="B210" t="s">
        <v>452</v>
      </c>
      <c r="C210" s="5">
        <v>2065.3015907621011</v>
      </c>
      <c r="D210" s="5">
        <v>0</v>
      </c>
      <c r="E210" s="5">
        <v>0</v>
      </c>
      <c r="F210" s="5">
        <v>2065.3015907621011</v>
      </c>
    </row>
    <row r="211" spans="1:6" x14ac:dyDescent="0.25">
      <c r="A211" s="3" t="s">
        <v>453</v>
      </c>
      <c r="B211" t="s">
        <v>454</v>
      </c>
      <c r="C211" s="5">
        <v>0</v>
      </c>
      <c r="D211" s="5">
        <v>0</v>
      </c>
      <c r="E211" s="5">
        <v>0</v>
      </c>
      <c r="F211" s="5">
        <v>0</v>
      </c>
    </row>
    <row r="212" spans="1:6" x14ac:dyDescent="0.25">
      <c r="A212" s="3" t="s">
        <v>455</v>
      </c>
      <c r="B212" t="s">
        <v>456</v>
      </c>
      <c r="C212" s="5">
        <v>0.13000000268220901</v>
      </c>
      <c r="D212" s="5">
        <v>0</v>
      </c>
      <c r="E212" s="5">
        <v>0</v>
      </c>
      <c r="F212" s="5">
        <v>0.13000000268220901</v>
      </c>
    </row>
    <row r="213" spans="1:6" x14ac:dyDescent="0.25">
      <c r="A213" s="3" t="s">
        <v>459</v>
      </c>
      <c r="B213" t="s">
        <v>460</v>
      </c>
      <c r="C213" s="5">
        <v>0</v>
      </c>
      <c r="D213" s="5">
        <v>0</v>
      </c>
      <c r="E213" s="5">
        <v>0</v>
      </c>
      <c r="F213" s="5">
        <v>0</v>
      </c>
    </row>
    <row r="214" spans="1:6" x14ac:dyDescent="0.25">
      <c r="A214" s="3" t="s">
        <v>461</v>
      </c>
      <c r="B214" t="s">
        <v>462</v>
      </c>
      <c r="C214" s="5">
        <v>6420527.2900000066</v>
      </c>
      <c r="D214" s="5">
        <v>0</v>
      </c>
      <c r="E214" s="5">
        <v>0</v>
      </c>
      <c r="F214" s="5">
        <v>6420527.2900000066</v>
      </c>
    </row>
    <row r="215" spans="1:6" ht="30" x14ac:dyDescent="0.25">
      <c r="A215" s="3" t="s">
        <v>922</v>
      </c>
      <c r="B215" s="7" t="s">
        <v>923</v>
      </c>
      <c r="C215" s="5">
        <v>-277163206.63</v>
      </c>
      <c r="D215" s="5">
        <v>0</v>
      </c>
      <c r="E215" s="5">
        <v>0</v>
      </c>
      <c r="F215" s="5">
        <v>-277163206.63</v>
      </c>
    </row>
    <row r="216" spans="1:6" x14ac:dyDescent="0.25">
      <c r="A216" s="3" t="s">
        <v>479</v>
      </c>
      <c r="B216" t="s">
        <v>480</v>
      </c>
      <c r="C216" s="5">
        <v>-100000.10999999999</v>
      </c>
      <c r="D216" s="5">
        <v>0</v>
      </c>
      <c r="E216" s="5">
        <v>0</v>
      </c>
      <c r="F216" s="5">
        <v>-100000.10999999999</v>
      </c>
    </row>
    <row r="217" spans="1:6" x14ac:dyDescent="0.25">
      <c r="A217" s="3" t="s">
        <v>483</v>
      </c>
      <c r="B217" t="s">
        <v>484</v>
      </c>
      <c r="C217" s="5">
        <v>-12820273.222841302</v>
      </c>
      <c r="D217" s="5">
        <v>0</v>
      </c>
      <c r="E217" s="5">
        <v>0</v>
      </c>
      <c r="F217" s="5">
        <v>-12820273.222841302</v>
      </c>
    </row>
    <row r="218" spans="1:6" x14ac:dyDescent="0.25">
      <c r="A218" s="3" t="s">
        <v>485</v>
      </c>
      <c r="B218" t="s">
        <v>486</v>
      </c>
      <c r="C218" s="5">
        <v>-2500095.5683069504</v>
      </c>
      <c r="D218" s="5">
        <v>0</v>
      </c>
      <c r="E218" s="5">
        <v>0</v>
      </c>
      <c r="F218" s="5">
        <v>-2500095.5683069504</v>
      </c>
    </row>
    <row r="219" spans="1:6" x14ac:dyDescent="0.25">
      <c r="A219" s="3" t="s">
        <v>924</v>
      </c>
      <c r="B219" t="s">
        <v>925</v>
      </c>
      <c r="C219" s="5">
        <v>-1626115377.0757797</v>
      </c>
      <c r="D219" s="5">
        <v>0</v>
      </c>
      <c r="E219" s="5">
        <v>0</v>
      </c>
      <c r="F219" s="5">
        <v>-1626115377.0757797</v>
      </c>
    </row>
    <row r="220" spans="1:6" x14ac:dyDescent="0.25">
      <c r="A220" s="3" t="s">
        <v>489</v>
      </c>
      <c r="B220" t="s">
        <v>490</v>
      </c>
      <c r="C220" s="5">
        <v>0</v>
      </c>
      <c r="D220" s="5">
        <v>0</v>
      </c>
      <c r="E220" s="5">
        <v>0</v>
      </c>
      <c r="F220" s="5">
        <v>0</v>
      </c>
    </row>
    <row r="221" spans="1:6" x14ac:dyDescent="0.25">
      <c r="A221" s="3" t="s">
        <v>926</v>
      </c>
      <c r="B221" t="s">
        <v>927</v>
      </c>
      <c r="C221" s="5">
        <v>0</v>
      </c>
      <c r="D221" s="5">
        <v>0</v>
      </c>
      <c r="E221" s="5">
        <v>0</v>
      </c>
      <c r="F221" s="5">
        <v>0</v>
      </c>
    </row>
    <row r="222" spans="1:6" x14ac:dyDescent="0.25">
      <c r="A222" s="3" t="s">
        <v>491</v>
      </c>
      <c r="B222" t="s">
        <v>492</v>
      </c>
      <c r="C222" s="5">
        <v>0</v>
      </c>
      <c r="D222" s="5">
        <v>0</v>
      </c>
      <c r="E222" s="5">
        <v>0</v>
      </c>
      <c r="F222" s="5">
        <v>0</v>
      </c>
    </row>
    <row r="223" spans="1:6" x14ac:dyDescent="0.25">
      <c r="A223" s="3" t="s">
        <v>928</v>
      </c>
      <c r="B223" t="s">
        <v>929</v>
      </c>
      <c r="C223" s="5">
        <v>-3261879842.3357301</v>
      </c>
      <c r="D223" s="5">
        <v>0</v>
      </c>
      <c r="E223" s="5">
        <v>0</v>
      </c>
      <c r="F223" s="5">
        <v>-3261879842.3357301</v>
      </c>
    </row>
    <row r="224" spans="1:6" x14ac:dyDescent="0.25">
      <c r="A224" s="3" t="s">
        <v>495</v>
      </c>
      <c r="B224" t="s">
        <v>496</v>
      </c>
      <c r="C224" s="5">
        <v>-15959138870.223873</v>
      </c>
      <c r="D224" s="5">
        <v>42132272</v>
      </c>
      <c r="E224" s="5">
        <v>1800593878.0899999</v>
      </c>
      <c r="F224" s="5">
        <v>-17717600476.313873</v>
      </c>
    </row>
    <row r="225" spans="1:6" x14ac:dyDescent="0.25">
      <c r="A225" s="3" t="s">
        <v>497</v>
      </c>
      <c r="B225" t="s">
        <v>498</v>
      </c>
      <c r="C225" s="5">
        <v>-15760270</v>
      </c>
      <c r="D225" s="5">
        <v>0</v>
      </c>
      <c r="E225" s="5">
        <v>0</v>
      </c>
      <c r="F225" s="5">
        <v>-15760270</v>
      </c>
    </row>
    <row r="226" spans="1:6" x14ac:dyDescent="0.25">
      <c r="A226" s="3" t="s">
        <v>499</v>
      </c>
      <c r="B226" t="s">
        <v>500</v>
      </c>
      <c r="C226" s="5">
        <v>-4562930852.82341</v>
      </c>
      <c r="D226" s="5">
        <v>0</v>
      </c>
      <c r="E226" s="5">
        <v>0</v>
      </c>
      <c r="F226" s="5">
        <v>-4562930852.82341</v>
      </c>
    </row>
    <row r="227" spans="1:6" x14ac:dyDescent="0.25">
      <c r="A227" s="3" t="s">
        <v>505</v>
      </c>
      <c r="B227" t="s">
        <v>506</v>
      </c>
      <c r="C227" s="5">
        <v>-20972627076.757393</v>
      </c>
      <c r="D227" s="5">
        <v>0</v>
      </c>
      <c r="E227" s="5">
        <v>2470500000</v>
      </c>
      <c r="F227" s="5">
        <v>-23443127076.757393</v>
      </c>
    </row>
    <row r="228" spans="1:6" x14ac:dyDescent="0.25">
      <c r="A228" s="3" t="s">
        <v>507</v>
      </c>
      <c r="B228" t="s">
        <v>508</v>
      </c>
      <c r="C228" s="5">
        <v>-410168236.23839521</v>
      </c>
      <c r="D228" s="5">
        <v>0</v>
      </c>
      <c r="E228" s="5">
        <v>125690400</v>
      </c>
      <c r="F228" s="5">
        <v>-535858636.23839521</v>
      </c>
    </row>
    <row r="229" spans="1:6" x14ac:dyDescent="0.25">
      <c r="A229" s="3" t="s">
        <v>509</v>
      </c>
      <c r="B229" t="s">
        <v>510</v>
      </c>
      <c r="C229" s="5">
        <v>0</v>
      </c>
      <c r="D229" s="5">
        <v>0</v>
      </c>
      <c r="E229" s="5">
        <v>0</v>
      </c>
      <c r="F229" s="5">
        <v>0</v>
      </c>
    </row>
    <row r="230" spans="1:6" x14ac:dyDescent="0.25">
      <c r="A230" s="3" t="s">
        <v>515</v>
      </c>
      <c r="B230" t="s">
        <v>516</v>
      </c>
      <c r="C230" s="5">
        <v>0</v>
      </c>
      <c r="D230" s="5">
        <v>0</v>
      </c>
      <c r="E230" s="5">
        <v>0</v>
      </c>
      <c r="F230" s="5">
        <v>0</v>
      </c>
    </row>
    <row r="231" spans="1:6" x14ac:dyDescent="0.25">
      <c r="A231" s="3" t="s">
        <v>517</v>
      </c>
      <c r="B231" t="s">
        <v>518</v>
      </c>
      <c r="C231" s="5">
        <v>-1976101.5599999996</v>
      </c>
      <c r="D231" s="5">
        <v>329350.26</v>
      </c>
      <c r="E231" s="5">
        <v>2006925.56</v>
      </c>
      <c r="F231" s="5">
        <v>-3653676.8599999994</v>
      </c>
    </row>
    <row r="232" spans="1:6" x14ac:dyDescent="0.25">
      <c r="A232" s="3" t="s">
        <v>519</v>
      </c>
      <c r="B232" t="s">
        <v>520</v>
      </c>
      <c r="C232" s="5">
        <v>-169559041.01267999</v>
      </c>
      <c r="D232" s="5">
        <v>0</v>
      </c>
      <c r="E232" s="5">
        <v>0</v>
      </c>
      <c r="F232" s="5">
        <v>-169559041.01267999</v>
      </c>
    </row>
    <row r="233" spans="1:6" x14ac:dyDescent="0.25">
      <c r="A233" s="3" t="s">
        <v>523</v>
      </c>
      <c r="B233" t="s">
        <v>524</v>
      </c>
      <c r="C233" s="5">
        <v>-153701569.69259855</v>
      </c>
      <c r="D233" s="5">
        <v>0</v>
      </c>
      <c r="E233" s="5">
        <v>2888822.6</v>
      </c>
      <c r="F233" s="5">
        <v>-156590392.29259855</v>
      </c>
    </row>
    <row r="234" spans="1:6" x14ac:dyDescent="0.25">
      <c r="A234" s="3" t="s">
        <v>525</v>
      </c>
      <c r="B234" t="s">
        <v>526</v>
      </c>
      <c r="C234" s="5">
        <v>0</v>
      </c>
      <c r="D234" s="5">
        <v>0</v>
      </c>
      <c r="E234" s="5">
        <v>0</v>
      </c>
      <c r="F234" s="5">
        <v>0</v>
      </c>
    </row>
    <row r="235" spans="1:6" x14ac:dyDescent="0.25">
      <c r="A235" s="3" t="s">
        <v>531</v>
      </c>
      <c r="B235" t="s">
        <v>532</v>
      </c>
      <c r="C235" s="5">
        <v>-17230519.887844458</v>
      </c>
      <c r="D235" s="5">
        <v>0</v>
      </c>
      <c r="E235" s="5">
        <v>0</v>
      </c>
      <c r="F235" s="5">
        <v>-17230519.887844458</v>
      </c>
    </row>
    <row r="236" spans="1:6" ht="30" x14ac:dyDescent="0.25">
      <c r="A236" s="3" t="s">
        <v>930</v>
      </c>
      <c r="B236" s="7" t="s">
        <v>931</v>
      </c>
      <c r="C236" s="5">
        <v>-6749552.1980696265</v>
      </c>
      <c r="D236" s="5">
        <v>0</v>
      </c>
      <c r="E236" s="5">
        <v>0</v>
      </c>
      <c r="F236" s="5">
        <v>-6749552.1980696265</v>
      </c>
    </row>
    <row r="237" spans="1:6" ht="30" x14ac:dyDescent="0.25">
      <c r="A237" s="3" t="s">
        <v>932</v>
      </c>
      <c r="B237" s="7" t="s">
        <v>933</v>
      </c>
      <c r="C237" s="5">
        <v>-10007710855.670559</v>
      </c>
      <c r="D237" s="5">
        <v>0</v>
      </c>
      <c r="E237" s="5">
        <v>0</v>
      </c>
      <c r="F237" s="5">
        <v>-10007710855.670559</v>
      </c>
    </row>
    <row r="238" spans="1:6" ht="30" x14ac:dyDescent="0.25">
      <c r="A238" s="3" t="s">
        <v>934</v>
      </c>
      <c r="B238" s="7" t="s">
        <v>935</v>
      </c>
      <c r="C238" s="5">
        <v>1128402998.0821004</v>
      </c>
      <c r="D238" s="5">
        <v>0</v>
      </c>
      <c r="E238" s="5">
        <v>0</v>
      </c>
      <c r="F238" s="5">
        <v>1128402998.0821004</v>
      </c>
    </row>
    <row r="239" spans="1:6" ht="30" x14ac:dyDescent="0.25">
      <c r="A239" s="3" t="s">
        <v>936</v>
      </c>
      <c r="B239" s="7" t="s">
        <v>937</v>
      </c>
      <c r="C239" s="5">
        <v>-11658548096.124142</v>
      </c>
      <c r="D239" s="5">
        <v>0</v>
      </c>
      <c r="E239" s="5">
        <v>0</v>
      </c>
      <c r="F239" s="5">
        <v>-11658548096.124142</v>
      </c>
    </row>
    <row r="240" spans="1:6" ht="30" x14ac:dyDescent="0.25">
      <c r="A240" s="3" t="s">
        <v>938</v>
      </c>
      <c r="B240" s="7" t="s">
        <v>939</v>
      </c>
      <c r="C240" s="5">
        <v>-460682445.08421206</v>
      </c>
      <c r="D240" s="5">
        <v>0</v>
      </c>
      <c r="E240" s="5">
        <v>0</v>
      </c>
      <c r="F240" s="5">
        <v>-460682445.08421206</v>
      </c>
    </row>
    <row r="241" spans="1:6" ht="30" x14ac:dyDescent="0.25">
      <c r="A241" s="3" t="s">
        <v>940</v>
      </c>
      <c r="B241" s="7" t="s">
        <v>941</v>
      </c>
      <c r="C241" s="5">
        <v>-476704048.17298973</v>
      </c>
      <c r="D241" s="5">
        <v>0</v>
      </c>
      <c r="E241" s="5">
        <v>0</v>
      </c>
      <c r="F241" s="5">
        <v>-476704048.17298973</v>
      </c>
    </row>
    <row r="242" spans="1:6" ht="30" x14ac:dyDescent="0.25">
      <c r="A242" s="3" t="s">
        <v>942</v>
      </c>
      <c r="B242" s="7" t="s">
        <v>943</v>
      </c>
      <c r="C242" s="5">
        <v>85830913.375882864</v>
      </c>
      <c r="D242" s="5">
        <v>0</v>
      </c>
      <c r="E242" s="5">
        <v>0</v>
      </c>
      <c r="F242" s="5">
        <v>85830913.375882864</v>
      </c>
    </row>
    <row r="243" spans="1:6" ht="30" x14ac:dyDescent="0.25">
      <c r="A243" s="3" t="s">
        <v>944</v>
      </c>
      <c r="B243" s="7" t="s">
        <v>945</v>
      </c>
      <c r="C243" s="5">
        <v>-93443756.765010238</v>
      </c>
      <c r="D243" s="5">
        <v>0</v>
      </c>
      <c r="E243" s="5">
        <v>0</v>
      </c>
      <c r="F243" s="5">
        <v>-93443756.765010238</v>
      </c>
    </row>
    <row r="244" spans="1:6" x14ac:dyDescent="0.25">
      <c r="A244" s="3" t="s">
        <v>946</v>
      </c>
      <c r="B244" t="s">
        <v>947</v>
      </c>
      <c r="C244" s="5">
        <v>978663886</v>
      </c>
      <c r="D244" s="5">
        <v>0</v>
      </c>
      <c r="E244" s="5">
        <v>0</v>
      </c>
      <c r="F244" s="5">
        <v>978663886</v>
      </c>
    </row>
    <row r="245" spans="1:6" x14ac:dyDescent="0.25">
      <c r="A245" s="3" t="s">
        <v>533</v>
      </c>
      <c r="B245" t="s">
        <v>534</v>
      </c>
      <c r="C245" s="5">
        <v>0</v>
      </c>
      <c r="D245" s="5">
        <v>0</v>
      </c>
      <c r="E245" s="5">
        <v>0</v>
      </c>
      <c r="F245" s="5">
        <v>0</v>
      </c>
    </row>
    <row r="246" spans="1:6" x14ac:dyDescent="0.25">
      <c r="A246" s="3" t="s">
        <v>535</v>
      </c>
      <c r="B246" t="s">
        <v>536</v>
      </c>
      <c r="C246" s="5">
        <v>-3129421418.601058</v>
      </c>
      <c r="D246" s="5">
        <v>0</v>
      </c>
      <c r="E246" s="5">
        <v>0</v>
      </c>
      <c r="F246" s="5">
        <v>-3129421418.601058</v>
      </c>
    </row>
    <row r="247" spans="1:6" ht="30" x14ac:dyDescent="0.25">
      <c r="A247" s="3" t="s">
        <v>948</v>
      </c>
      <c r="B247" s="7" t="s">
        <v>949</v>
      </c>
      <c r="C247" s="5">
        <v>24244030127.287735</v>
      </c>
      <c r="D247" s="5">
        <v>0</v>
      </c>
      <c r="E247" s="5">
        <v>0</v>
      </c>
      <c r="F247" s="5">
        <v>24244030127.287735</v>
      </c>
    </row>
    <row r="248" spans="1:6" x14ac:dyDescent="0.25">
      <c r="A248" s="3" t="s">
        <v>539</v>
      </c>
      <c r="B248" t="s">
        <v>540</v>
      </c>
      <c r="C248" s="5">
        <v>0</v>
      </c>
      <c r="D248" s="5">
        <v>0</v>
      </c>
      <c r="E248" s="5">
        <v>0</v>
      </c>
      <c r="F248" s="5">
        <v>0</v>
      </c>
    </row>
    <row r="249" spans="1:6" x14ac:dyDescent="0.25">
      <c r="A249" s="3" t="s">
        <v>950</v>
      </c>
      <c r="B249" t="s">
        <v>951</v>
      </c>
      <c r="C249" s="5">
        <v>0</v>
      </c>
      <c r="D249" s="5">
        <v>0</v>
      </c>
      <c r="E249" s="5">
        <v>0</v>
      </c>
      <c r="F249" s="5">
        <v>0</v>
      </c>
    </row>
    <row r="250" spans="1:6" x14ac:dyDescent="0.25">
      <c r="A250" s="3" t="s">
        <v>545</v>
      </c>
      <c r="B250" t="s">
        <v>546</v>
      </c>
      <c r="C250" s="5">
        <v>2844930704.4286451</v>
      </c>
      <c r="D250" s="5">
        <v>0</v>
      </c>
      <c r="E250" s="5">
        <v>0</v>
      </c>
      <c r="F250" s="5">
        <v>2844930704.4286451</v>
      </c>
    </row>
    <row r="251" spans="1:6" x14ac:dyDescent="0.25">
      <c r="A251" s="3" t="s">
        <v>547</v>
      </c>
      <c r="B251" t="s">
        <v>548</v>
      </c>
      <c r="C251" s="5">
        <v>0</v>
      </c>
      <c r="D251" s="5">
        <v>0</v>
      </c>
      <c r="E251" s="5">
        <v>0</v>
      </c>
      <c r="F251" s="5">
        <v>0</v>
      </c>
    </row>
    <row r="252" spans="1:6" x14ac:dyDescent="0.25">
      <c r="A252" s="3" t="s">
        <v>549</v>
      </c>
      <c r="B252" t="s">
        <v>550</v>
      </c>
      <c r="C252" s="5">
        <v>0</v>
      </c>
      <c r="D252" s="5">
        <v>0</v>
      </c>
      <c r="E252" s="5">
        <v>0</v>
      </c>
      <c r="F252" s="5">
        <v>0</v>
      </c>
    </row>
    <row r="253" spans="1:6" x14ac:dyDescent="0.25">
      <c r="A253" s="3" t="s">
        <v>551</v>
      </c>
      <c r="B253" t="s">
        <v>552</v>
      </c>
      <c r="C253" s="5">
        <v>0</v>
      </c>
      <c r="D253" s="5">
        <v>0</v>
      </c>
      <c r="E253" s="5">
        <v>0</v>
      </c>
      <c r="F253" s="5">
        <v>0</v>
      </c>
    </row>
    <row r="254" spans="1:6" x14ac:dyDescent="0.25">
      <c r="A254" s="3" t="s">
        <v>553</v>
      </c>
      <c r="B254" t="s">
        <v>554</v>
      </c>
      <c r="C254" s="5">
        <v>837465796.31926632</v>
      </c>
      <c r="D254" s="5">
        <v>0</v>
      </c>
      <c r="E254" s="5">
        <v>0</v>
      </c>
      <c r="F254" s="5">
        <v>837465796.31926632</v>
      </c>
    </row>
    <row r="255" spans="1:6" x14ac:dyDescent="0.25">
      <c r="A255" s="3" t="s">
        <v>555</v>
      </c>
      <c r="B255" t="s">
        <v>556</v>
      </c>
      <c r="C255" s="5">
        <v>154106957.16478217</v>
      </c>
      <c r="D255" s="5">
        <v>25398000</v>
      </c>
      <c r="E255" s="5">
        <v>0</v>
      </c>
      <c r="F255" s="5">
        <v>179504957.16478217</v>
      </c>
    </row>
    <row r="256" spans="1:6" x14ac:dyDescent="0.25">
      <c r="A256" s="3" t="s">
        <v>557</v>
      </c>
      <c r="B256" t="s">
        <v>558</v>
      </c>
      <c r="C256" s="5">
        <v>1648319.5202165754</v>
      </c>
      <c r="D256" s="5">
        <v>0</v>
      </c>
      <c r="E256" s="5">
        <v>0</v>
      </c>
      <c r="F256" s="5">
        <v>1648319.5202165754</v>
      </c>
    </row>
    <row r="257" spans="1:6" x14ac:dyDescent="0.25">
      <c r="A257" s="3" t="s">
        <v>559</v>
      </c>
      <c r="B257" t="s">
        <v>560</v>
      </c>
      <c r="C257" s="5">
        <v>60597850.599080086</v>
      </c>
      <c r="D257" s="5">
        <v>0</v>
      </c>
      <c r="E257" s="5">
        <v>0</v>
      </c>
      <c r="F257" s="5">
        <v>60597850.599080086</v>
      </c>
    </row>
    <row r="258" spans="1:6" x14ac:dyDescent="0.25">
      <c r="A258" s="3" t="s">
        <v>561</v>
      </c>
      <c r="B258" t="s">
        <v>562</v>
      </c>
      <c r="C258" s="5">
        <v>2973069762.3678551</v>
      </c>
      <c r="D258" s="5">
        <v>0</v>
      </c>
      <c r="E258" s="5">
        <v>0</v>
      </c>
      <c r="F258" s="5">
        <v>2973069762.3678551</v>
      </c>
    </row>
    <row r="259" spans="1:6" x14ac:dyDescent="0.25">
      <c r="A259" s="3" t="s">
        <v>563</v>
      </c>
      <c r="B259" t="s">
        <v>564</v>
      </c>
      <c r="C259" s="5">
        <v>0</v>
      </c>
      <c r="D259" s="5">
        <v>0</v>
      </c>
      <c r="E259" s="5">
        <v>0</v>
      </c>
      <c r="F259" s="5">
        <v>0</v>
      </c>
    </row>
    <row r="260" spans="1:6" x14ac:dyDescent="0.25">
      <c r="A260" s="3" t="s">
        <v>565</v>
      </c>
      <c r="B260" t="s">
        <v>566</v>
      </c>
      <c r="C260" s="5">
        <v>0</v>
      </c>
      <c r="D260" s="5">
        <v>0</v>
      </c>
      <c r="E260" s="5">
        <v>0</v>
      </c>
      <c r="F260" s="5">
        <v>0</v>
      </c>
    </row>
    <row r="261" spans="1:6" x14ac:dyDescent="0.25">
      <c r="A261" s="3" t="s">
        <v>567</v>
      </c>
      <c r="B261" t="s">
        <v>568</v>
      </c>
      <c r="C261" s="5">
        <v>384933517.85131502</v>
      </c>
      <c r="D261" s="5">
        <v>90455341.340000004</v>
      </c>
      <c r="E261" s="5">
        <v>7576542.6490000002</v>
      </c>
      <c r="F261" s="5">
        <v>467812316.54231507</v>
      </c>
    </row>
    <row r="262" spans="1:6" x14ac:dyDescent="0.25">
      <c r="A262" s="3" t="s">
        <v>569</v>
      </c>
      <c r="B262" t="s">
        <v>570</v>
      </c>
      <c r="C262" s="5">
        <v>831707408.94170117</v>
      </c>
      <c r="D262" s="5">
        <v>72303878.859999999</v>
      </c>
      <c r="E262" s="5">
        <v>3585776.76</v>
      </c>
      <c r="F262" s="5">
        <v>900425511.0417012</v>
      </c>
    </row>
    <row r="263" spans="1:6" x14ac:dyDescent="0.25">
      <c r="A263" s="3" t="s">
        <v>571</v>
      </c>
      <c r="B263" t="s">
        <v>572</v>
      </c>
      <c r="C263" s="5">
        <v>703873829.27909863</v>
      </c>
      <c r="D263" s="5">
        <v>160791244.52000001</v>
      </c>
      <c r="E263" s="5">
        <v>4426435.26</v>
      </c>
      <c r="F263" s="5">
        <v>860238638.53909862</v>
      </c>
    </row>
    <row r="264" spans="1:6" x14ac:dyDescent="0.25">
      <c r="A264" s="3" t="s">
        <v>573</v>
      </c>
      <c r="B264" t="s">
        <v>187</v>
      </c>
      <c r="C264" s="5">
        <v>220311205.69403005</v>
      </c>
      <c r="D264" s="5">
        <v>106139233.62</v>
      </c>
      <c r="E264" s="5">
        <v>742500</v>
      </c>
      <c r="F264" s="5">
        <v>325707939.31403005</v>
      </c>
    </row>
    <row r="265" spans="1:6" x14ac:dyDescent="0.25">
      <c r="A265" s="3" t="s">
        <v>574</v>
      </c>
      <c r="B265" t="s">
        <v>575</v>
      </c>
      <c r="C265" s="5">
        <v>458142437.70640552</v>
      </c>
      <c r="D265" s="5">
        <v>160626493.41999999</v>
      </c>
      <c r="E265" s="5">
        <v>300192.8</v>
      </c>
      <c r="F265" s="5">
        <v>618468738.32640553</v>
      </c>
    </row>
    <row r="266" spans="1:6" x14ac:dyDescent="0.25">
      <c r="A266" s="3" t="s">
        <v>576</v>
      </c>
      <c r="B266" t="s">
        <v>577</v>
      </c>
      <c r="C266" s="5">
        <v>215119840.28881454</v>
      </c>
      <c r="D266" s="5">
        <v>57095640.840000004</v>
      </c>
      <c r="E266" s="5">
        <v>0</v>
      </c>
      <c r="F266" s="5">
        <v>272215481.12881458</v>
      </c>
    </row>
    <row r="267" spans="1:6" x14ac:dyDescent="0.25">
      <c r="A267" s="3" t="s">
        <v>578</v>
      </c>
      <c r="B267" t="s">
        <v>579</v>
      </c>
      <c r="C267" s="5">
        <v>40641362.481834859</v>
      </c>
      <c r="D267" s="5">
        <v>6630231.4100000001</v>
      </c>
      <c r="E267" s="5">
        <v>0</v>
      </c>
      <c r="F267" s="5">
        <v>47271593.891834855</v>
      </c>
    </row>
    <row r="268" spans="1:6" x14ac:dyDescent="0.25">
      <c r="A268" s="3" t="s">
        <v>580</v>
      </c>
      <c r="B268" t="s">
        <v>581</v>
      </c>
      <c r="C268" s="5">
        <v>151734466.66237605</v>
      </c>
      <c r="D268" s="5">
        <v>43959639.439999998</v>
      </c>
      <c r="E268" s="5">
        <v>0</v>
      </c>
      <c r="F268" s="5">
        <v>195694106.10237604</v>
      </c>
    </row>
    <row r="269" spans="1:6" x14ac:dyDescent="0.25">
      <c r="A269" s="3" t="s">
        <v>582</v>
      </c>
      <c r="B269" t="s">
        <v>583</v>
      </c>
      <c r="C269" s="5">
        <v>80386166.841858715</v>
      </c>
      <c r="D269" s="5">
        <v>21463900</v>
      </c>
      <c r="E269" s="5">
        <v>0</v>
      </c>
      <c r="F269" s="5">
        <v>101850066.84185871</v>
      </c>
    </row>
    <row r="270" spans="1:6" x14ac:dyDescent="0.25">
      <c r="A270" s="3" t="s">
        <v>584</v>
      </c>
      <c r="B270" t="s">
        <v>585</v>
      </c>
      <c r="C270" s="5">
        <v>116388057.51602733</v>
      </c>
      <c r="D270" s="5">
        <v>55341552.149999999</v>
      </c>
      <c r="E270" s="5">
        <v>0</v>
      </c>
      <c r="F270" s="5">
        <v>171729609.66602734</v>
      </c>
    </row>
    <row r="271" spans="1:6" x14ac:dyDescent="0.25">
      <c r="A271" s="3" t="s">
        <v>586</v>
      </c>
      <c r="B271" t="s">
        <v>191</v>
      </c>
      <c r="C271" s="5">
        <v>162950637.99031734</v>
      </c>
      <c r="D271" s="5">
        <v>160526293.93000001</v>
      </c>
      <c r="E271" s="5">
        <v>0</v>
      </c>
      <c r="F271" s="5">
        <v>323476931.92031735</v>
      </c>
    </row>
    <row r="272" spans="1:6" x14ac:dyDescent="0.25">
      <c r="A272" s="3" t="s">
        <v>587</v>
      </c>
      <c r="B272" t="s">
        <v>588</v>
      </c>
      <c r="C272" s="5">
        <v>311530946.9354921</v>
      </c>
      <c r="D272" s="5">
        <v>62812047.630000003</v>
      </c>
      <c r="E272" s="5">
        <v>1995060</v>
      </c>
      <c r="F272" s="5">
        <v>372347934.56549209</v>
      </c>
    </row>
    <row r="273" spans="1:6" x14ac:dyDescent="0.25">
      <c r="A273" s="3" t="s">
        <v>589</v>
      </c>
      <c r="B273" t="s">
        <v>590</v>
      </c>
      <c r="C273" s="5">
        <v>28128144.018637795</v>
      </c>
      <c r="D273" s="5">
        <v>1351325</v>
      </c>
      <c r="E273" s="5">
        <v>0</v>
      </c>
      <c r="F273" s="5">
        <v>29479469.018637795</v>
      </c>
    </row>
    <row r="274" spans="1:6" x14ac:dyDescent="0.25">
      <c r="A274" s="3" t="s">
        <v>591</v>
      </c>
      <c r="B274" t="s">
        <v>193</v>
      </c>
      <c r="C274" s="5">
        <v>615967553.42758489</v>
      </c>
      <c r="D274" s="5">
        <v>43909292.020000003</v>
      </c>
      <c r="E274" s="5">
        <v>1048666.07</v>
      </c>
      <c r="F274" s="5">
        <v>658828179.37758482</v>
      </c>
    </row>
    <row r="275" spans="1:6" x14ac:dyDescent="0.25">
      <c r="A275" s="3" t="s">
        <v>592</v>
      </c>
      <c r="B275" t="s">
        <v>593</v>
      </c>
      <c r="C275" s="5">
        <v>1068591724.8109565</v>
      </c>
      <c r="D275" s="5">
        <v>635167181.27999997</v>
      </c>
      <c r="E275" s="5">
        <v>35801835.759999998</v>
      </c>
      <c r="F275" s="5">
        <v>1667957070.3309565</v>
      </c>
    </row>
    <row r="276" spans="1:6" x14ac:dyDescent="0.25">
      <c r="A276" s="3" t="s">
        <v>594</v>
      </c>
      <c r="B276" t="s">
        <v>595</v>
      </c>
      <c r="C276" s="5">
        <v>91408762.645530283</v>
      </c>
      <c r="D276" s="5">
        <v>62270627.43</v>
      </c>
      <c r="E276" s="5">
        <v>0</v>
      </c>
      <c r="F276" s="5">
        <v>153679390.07553029</v>
      </c>
    </row>
    <row r="277" spans="1:6" x14ac:dyDescent="0.25">
      <c r="A277" s="3" t="s">
        <v>952</v>
      </c>
      <c r="B277" t="s">
        <v>953</v>
      </c>
      <c r="C277" s="5">
        <v>6982508.5687860548</v>
      </c>
      <c r="D277" s="5">
        <v>2203000</v>
      </c>
      <c r="E277" s="5">
        <v>0</v>
      </c>
      <c r="F277" s="5">
        <v>9185508.5687860548</v>
      </c>
    </row>
    <row r="278" spans="1:6" x14ac:dyDescent="0.25">
      <c r="A278" s="3" t="s">
        <v>596</v>
      </c>
      <c r="B278" t="s">
        <v>597</v>
      </c>
      <c r="C278" s="5">
        <v>287862308.90401959</v>
      </c>
      <c r="D278" s="5">
        <v>444323775</v>
      </c>
      <c r="E278" s="5">
        <v>117223947.5</v>
      </c>
      <c r="F278" s="5">
        <v>614962136.40401959</v>
      </c>
    </row>
    <row r="279" spans="1:6" x14ac:dyDescent="0.25">
      <c r="A279" s="3" t="s">
        <v>598</v>
      </c>
      <c r="B279" t="s">
        <v>599</v>
      </c>
      <c r="C279" s="5">
        <v>1169295256.1602979</v>
      </c>
      <c r="D279" s="5">
        <v>279052513.48000002</v>
      </c>
      <c r="E279" s="5">
        <v>36964643</v>
      </c>
      <c r="F279" s="5">
        <v>1411383126.6402979</v>
      </c>
    </row>
    <row r="280" spans="1:6" x14ac:dyDescent="0.25">
      <c r="A280" s="3" t="s">
        <v>600</v>
      </c>
      <c r="B280" t="s">
        <v>601</v>
      </c>
      <c r="C280" s="5">
        <v>1757985704.33777</v>
      </c>
      <c r="D280" s="5">
        <v>599389861.73000002</v>
      </c>
      <c r="E280" s="5">
        <v>8912900</v>
      </c>
      <c r="F280" s="5">
        <v>2348462666.06777</v>
      </c>
    </row>
    <row r="281" spans="1:6" x14ac:dyDescent="0.25">
      <c r="A281" s="3" t="s">
        <v>602</v>
      </c>
      <c r="B281" t="s">
        <v>603</v>
      </c>
      <c r="C281" s="5">
        <v>57025328.538133413</v>
      </c>
      <c r="D281" s="5">
        <v>9844000</v>
      </c>
      <c r="E281" s="5">
        <v>0</v>
      </c>
      <c r="F281" s="5">
        <v>66869328.538133413</v>
      </c>
    </row>
    <row r="282" spans="1:6" x14ac:dyDescent="0.25">
      <c r="A282" s="3" t="s">
        <v>604</v>
      </c>
      <c r="B282" t="s">
        <v>605</v>
      </c>
      <c r="C282" s="5">
        <v>157227674.81892785</v>
      </c>
      <c r="D282" s="5">
        <v>14888337.34</v>
      </c>
      <c r="E282" s="5">
        <v>0</v>
      </c>
      <c r="F282" s="5">
        <v>172116012.15892786</v>
      </c>
    </row>
    <row r="283" spans="1:6" x14ac:dyDescent="0.25">
      <c r="A283" s="3" t="s">
        <v>606</v>
      </c>
      <c r="B283" t="s">
        <v>607</v>
      </c>
      <c r="C283" s="5">
        <v>0</v>
      </c>
      <c r="D283" s="5">
        <v>0</v>
      </c>
      <c r="E283" s="5">
        <v>0</v>
      </c>
      <c r="F283" s="5">
        <v>0</v>
      </c>
    </row>
    <row r="284" spans="1:6" x14ac:dyDescent="0.25">
      <c r="A284" s="3" t="s">
        <v>608</v>
      </c>
      <c r="B284" t="s">
        <v>609</v>
      </c>
      <c r="C284" s="5">
        <v>385542973.63491243</v>
      </c>
      <c r="D284" s="5">
        <v>45733377.479999997</v>
      </c>
      <c r="E284" s="5">
        <v>882000</v>
      </c>
      <c r="F284" s="5">
        <v>430394351.11491245</v>
      </c>
    </row>
    <row r="285" spans="1:6" x14ac:dyDescent="0.25">
      <c r="A285" s="3" t="s">
        <v>610</v>
      </c>
      <c r="B285" t="s">
        <v>611</v>
      </c>
      <c r="C285" s="5">
        <v>53339015.593820706</v>
      </c>
      <c r="D285" s="5">
        <v>2675000</v>
      </c>
      <c r="E285" s="5">
        <v>0</v>
      </c>
      <c r="F285" s="5">
        <v>56014015.593820706</v>
      </c>
    </row>
    <row r="286" spans="1:6" x14ac:dyDescent="0.25">
      <c r="A286" s="3" t="s">
        <v>612</v>
      </c>
      <c r="B286" t="s">
        <v>613</v>
      </c>
      <c r="C286" s="5">
        <v>929956037.34306479</v>
      </c>
      <c r="D286" s="5">
        <v>108044310</v>
      </c>
      <c r="E286" s="5">
        <v>24000</v>
      </c>
      <c r="F286" s="5">
        <v>1037976347.3430648</v>
      </c>
    </row>
    <row r="287" spans="1:6" x14ac:dyDescent="0.25">
      <c r="A287" s="3" t="s">
        <v>616</v>
      </c>
      <c r="B287" t="s">
        <v>617</v>
      </c>
      <c r="C287" s="5">
        <v>3798788232.2089138</v>
      </c>
      <c r="D287" s="5">
        <v>254132356.72999999</v>
      </c>
      <c r="E287" s="5">
        <v>54516</v>
      </c>
      <c r="F287" s="5">
        <v>4052866072.9389138</v>
      </c>
    </row>
    <row r="288" spans="1:6" x14ac:dyDescent="0.25">
      <c r="A288" s="3" t="s">
        <v>618</v>
      </c>
      <c r="B288" t="s">
        <v>619</v>
      </c>
      <c r="C288" s="5">
        <v>4356734706.5998602</v>
      </c>
      <c r="D288" s="5">
        <v>54357827.799999997</v>
      </c>
      <c r="E288" s="5">
        <v>0</v>
      </c>
      <c r="F288" s="5">
        <v>4411092534.3998604</v>
      </c>
    </row>
    <row r="289" spans="1:6" x14ac:dyDescent="0.25">
      <c r="A289" s="3" t="s">
        <v>620</v>
      </c>
      <c r="B289" t="s">
        <v>621</v>
      </c>
      <c r="C289" s="5">
        <v>130668516.01993465</v>
      </c>
      <c r="D289" s="5">
        <v>33079097.059999999</v>
      </c>
      <c r="E289" s="5">
        <v>0</v>
      </c>
      <c r="F289" s="5">
        <v>163747613.07993466</v>
      </c>
    </row>
    <row r="290" spans="1:6" x14ac:dyDescent="0.25">
      <c r="A290" s="3" t="s">
        <v>624</v>
      </c>
      <c r="B290" t="s">
        <v>625</v>
      </c>
      <c r="C290" s="5">
        <v>0</v>
      </c>
      <c r="D290" s="5">
        <v>0</v>
      </c>
      <c r="E290" s="5">
        <v>0</v>
      </c>
      <c r="F290" s="5">
        <v>0</v>
      </c>
    </row>
    <row r="291" spans="1:6" x14ac:dyDescent="0.25">
      <c r="A291" s="3" t="s">
        <v>626</v>
      </c>
      <c r="B291" t="s">
        <v>627</v>
      </c>
      <c r="C291" s="5">
        <v>99802445.030732915</v>
      </c>
      <c r="D291" s="5">
        <v>47896484.159999996</v>
      </c>
      <c r="E291" s="5">
        <v>0</v>
      </c>
      <c r="F291" s="5">
        <v>147698929.1907329</v>
      </c>
    </row>
    <row r="292" spans="1:6" x14ac:dyDescent="0.25">
      <c r="A292" s="3" t="s">
        <v>628</v>
      </c>
      <c r="B292" t="s">
        <v>629</v>
      </c>
      <c r="C292" s="5">
        <v>399885262.48112392</v>
      </c>
      <c r="D292" s="5">
        <v>26461960.41</v>
      </c>
      <c r="E292" s="5">
        <v>0</v>
      </c>
      <c r="F292" s="5">
        <v>426347222.89112395</v>
      </c>
    </row>
    <row r="293" spans="1:6" x14ac:dyDescent="0.25">
      <c r="A293" s="3" t="s">
        <v>630</v>
      </c>
      <c r="B293" t="s">
        <v>631</v>
      </c>
      <c r="C293" s="5">
        <v>-1.4901161193847656E-8</v>
      </c>
      <c r="D293" s="5">
        <v>0</v>
      </c>
      <c r="E293" s="5">
        <v>0</v>
      </c>
      <c r="F293" s="5">
        <v>-1.4901161193847656E-8</v>
      </c>
    </row>
    <row r="294" spans="1:6" x14ac:dyDescent="0.25">
      <c r="A294" s="3" t="s">
        <v>632</v>
      </c>
      <c r="B294" t="s">
        <v>633</v>
      </c>
      <c r="C294" s="5">
        <v>0</v>
      </c>
      <c r="D294" s="5">
        <v>0</v>
      </c>
      <c r="E294" s="5">
        <v>0</v>
      </c>
      <c r="F294" s="5">
        <v>0</v>
      </c>
    </row>
    <row r="295" spans="1:6" x14ac:dyDescent="0.25">
      <c r="A295" s="3" t="s">
        <v>634</v>
      </c>
      <c r="B295" t="s">
        <v>635</v>
      </c>
      <c r="C295" s="5">
        <v>27520484.271355942</v>
      </c>
      <c r="D295" s="5">
        <v>3396412.88</v>
      </c>
      <c r="E295" s="5">
        <v>0</v>
      </c>
      <c r="F295" s="5">
        <v>30916897.151355941</v>
      </c>
    </row>
    <row r="296" spans="1:6" x14ac:dyDescent="0.25">
      <c r="A296" s="3" t="s">
        <v>954</v>
      </c>
      <c r="B296" t="s">
        <v>955</v>
      </c>
      <c r="C296" s="5">
        <v>1035968401.4241121</v>
      </c>
      <c r="D296" s="5">
        <v>53002802</v>
      </c>
      <c r="E296" s="5">
        <v>10449591</v>
      </c>
      <c r="F296" s="5">
        <v>1078521612.4241121</v>
      </c>
    </row>
    <row r="297" spans="1:6" x14ac:dyDescent="0.25">
      <c r="A297" s="3" t="s">
        <v>636</v>
      </c>
      <c r="B297" t="s">
        <v>637</v>
      </c>
      <c r="C297" s="5">
        <v>4576727039.9266376</v>
      </c>
      <c r="D297" s="5">
        <v>446134</v>
      </c>
      <c r="E297" s="5">
        <v>0</v>
      </c>
      <c r="F297" s="5">
        <v>4577173173.9266376</v>
      </c>
    </row>
    <row r="298" spans="1:6" x14ac:dyDescent="0.25">
      <c r="A298" s="3" t="s">
        <v>638</v>
      </c>
      <c r="B298" t="s">
        <v>639</v>
      </c>
      <c r="C298" s="5">
        <v>1038200317.3141611</v>
      </c>
      <c r="D298" s="5">
        <v>34239500</v>
      </c>
      <c r="E298" s="5">
        <v>0</v>
      </c>
      <c r="F298" s="5">
        <v>1072439817.3141611</v>
      </c>
    </row>
    <row r="299" spans="1:6" x14ac:dyDescent="0.25">
      <c r="A299" s="3" t="s">
        <v>640</v>
      </c>
      <c r="B299" t="s">
        <v>641</v>
      </c>
      <c r="C299" s="5">
        <v>35445275.48800128</v>
      </c>
      <c r="D299" s="5">
        <v>0</v>
      </c>
      <c r="E299" s="5">
        <v>0</v>
      </c>
      <c r="F299" s="5">
        <v>35445275.48800128</v>
      </c>
    </row>
    <row r="300" spans="1:6" x14ac:dyDescent="0.25">
      <c r="A300" s="3" t="s">
        <v>642</v>
      </c>
      <c r="B300" t="s">
        <v>643</v>
      </c>
      <c r="C300" s="5">
        <v>0</v>
      </c>
      <c r="D300" s="5">
        <v>0</v>
      </c>
      <c r="E300" s="5">
        <v>0</v>
      </c>
      <c r="F300" s="5">
        <v>0</v>
      </c>
    </row>
    <row r="301" spans="1:6" x14ac:dyDescent="0.25">
      <c r="A301" s="3" t="s">
        <v>956</v>
      </c>
      <c r="B301" t="s">
        <v>957</v>
      </c>
      <c r="C301" s="5">
        <v>0</v>
      </c>
      <c r="D301" s="5">
        <v>0</v>
      </c>
      <c r="E301" s="5">
        <v>0</v>
      </c>
      <c r="F301" s="5">
        <v>0</v>
      </c>
    </row>
    <row r="302" spans="1:6" x14ac:dyDescent="0.25">
      <c r="A302" s="3" t="s">
        <v>644</v>
      </c>
      <c r="B302" t="s">
        <v>645</v>
      </c>
      <c r="C302" s="5">
        <v>0</v>
      </c>
      <c r="D302" s="5">
        <v>664339.19999999995</v>
      </c>
      <c r="E302" s="5">
        <v>0.2</v>
      </c>
      <c r="F302" s="5">
        <v>664339</v>
      </c>
    </row>
    <row r="303" spans="1:6" x14ac:dyDescent="0.25">
      <c r="A303" s="3" t="s">
        <v>646</v>
      </c>
      <c r="B303" t="s">
        <v>647</v>
      </c>
      <c r="C303" s="5">
        <v>20380333.550677896</v>
      </c>
      <c r="D303" s="5">
        <v>0</v>
      </c>
      <c r="E303" s="5">
        <v>0</v>
      </c>
      <c r="F303" s="5">
        <v>20380333.550677896</v>
      </c>
    </row>
    <row r="304" spans="1:6" x14ac:dyDescent="0.25">
      <c r="A304" s="3" t="s">
        <v>648</v>
      </c>
      <c r="B304" t="s">
        <v>649</v>
      </c>
      <c r="C304" s="5">
        <v>0</v>
      </c>
      <c r="D304" s="5">
        <v>0</v>
      </c>
      <c r="E304" s="5">
        <v>0</v>
      </c>
      <c r="F304" s="5">
        <v>0</v>
      </c>
    </row>
    <row r="305" spans="1:6" x14ac:dyDescent="0.25">
      <c r="A305" s="3" t="s">
        <v>650</v>
      </c>
      <c r="B305" t="s">
        <v>651</v>
      </c>
      <c r="C305" s="5">
        <v>6149199.6537575591</v>
      </c>
      <c r="D305" s="5">
        <v>444767.76</v>
      </c>
      <c r="E305" s="5">
        <v>0</v>
      </c>
      <c r="F305" s="5">
        <v>6593967.4137575589</v>
      </c>
    </row>
    <row r="306" spans="1:6" x14ac:dyDescent="0.25">
      <c r="A306" s="3" t="s">
        <v>652</v>
      </c>
      <c r="B306" t="s">
        <v>653</v>
      </c>
      <c r="C306" s="5">
        <v>582534.87378153577</v>
      </c>
      <c r="D306" s="5">
        <v>0</v>
      </c>
      <c r="E306" s="5">
        <v>0</v>
      </c>
      <c r="F306" s="5">
        <v>582534.87378153577</v>
      </c>
    </row>
    <row r="307" spans="1:6" x14ac:dyDescent="0.25">
      <c r="A307" s="3" t="s">
        <v>654</v>
      </c>
      <c r="B307" t="s">
        <v>655</v>
      </c>
      <c r="C307" s="5">
        <v>1902066.12</v>
      </c>
      <c r="D307" s="5">
        <v>0</v>
      </c>
      <c r="E307" s="5">
        <v>0</v>
      </c>
      <c r="F307" s="5">
        <v>1902066.12</v>
      </c>
    </row>
    <row r="308" spans="1:6" x14ac:dyDescent="0.25">
      <c r="A308" s="3" t="s">
        <v>656</v>
      </c>
      <c r="B308" t="s">
        <v>657</v>
      </c>
      <c r="C308" s="5">
        <v>219120.49510729499</v>
      </c>
      <c r="D308" s="5">
        <v>0</v>
      </c>
      <c r="E308" s="5">
        <v>0</v>
      </c>
      <c r="F308" s="5">
        <v>219120.49510729499</v>
      </c>
    </row>
    <row r="309" spans="1:6" x14ac:dyDescent="0.25">
      <c r="A309" s="3" t="s">
        <v>658</v>
      </c>
      <c r="B309" t="s">
        <v>659</v>
      </c>
      <c r="C309" s="5">
        <v>509351.33385519288</v>
      </c>
      <c r="D309" s="5">
        <v>0</v>
      </c>
      <c r="E309" s="5">
        <v>0</v>
      </c>
      <c r="F309" s="5">
        <v>509351.33385519288</v>
      </c>
    </row>
    <row r="310" spans="1:6" x14ac:dyDescent="0.25">
      <c r="A310" s="3" t="s">
        <v>660</v>
      </c>
      <c r="B310" t="s">
        <v>661</v>
      </c>
      <c r="C310" s="5">
        <v>16894822.19689893</v>
      </c>
      <c r="D310" s="5">
        <v>1596512.44</v>
      </c>
      <c r="E310" s="5">
        <v>0</v>
      </c>
      <c r="F310" s="5">
        <v>18491334.636898931</v>
      </c>
    </row>
    <row r="311" spans="1:6" x14ac:dyDescent="0.25">
      <c r="A311" s="3" t="s">
        <v>662</v>
      </c>
      <c r="B311" t="s">
        <v>663</v>
      </c>
      <c r="C311" s="5">
        <v>15611956.582142804</v>
      </c>
      <c r="D311" s="5">
        <v>2997265.44</v>
      </c>
      <c r="E311" s="5">
        <v>0</v>
      </c>
      <c r="F311" s="5">
        <v>18609222.022142805</v>
      </c>
    </row>
    <row r="312" spans="1:6" x14ac:dyDescent="0.25">
      <c r="A312" s="3" t="s">
        <v>664</v>
      </c>
      <c r="B312" t="s">
        <v>665</v>
      </c>
      <c r="C312" s="5">
        <v>9336597.2107300609</v>
      </c>
      <c r="D312" s="5">
        <v>317500</v>
      </c>
      <c r="E312" s="5">
        <v>0</v>
      </c>
      <c r="F312" s="5">
        <v>9654097.2107300609</v>
      </c>
    </row>
    <row r="313" spans="1:6" x14ac:dyDescent="0.25">
      <c r="A313" s="3" t="s">
        <v>668</v>
      </c>
      <c r="B313" t="s">
        <v>669</v>
      </c>
      <c r="C313" s="5">
        <v>27727916.699061714</v>
      </c>
      <c r="D313" s="5">
        <v>0</v>
      </c>
      <c r="E313" s="5">
        <v>0</v>
      </c>
      <c r="F313" s="5">
        <v>27727916.699061714</v>
      </c>
    </row>
    <row r="314" spans="1:6" x14ac:dyDescent="0.25">
      <c r="A314" s="3" t="s">
        <v>670</v>
      </c>
      <c r="B314" t="s">
        <v>671</v>
      </c>
      <c r="C314" s="5">
        <v>61271166.798382461</v>
      </c>
      <c r="D314" s="5">
        <v>16600708</v>
      </c>
      <c r="E314" s="5">
        <v>0</v>
      </c>
      <c r="F314" s="5">
        <v>77871874.798382461</v>
      </c>
    </row>
    <row r="315" spans="1:6" x14ac:dyDescent="0.25">
      <c r="A315" s="3" t="s">
        <v>672</v>
      </c>
      <c r="B315" t="s">
        <v>673</v>
      </c>
      <c r="C315" s="5">
        <v>225117965.27553332</v>
      </c>
      <c r="D315" s="5">
        <v>46368000</v>
      </c>
      <c r="E315" s="5">
        <v>0</v>
      </c>
      <c r="F315" s="5">
        <v>271485965.27553332</v>
      </c>
    </row>
    <row r="316" spans="1:6" x14ac:dyDescent="0.25">
      <c r="A316" s="3" t="s">
        <v>674</v>
      </c>
      <c r="B316" t="s">
        <v>675</v>
      </c>
      <c r="C316" s="5">
        <v>15268356</v>
      </c>
      <c r="D316" s="5">
        <v>61175313.030000001</v>
      </c>
      <c r="E316" s="5">
        <v>0</v>
      </c>
      <c r="F316" s="5">
        <v>76443669.030000001</v>
      </c>
    </row>
    <row r="317" spans="1:6" x14ac:dyDescent="0.25">
      <c r="A317" s="3" t="s">
        <v>678</v>
      </c>
      <c r="B317" t="s">
        <v>679</v>
      </c>
      <c r="C317" s="5">
        <v>51123176.373718709</v>
      </c>
      <c r="D317" s="5">
        <v>0</v>
      </c>
      <c r="E317" s="5">
        <v>0</v>
      </c>
      <c r="F317" s="5">
        <v>51123176.373718709</v>
      </c>
    </row>
    <row r="318" spans="1:6" x14ac:dyDescent="0.25">
      <c r="A318" s="3" t="s">
        <v>680</v>
      </c>
      <c r="B318" t="s">
        <v>681</v>
      </c>
      <c r="C318" s="5">
        <v>242549275.06248665</v>
      </c>
      <c r="D318" s="5">
        <v>34425556.009999998</v>
      </c>
      <c r="E318" s="5">
        <v>0</v>
      </c>
      <c r="F318" s="5">
        <v>276974831.07248664</v>
      </c>
    </row>
    <row r="319" spans="1:6" x14ac:dyDescent="0.25">
      <c r="A319" s="3" t="s">
        <v>684</v>
      </c>
      <c r="B319" t="s">
        <v>685</v>
      </c>
      <c r="C319" s="5">
        <v>0</v>
      </c>
      <c r="D319" s="5">
        <v>0</v>
      </c>
      <c r="E319" s="5">
        <v>0</v>
      </c>
      <c r="F319" s="5">
        <v>0</v>
      </c>
    </row>
    <row r="320" spans="1:6" x14ac:dyDescent="0.25">
      <c r="A320" s="3" t="s">
        <v>688</v>
      </c>
      <c r="B320" t="s">
        <v>689</v>
      </c>
      <c r="C320" s="5">
        <v>3008584.2942573261</v>
      </c>
      <c r="D320" s="5">
        <v>0</v>
      </c>
      <c r="E320" s="5">
        <v>0</v>
      </c>
      <c r="F320" s="5">
        <v>3008584.2942573261</v>
      </c>
    </row>
    <row r="321" spans="1:6" x14ac:dyDescent="0.25">
      <c r="A321" s="3" t="s">
        <v>690</v>
      </c>
      <c r="B321" t="s">
        <v>691</v>
      </c>
      <c r="C321" s="5">
        <v>0</v>
      </c>
      <c r="D321" s="5">
        <v>0</v>
      </c>
      <c r="E321" s="5">
        <v>0</v>
      </c>
      <c r="F321" s="5">
        <v>0</v>
      </c>
    </row>
    <row r="322" spans="1:6" x14ac:dyDescent="0.25">
      <c r="A322" s="3" t="s">
        <v>692</v>
      </c>
      <c r="B322" t="s">
        <v>693</v>
      </c>
      <c r="C322" s="5">
        <v>18786536.294876948</v>
      </c>
      <c r="D322" s="5">
        <v>300000</v>
      </c>
      <c r="E322" s="5">
        <v>0</v>
      </c>
      <c r="F322" s="5">
        <v>19086536.294876948</v>
      </c>
    </row>
    <row r="323" spans="1:6" x14ac:dyDescent="0.25">
      <c r="A323" s="3" t="s">
        <v>694</v>
      </c>
      <c r="B323" t="s">
        <v>695</v>
      </c>
      <c r="C323" s="5">
        <v>4004317.3252570354</v>
      </c>
      <c r="D323" s="5">
        <v>5000000</v>
      </c>
      <c r="E323" s="5">
        <v>0</v>
      </c>
      <c r="F323" s="5">
        <v>9004317.325257035</v>
      </c>
    </row>
    <row r="324" spans="1:6" x14ac:dyDescent="0.25">
      <c r="A324" s="3" t="s">
        <v>696</v>
      </c>
      <c r="B324" t="s">
        <v>697</v>
      </c>
      <c r="C324" s="5">
        <v>743518.93251157179</v>
      </c>
      <c r="D324" s="5">
        <v>0</v>
      </c>
      <c r="E324" s="5">
        <v>0</v>
      </c>
      <c r="F324" s="5">
        <v>743518.93251157179</v>
      </c>
    </row>
    <row r="325" spans="1:6" x14ac:dyDescent="0.25">
      <c r="A325" s="3" t="s">
        <v>698</v>
      </c>
      <c r="B325" t="s">
        <v>699</v>
      </c>
      <c r="C325" s="5">
        <v>14275240.372452596</v>
      </c>
      <c r="D325" s="5">
        <v>0</v>
      </c>
      <c r="E325" s="5">
        <v>0</v>
      </c>
      <c r="F325" s="5">
        <v>14275240.372452596</v>
      </c>
    </row>
    <row r="326" spans="1:6" x14ac:dyDescent="0.25">
      <c r="A326" s="3" t="s">
        <v>700</v>
      </c>
      <c r="B326" t="s">
        <v>701</v>
      </c>
      <c r="C326" s="5">
        <v>18958586.587546736</v>
      </c>
      <c r="D326" s="5">
        <v>3020000</v>
      </c>
      <c r="E326" s="5">
        <v>0</v>
      </c>
      <c r="F326" s="5">
        <v>21978586.587546736</v>
      </c>
    </row>
    <row r="327" spans="1:6" x14ac:dyDescent="0.25">
      <c r="A327" s="3" t="s">
        <v>702</v>
      </c>
      <c r="B327" t="s">
        <v>703</v>
      </c>
      <c r="C327" s="5">
        <v>187559816.96489426</v>
      </c>
      <c r="D327" s="5">
        <v>37986179.25</v>
      </c>
      <c r="E327" s="5">
        <v>0</v>
      </c>
      <c r="F327" s="5">
        <v>225545996.21489426</v>
      </c>
    </row>
    <row r="328" spans="1:6" x14ac:dyDescent="0.25">
      <c r="A328" s="3" t="s">
        <v>704</v>
      </c>
      <c r="B328" t="s">
        <v>697</v>
      </c>
      <c r="C328" s="5">
        <v>0</v>
      </c>
      <c r="D328" s="5">
        <v>0</v>
      </c>
      <c r="E328" s="5">
        <v>0</v>
      </c>
      <c r="F328" s="5">
        <v>0</v>
      </c>
    </row>
    <row r="329" spans="1:6" x14ac:dyDescent="0.25">
      <c r="A329" s="3" t="s">
        <v>705</v>
      </c>
      <c r="B329" t="s">
        <v>706</v>
      </c>
      <c r="C329" s="5">
        <v>6014699.2464600746</v>
      </c>
      <c r="D329" s="5">
        <v>0</v>
      </c>
      <c r="E329" s="5">
        <v>0</v>
      </c>
      <c r="F329" s="5">
        <v>6014699.2464600746</v>
      </c>
    </row>
    <row r="330" spans="1:6" x14ac:dyDescent="0.25">
      <c r="A330" s="3" t="s">
        <v>707</v>
      </c>
      <c r="B330" t="s">
        <v>708</v>
      </c>
      <c r="C330" s="5">
        <v>232124513.39864627</v>
      </c>
      <c r="D330" s="5">
        <v>9221813.6500000004</v>
      </c>
      <c r="E330" s="5">
        <v>0</v>
      </c>
      <c r="F330" s="5">
        <v>241346327.04864627</v>
      </c>
    </row>
    <row r="331" spans="1:6" x14ac:dyDescent="0.25">
      <c r="A331" s="3" t="s">
        <v>717</v>
      </c>
      <c r="B331" t="s">
        <v>718</v>
      </c>
      <c r="C331" s="5">
        <v>0</v>
      </c>
      <c r="D331" s="5">
        <v>4510746.01</v>
      </c>
      <c r="E331" s="5">
        <v>0</v>
      </c>
      <c r="F331" s="5">
        <v>4510746.01</v>
      </c>
    </row>
    <row r="332" spans="1:6" x14ac:dyDescent="0.25">
      <c r="A332" s="3" t="s">
        <v>719</v>
      </c>
      <c r="B332" t="s">
        <v>720</v>
      </c>
      <c r="C332" s="5">
        <v>386599156.5978632</v>
      </c>
      <c r="D332" s="5">
        <v>26007020.850000001</v>
      </c>
      <c r="E332" s="5">
        <v>35686.379999999997</v>
      </c>
      <c r="F332" s="5">
        <v>412570491.06786323</v>
      </c>
    </row>
    <row r="333" spans="1:6" x14ac:dyDescent="0.25">
      <c r="A333" s="3" t="s">
        <v>721</v>
      </c>
      <c r="B333" t="s">
        <v>722</v>
      </c>
      <c r="C333" s="5">
        <v>92957263.531766459</v>
      </c>
      <c r="D333" s="5">
        <v>64813053.859999999</v>
      </c>
      <c r="E333" s="5">
        <v>12204760.039999999</v>
      </c>
      <c r="F333" s="5">
        <v>145565557.35176647</v>
      </c>
    </row>
    <row r="334" spans="1:6" x14ac:dyDescent="0.25">
      <c r="A334" s="3" t="s">
        <v>723</v>
      </c>
      <c r="B334" t="s">
        <v>724</v>
      </c>
      <c r="C334" s="5">
        <v>339919382.83425391</v>
      </c>
      <c r="D334" s="5">
        <v>6604850.79</v>
      </c>
      <c r="E334" s="5">
        <v>0</v>
      </c>
      <c r="F334" s="5">
        <v>346524233.62425393</v>
      </c>
    </row>
    <row r="335" spans="1:6" x14ac:dyDescent="0.25">
      <c r="A335" s="3" t="s">
        <v>725</v>
      </c>
      <c r="B335" t="s">
        <v>726</v>
      </c>
      <c r="C335" s="5">
        <v>20842083.27755931</v>
      </c>
      <c r="D335" s="5">
        <v>3345413</v>
      </c>
      <c r="E335" s="5">
        <v>0</v>
      </c>
      <c r="F335" s="5">
        <v>24187496.27755931</v>
      </c>
    </row>
    <row r="336" spans="1:6" x14ac:dyDescent="0.25">
      <c r="A336" s="3" t="s">
        <v>727</v>
      </c>
      <c r="B336" t="s">
        <v>728</v>
      </c>
      <c r="C336" s="5">
        <v>453332294.37208956</v>
      </c>
      <c r="D336" s="5">
        <v>6346849.3200000003</v>
      </c>
      <c r="E336" s="5">
        <v>0</v>
      </c>
      <c r="F336" s="5">
        <v>459679143.69208956</v>
      </c>
    </row>
    <row r="337" spans="1:6" x14ac:dyDescent="0.25">
      <c r="A337" s="3" t="s">
        <v>732</v>
      </c>
      <c r="B337" t="s">
        <v>733</v>
      </c>
      <c r="C337" s="5">
        <v>878631764.6866374</v>
      </c>
      <c r="D337" s="5">
        <v>39251393.200000003</v>
      </c>
      <c r="E337" s="5">
        <v>0</v>
      </c>
      <c r="F337" s="5">
        <v>917883157.88663745</v>
      </c>
    </row>
    <row r="338" spans="1:6" x14ac:dyDescent="0.25">
      <c r="A338" s="3" t="s">
        <v>734</v>
      </c>
      <c r="B338" t="s">
        <v>735</v>
      </c>
      <c r="C338" s="5">
        <v>222188615.70758724</v>
      </c>
      <c r="D338" s="5">
        <v>12241638.470000001</v>
      </c>
      <c r="E338" s="5">
        <v>0</v>
      </c>
      <c r="F338" s="5">
        <v>234430254.17758724</v>
      </c>
    </row>
    <row r="339" spans="1:6" x14ac:dyDescent="0.25">
      <c r="A339" s="3" t="s">
        <v>736</v>
      </c>
      <c r="B339" t="s">
        <v>737</v>
      </c>
      <c r="C339" s="5">
        <v>49258603.134628631</v>
      </c>
      <c r="D339" s="5">
        <v>0</v>
      </c>
      <c r="E339" s="5">
        <v>0</v>
      </c>
      <c r="F339" s="5">
        <v>49258603.134628631</v>
      </c>
    </row>
    <row r="340" spans="1:6" x14ac:dyDescent="0.25">
      <c r="A340" s="3" t="s">
        <v>738</v>
      </c>
      <c r="B340" t="s">
        <v>739</v>
      </c>
      <c r="C340" s="5">
        <v>395579319.03953063</v>
      </c>
      <c r="D340" s="5">
        <v>4950750</v>
      </c>
      <c r="E340" s="5">
        <v>0.01</v>
      </c>
      <c r="F340" s="5">
        <v>400530069.02953064</v>
      </c>
    </row>
    <row r="341" spans="1:6" x14ac:dyDescent="0.25">
      <c r="A341" s="3" t="s">
        <v>958</v>
      </c>
      <c r="B341" t="s">
        <v>959</v>
      </c>
      <c r="C341" s="5">
        <v>225670064.70547783</v>
      </c>
      <c r="D341" s="5">
        <v>0</v>
      </c>
      <c r="E341" s="5">
        <v>0</v>
      </c>
      <c r="F341" s="5">
        <v>225670064.70547783</v>
      </c>
    </row>
    <row r="342" spans="1:6" x14ac:dyDescent="0.25">
      <c r="A342" s="3" t="s">
        <v>740</v>
      </c>
      <c r="B342" t="s">
        <v>741</v>
      </c>
      <c r="C342" s="5">
        <v>0</v>
      </c>
      <c r="D342" s="5">
        <v>0</v>
      </c>
      <c r="E342" s="5">
        <v>0</v>
      </c>
      <c r="F342" s="5">
        <v>0</v>
      </c>
    </row>
    <row r="343" spans="1:6" x14ac:dyDescent="0.25">
      <c r="A343" s="3" t="s">
        <v>742</v>
      </c>
      <c r="B343" t="s">
        <v>743</v>
      </c>
      <c r="C343" s="5">
        <v>198199589.38356668</v>
      </c>
      <c r="D343" s="5">
        <v>0</v>
      </c>
      <c r="E343" s="5">
        <v>0</v>
      </c>
      <c r="F343" s="5">
        <v>198199589.38356668</v>
      </c>
    </row>
    <row r="344" spans="1:6" x14ac:dyDescent="0.25">
      <c r="A344" s="3" t="s">
        <v>744</v>
      </c>
      <c r="B344" t="s">
        <v>745</v>
      </c>
      <c r="C344" s="5">
        <v>71446802.422056153</v>
      </c>
      <c r="D344" s="5">
        <v>3524136</v>
      </c>
      <c r="E344" s="5">
        <v>0</v>
      </c>
      <c r="F344" s="5">
        <v>74970938.422056153</v>
      </c>
    </row>
    <row r="345" spans="1:6" x14ac:dyDescent="0.25">
      <c r="A345" s="3" t="s">
        <v>746</v>
      </c>
      <c r="B345" t="s">
        <v>747</v>
      </c>
      <c r="C345" s="5">
        <v>1296232.8190528839</v>
      </c>
      <c r="D345" s="5">
        <v>316000</v>
      </c>
      <c r="E345" s="5">
        <v>0</v>
      </c>
      <c r="F345" s="5">
        <v>1612232.8190528839</v>
      </c>
    </row>
    <row r="346" spans="1:6" x14ac:dyDescent="0.25">
      <c r="A346" s="3" t="s">
        <v>748</v>
      </c>
      <c r="B346" t="s">
        <v>749</v>
      </c>
      <c r="C346" s="5">
        <v>4337296.3857299509</v>
      </c>
      <c r="D346" s="5">
        <v>0</v>
      </c>
      <c r="E346" s="5">
        <v>0</v>
      </c>
      <c r="F346" s="5">
        <v>4337296.3857299509</v>
      </c>
    </row>
    <row r="347" spans="1:6" x14ac:dyDescent="0.25">
      <c r="A347" s="3" t="s">
        <v>750</v>
      </c>
      <c r="B347" t="s">
        <v>751</v>
      </c>
      <c r="C347" s="5">
        <v>-787730251.40285492</v>
      </c>
      <c r="D347" s="5">
        <v>0</v>
      </c>
      <c r="E347" s="5">
        <v>0</v>
      </c>
      <c r="F347" s="5">
        <v>-787730251.40285492</v>
      </c>
    </row>
    <row r="348" spans="1:6" x14ac:dyDescent="0.25">
      <c r="A348" s="3" t="s">
        <v>752</v>
      </c>
      <c r="B348" t="s">
        <v>753</v>
      </c>
      <c r="C348" s="5">
        <v>258520780.8239423</v>
      </c>
      <c r="D348" s="5">
        <v>5389016.6399999997</v>
      </c>
      <c r="E348" s="5">
        <v>31514.02</v>
      </c>
      <c r="F348" s="5">
        <v>263878283.44394228</v>
      </c>
    </row>
    <row r="349" spans="1:6" x14ac:dyDescent="0.25">
      <c r="A349" s="3" t="s">
        <v>754</v>
      </c>
      <c r="B349" t="s">
        <v>755</v>
      </c>
      <c r="C349" s="5">
        <v>-1.1073797941207886E-4</v>
      </c>
      <c r="D349" s="5">
        <v>0</v>
      </c>
      <c r="E349" s="5">
        <v>0</v>
      </c>
      <c r="F349" s="5">
        <v>-1.1073797941207886E-4</v>
      </c>
    </row>
    <row r="350" spans="1:6" x14ac:dyDescent="0.25">
      <c r="A350" s="3" t="s">
        <v>756</v>
      </c>
      <c r="B350" t="s">
        <v>757</v>
      </c>
      <c r="C350" s="5">
        <v>229359236.46154821</v>
      </c>
      <c r="D350" s="5">
        <v>10001840.310000001</v>
      </c>
      <c r="E350" s="5">
        <v>0</v>
      </c>
      <c r="F350" s="5">
        <v>239361076.77154821</v>
      </c>
    </row>
    <row r="351" spans="1:6" x14ac:dyDescent="0.25">
      <c r="A351" s="3" t="s">
        <v>758</v>
      </c>
      <c r="B351" t="s">
        <v>759</v>
      </c>
      <c r="C351" s="5">
        <v>-6.416490999981761E-3</v>
      </c>
      <c r="D351" s="5">
        <v>0</v>
      </c>
      <c r="E351" s="5">
        <v>0</v>
      </c>
      <c r="F351" s="5">
        <v>-6.416490999981761E-3</v>
      </c>
    </row>
    <row r="352" spans="1:6" x14ac:dyDescent="0.25">
      <c r="A352" s="3" t="s">
        <v>960</v>
      </c>
      <c r="B352" t="s">
        <v>961</v>
      </c>
      <c r="C352" s="5">
        <v>0</v>
      </c>
      <c r="D352" s="5">
        <v>0</v>
      </c>
      <c r="E352" s="5">
        <v>0</v>
      </c>
      <c r="F352" s="5">
        <v>0</v>
      </c>
    </row>
    <row r="353" spans="1:6" x14ac:dyDescent="0.25">
      <c r="A353" s="3" t="s">
        <v>760</v>
      </c>
      <c r="B353" t="s">
        <v>761</v>
      </c>
      <c r="C353" s="5">
        <v>228631213.15961039</v>
      </c>
      <c r="D353" s="5">
        <v>0</v>
      </c>
      <c r="E353" s="5">
        <v>0</v>
      </c>
      <c r="F353" s="5">
        <v>228631213.15961039</v>
      </c>
    </row>
    <row r="354" spans="1:6" x14ac:dyDescent="0.25">
      <c r="A354" s="3" t="s">
        <v>762</v>
      </c>
      <c r="B354" t="s">
        <v>763</v>
      </c>
      <c r="C354" s="5">
        <v>39396761.093437664</v>
      </c>
      <c r="D354" s="5">
        <v>0</v>
      </c>
      <c r="E354" s="5">
        <v>0</v>
      </c>
      <c r="F354" s="5">
        <v>39396761.093437664</v>
      </c>
    </row>
    <row r="355" spans="1:6" x14ac:dyDescent="0.25">
      <c r="A355" s="3" t="s">
        <v>764</v>
      </c>
      <c r="B355" t="s">
        <v>765</v>
      </c>
      <c r="C355" s="5">
        <v>503337467.6760366</v>
      </c>
      <c r="D355" s="5">
        <v>0</v>
      </c>
      <c r="E355" s="5">
        <v>0</v>
      </c>
      <c r="F355" s="5">
        <v>503337467.6760366</v>
      </c>
    </row>
    <row r="356" spans="1:6" x14ac:dyDescent="0.25">
      <c r="A356" s="3" t="s">
        <v>962</v>
      </c>
      <c r="B356" t="s">
        <v>963</v>
      </c>
      <c r="C356" s="5">
        <v>0.44156749360263348</v>
      </c>
      <c r="D356" s="5">
        <v>0</v>
      </c>
      <c r="E356" s="5">
        <v>0</v>
      </c>
      <c r="F356" s="5">
        <v>0.44156749360263348</v>
      </c>
    </row>
    <row r="357" spans="1:6" x14ac:dyDescent="0.25">
      <c r="A357" s="3" t="s">
        <v>766</v>
      </c>
      <c r="B357" t="s">
        <v>767</v>
      </c>
      <c r="C357" s="5">
        <v>1871682.7000000002</v>
      </c>
      <c r="D357" s="5">
        <v>0</v>
      </c>
      <c r="E357" s="5">
        <v>0</v>
      </c>
      <c r="F357" s="5">
        <v>1871682.7000000002</v>
      </c>
    </row>
    <row r="358" spans="1:6" x14ac:dyDescent="0.25">
      <c r="A358" s="3" t="s">
        <v>768</v>
      </c>
      <c r="B358" t="s">
        <v>769</v>
      </c>
      <c r="C358" s="5">
        <v>825121.68078892957</v>
      </c>
      <c r="D358" s="5">
        <v>0</v>
      </c>
      <c r="E358" s="5">
        <v>0</v>
      </c>
      <c r="F358" s="5">
        <v>825121.68078892957</v>
      </c>
    </row>
    <row r="359" spans="1:6" x14ac:dyDescent="0.25">
      <c r="A359" s="3" t="s">
        <v>772</v>
      </c>
      <c r="B359" t="s">
        <v>773</v>
      </c>
      <c r="C359" s="5">
        <v>12588011.718103811</v>
      </c>
      <c r="D359" s="5">
        <v>554039.49</v>
      </c>
      <c r="E359" s="5">
        <v>1867030.75</v>
      </c>
      <c r="F359" s="5">
        <v>11275020.458103811</v>
      </c>
    </row>
    <row r="360" spans="1:6" x14ac:dyDescent="0.25">
      <c r="A360" s="3" t="s">
        <v>964</v>
      </c>
      <c r="B360" t="s">
        <v>965</v>
      </c>
      <c r="C360" s="5">
        <v>38185445.075858369</v>
      </c>
      <c r="D360" s="5">
        <v>0</v>
      </c>
      <c r="E360" s="5">
        <v>0</v>
      </c>
      <c r="F360" s="5">
        <v>38185445.075858369</v>
      </c>
    </row>
    <row r="361" spans="1:6" x14ac:dyDescent="0.25">
      <c r="A361" s="3" t="s">
        <v>774</v>
      </c>
      <c r="B361" t="s">
        <v>775</v>
      </c>
      <c r="C361" s="5">
        <v>46279838.177085742</v>
      </c>
      <c r="D361" s="5">
        <v>75102642.739999995</v>
      </c>
      <c r="E361" s="5">
        <v>0</v>
      </c>
      <c r="F361" s="5">
        <v>121382480.91708574</v>
      </c>
    </row>
    <row r="362" spans="1:6" x14ac:dyDescent="0.25">
      <c r="A362" s="3" t="s">
        <v>776</v>
      </c>
      <c r="B362" t="s">
        <v>777</v>
      </c>
      <c r="C362" s="5">
        <v>0</v>
      </c>
      <c r="D362" s="5">
        <v>2173023.61</v>
      </c>
      <c r="E362" s="5">
        <v>0</v>
      </c>
      <c r="F362" s="5">
        <v>2173023.61</v>
      </c>
    </row>
    <row r="363" spans="1:6" x14ac:dyDescent="0.25">
      <c r="A363" s="3" t="s">
        <v>778</v>
      </c>
      <c r="B363" t="s">
        <v>779</v>
      </c>
      <c r="C363" s="5">
        <v>36557604.395126387</v>
      </c>
      <c r="D363" s="5">
        <v>0</v>
      </c>
      <c r="E363" s="5">
        <v>0</v>
      </c>
      <c r="F363" s="5">
        <v>36557604.395126387</v>
      </c>
    </row>
    <row r="364" spans="1:6" x14ac:dyDescent="0.25">
      <c r="A364" s="3" t="s">
        <v>780</v>
      </c>
      <c r="B364" t="s">
        <v>781</v>
      </c>
      <c r="C364" s="5">
        <v>18493350.197782088</v>
      </c>
      <c r="D364" s="5">
        <v>0</v>
      </c>
      <c r="E364" s="5">
        <v>0</v>
      </c>
      <c r="F364" s="5">
        <v>18493350.197782088</v>
      </c>
    </row>
    <row r="365" spans="1:6" x14ac:dyDescent="0.25">
      <c r="A365" s="3" t="s">
        <v>782</v>
      </c>
      <c r="B365" t="s">
        <v>783</v>
      </c>
      <c r="C365" s="5">
        <v>3197186.9286339581</v>
      </c>
      <c r="D365" s="5">
        <v>0</v>
      </c>
      <c r="E365" s="5">
        <v>0</v>
      </c>
      <c r="F365" s="5">
        <v>3197186.9286339581</v>
      </c>
    </row>
    <row r="366" spans="1:6" x14ac:dyDescent="0.25">
      <c r="A366" s="3" t="s">
        <v>784</v>
      </c>
      <c r="B366" t="s">
        <v>785</v>
      </c>
      <c r="C366" s="5">
        <v>448683606.65764987</v>
      </c>
      <c r="D366" s="5">
        <v>32929481.559999999</v>
      </c>
      <c r="E366" s="5">
        <v>0</v>
      </c>
      <c r="F366" s="5">
        <v>481613088.21764988</v>
      </c>
    </row>
    <row r="367" spans="1:6" x14ac:dyDescent="0.25">
      <c r="A367" s="3" t="s">
        <v>966</v>
      </c>
      <c r="B367" t="s">
        <v>967</v>
      </c>
      <c r="C367" s="5">
        <v>21022034.449999999</v>
      </c>
      <c r="D367" s="5">
        <v>0</v>
      </c>
      <c r="E367" s="5">
        <v>0</v>
      </c>
      <c r="F367" s="5">
        <v>21022034.449999999</v>
      </c>
    </row>
    <row r="368" spans="1:6" x14ac:dyDescent="0.25">
      <c r="A368" s="3" t="s">
        <v>786</v>
      </c>
      <c r="B368" t="s">
        <v>787</v>
      </c>
      <c r="C368" s="5">
        <v>32729176.760193102</v>
      </c>
      <c r="D368" s="5">
        <v>0</v>
      </c>
      <c r="E368" s="5">
        <v>0</v>
      </c>
      <c r="F368" s="5">
        <v>32729176.760193102</v>
      </c>
    </row>
    <row r="369" spans="1:6" x14ac:dyDescent="0.25">
      <c r="A369" s="3" t="s">
        <v>788</v>
      </c>
      <c r="B369" t="s">
        <v>789</v>
      </c>
      <c r="C369" s="5">
        <v>1515362.193334369</v>
      </c>
      <c r="D369" s="5">
        <v>0</v>
      </c>
      <c r="E369" s="5">
        <v>0</v>
      </c>
      <c r="F369" s="5">
        <v>1515362.193334369</v>
      </c>
    </row>
    <row r="370" spans="1:6" x14ac:dyDescent="0.25">
      <c r="A370" s="3" t="s">
        <v>790</v>
      </c>
      <c r="B370" t="s">
        <v>791</v>
      </c>
      <c r="C370" s="5">
        <v>38895505.621988304</v>
      </c>
      <c r="D370" s="5">
        <v>0</v>
      </c>
      <c r="E370" s="5">
        <v>0</v>
      </c>
      <c r="F370" s="5">
        <v>38895505.621988304</v>
      </c>
    </row>
    <row r="371" spans="1:6" x14ac:dyDescent="0.25">
      <c r="A371" s="3" t="s">
        <v>794</v>
      </c>
      <c r="B371" t="s">
        <v>795</v>
      </c>
      <c r="C371" s="5">
        <v>0</v>
      </c>
      <c r="D371" s="5">
        <v>0</v>
      </c>
      <c r="E371" s="5">
        <v>0</v>
      </c>
      <c r="F371" s="5">
        <v>0</v>
      </c>
    </row>
    <row r="372" spans="1:6" ht="30" x14ac:dyDescent="0.25">
      <c r="A372" s="3" t="s">
        <v>968</v>
      </c>
      <c r="B372" s="7" t="s">
        <v>969</v>
      </c>
      <c r="C372" s="5">
        <v>0</v>
      </c>
      <c r="D372" s="5">
        <v>0</v>
      </c>
      <c r="E372" s="5">
        <v>0</v>
      </c>
      <c r="F372" s="5">
        <v>0</v>
      </c>
    </row>
    <row r="373" spans="1:6" x14ac:dyDescent="0.25">
      <c r="A373" s="3" t="s">
        <v>970</v>
      </c>
      <c r="B373" t="s">
        <v>971</v>
      </c>
      <c r="C373" s="5">
        <v>186266512.9144997</v>
      </c>
      <c r="D373" s="5">
        <v>0</v>
      </c>
      <c r="E373" s="5">
        <v>0</v>
      </c>
      <c r="F373" s="5">
        <v>186266512.9144997</v>
      </c>
    </row>
    <row r="374" spans="1:6" x14ac:dyDescent="0.25">
      <c r="A374" s="3" t="s">
        <v>972</v>
      </c>
      <c r="B374" t="s">
        <v>973</v>
      </c>
      <c r="C374" s="5">
        <v>109580692.7660858</v>
      </c>
      <c r="D374" s="5">
        <v>0</v>
      </c>
      <c r="E374" s="5">
        <v>0</v>
      </c>
      <c r="F374" s="5">
        <v>109580692.7660858</v>
      </c>
    </row>
    <row r="375" spans="1:6" x14ac:dyDescent="0.25">
      <c r="A375" s="3" t="s">
        <v>974</v>
      </c>
      <c r="B375" t="s">
        <v>975</v>
      </c>
      <c r="C375" s="5">
        <v>10987255.879639972</v>
      </c>
      <c r="D375" s="5">
        <v>0</v>
      </c>
      <c r="E375" s="5">
        <v>0</v>
      </c>
      <c r="F375" s="5">
        <v>10987255.879639972</v>
      </c>
    </row>
    <row r="376" spans="1:6" ht="30" x14ac:dyDescent="0.25">
      <c r="A376" s="3" t="s">
        <v>976</v>
      </c>
      <c r="B376" s="7" t="s">
        <v>977</v>
      </c>
      <c r="C376" s="5">
        <v>118309930.03819278</v>
      </c>
      <c r="D376" s="5">
        <v>0</v>
      </c>
      <c r="E376" s="5">
        <v>0</v>
      </c>
      <c r="F376" s="5">
        <v>118309930.03819278</v>
      </c>
    </row>
    <row r="377" spans="1:6" x14ac:dyDescent="0.25">
      <c r="A377" s="3" t="s">
        <v>978</v>
      </c>
      <c r="B377" t="s">
        <v>979</v>
      </c>
      <c r="C377" s="5">
        <v>0</v>
      </c>
      <c r="D377" s="5">
        <v>0</v>
      </c>
      <c r="E377" s="5">
        <v>0</v>
      </c>
      <c r="F377" s="5">
        <v>0</v>
      </c>
    </row>
    <row r="378" spans="1:6" x14ac:dyDescent="0.25">
      <c r="A378" s="3" t="s">
        <v>796</v>
      </c>
      <c r="B378" t="s">
        <v>797</v>
      </c>
      <c r="C378" s="5">
        <v>0</v>
      </c>
      <c r="D378" s="5">
        <v>0</v>
      </c>
      <c r="E378" s="5">
        <v>0</v>
      </c>
      <c r="F378" s="5">
        <v>0</v>
      </c>
    </row>
    <row r="379" spans="1:6" x14ac:dyDescent="0.25">
      <c r="A379" s="3" t="s">
        <v>798</v>
      </c>
      <c r="B379" t="s">
        <v>799</v>
      </c>
      <c r="C379" s="5">
        <v>9107424.3985278979</v>
      </c>
      <c r="D379" s="5">
        <v>0</v>
      </c>
      <c r="E379" s="5">
        <v>0</v>
      </c>
      <c r="F379" s="5">
        <v>9107424.3985278979</v>
      </c>
    </row>
    <row r="380" spans="1:6" x14ac:dyDescent="0.25">
      <c r="A380" s="3" t="s">
        <v>800</v>
      </c>
      <c r="B380" t="s">
        <v>801</v>
      </c>
      <c r="C380" s="5">
        <v>6466286.3875072319</v>
      </c>
      <c r="D380" s="5">
        <v>1391258.78</v>
      </c>
      <c r="E380" s="5">
        <v>332704</v>
      </c>
      <c r="F380" s="5">
        <v>7524841.1675072322</v>
      </c>
    </row>
    <row r="381" spans="1:6" x14ac:dyDescent="0.25">
      <c r="A381" s="3" t="s">
        <v>802</v>
      </c>
      <c r="B381" t="s">
        <v>803</v>
      </c>
      <c r="C381" s="5">
        <v>766887.85997202503</v>
      </c>
      <c r="D381" s="5">
        <v>0</v>
      </c>
      <c r="E381" s="5">
        <v>0</v>
      </c>
      <c r="F381" s="5">
        <v>766887.85997202503</v>
      </c>
    </row>
    <row r="382" spans="1:6" x14ac:dyDescent="0.25">
      <c r="A382" s="3" t="s">
        <v>804</v>
      </c>
      <c r="B382" t="s">
        <v>805</v>
      </c>
      <c r="C382" s="5">
        <v>1128009656.4818115</v>
      </c>
      <c r="D382" s="5">
        <v>13740492.84</v>
      </c>
      <c r="E382" s="5">
        <v>0</v>
      </c>
      <c r="F382" s="5">
        <v>1141750149.3218114</v>
      </c>
    </row>
    <row r="383" spans="1:6" x14ac:dyDescent="0.25">
      <c r="A383" s="3" t="s">
        <v>806</v>
      </c>
      <c r="B383" t="s">
        <v>619</v>
      </c>
      <c r="C383" s="5">
        <v>0</v>
      </c>
      <c r="D383" s="5">
        <v>0</v>
      </c>
      <c r="E383" s="5">
        <v>0</v>
      </c>
      <c r="F383" s="5">
        <v>0</v>
      </c>
    </row>
    <row r="384" spans="1:6" x14ac:dyDescent="0.25">
      <c r="A384" s="3" t="s">
        <v>980</v>
      </c>
      <c r="B384" t="s">
        <v>981</v>
      </c>
      <c r="C384" s="5">
        <v>254185702.27740598</v>
      </c>
      <c r="D384" s="5">
        <v>0</v>
      </c>
      <c r="E384" s="5">
        <v>0</v>
      </c>
      <c r="F384" s="5">
        <v>254185702.27740598</v>
      </c>
    </row>
    <row r="385" spans="1:6" x14ac:dyDescent="0.25">
      <c r="A385" s="3" t="s">
        <v>817</v>
      </c>
      <c r="B385" t="s">
        <v>818</v>
      </c>
      <c r="C385" s="5">
        <v>-31958550.059998512</v>
      </c>
      <c r="D385" s="5">
        <v>61243371.390000001</v>
      </c>
      <c r="E385" s="5">
        <v>63195859.789999999</v>
      </c>
      <c r="F385" s="5">
        <v>-33911038.459998511</v>
      </c>
    </row>
    <row r="386" spans="1:6" x14ac:dyDescent="0.25">
      <c r="A386" s="3" t="s">
        <v>819</v>
      </c>
      <c r="B386" t="s">
        <v>820</v>
      </c>
      <c r="C386" s="5">
        <v>0</v>
      </c>
      <c r="D386" s="5">
        <v>179483054.41999999</v>
      </c>
      <c r="E386" s="5">
        <v>179483054.41999999</v>
      </c>
      <c r="F386" s="5">
        <v>0</v>
      </c>
    </row>
    <row r="387" spans="1:6" x14ac:dyDescent="0.25">
      <c r="A387" s="3" t="s">
        <v>823</v>
      </c>
      <c r="B387" t="s">
        <v>824</v>
      </c>
      <c r="C387" s="5">
        <v>-639103.12999999523</v>
      </c>
      <c r="D387" s="5">
        <v>1234086723.76</v>
      </c>
      <c r="E387" s="5">
        <v>1218366458.72</v>
      </c>
      <c r="F387" s="5">
        <v>15081161.910000086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60B2-01FF-41C5-B775-E226E2A94A1F}">
  <dimension ref="A1:G65"/>
  <sheetViews>
    <sheetView workbookViewId="0">
      <selection activeCell="G5" sqref="G5"/>
    </sheetView>
  </sheetViews>
  <sheetFormatPr baseColWidth="10" defaultRowHeight="15" x14ac:dyDescent="0.25"/>
  <cols>
    <col min="1" max="1" width="13.28515625" bestFit="1" customWidth="1"/>
    <col min="2" max="2" width="45" bestFit="1" customWidth="1"/>
    <col min="3" max="3" width="15.5703125" bestFit="1" customWidth="1"/>
    <col min="4" max="5" width="14.85546875" bestFit="1" customWidth="1"/>
    <col min="6" max="6" width="15.5703125" bestFit="1" customWidth="1"/>
  </cols>
  <sheetData>
    <row r="1" spans="1:7" x14ac:dyDescent="0.25">
      <c r="B1" t="s">
        <v>826</v>
      </c>
      <c r="D1" t="s">
        <v>1006</v>
      </c>
    </row>
    <row r="2" spans="1:7" x14ac:dyDescent="0.25">
      <c r="A2" s="4" t="s">
        <v>0</v>
      </c>
      <c r="B2" s="2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7" x14ac:dyDescent="0.25">
      <c r="A3" s="3" t="s">
        <v>6</v>
      </c>
      <c r="B3" t="s">
        <v>7</v>
      </c>
      <c r="C3" s="5">
        <v>0</v>
      </c>
      <c r="D3" s="5">
        <v>1217558804</v>
      </c>
      <c r="E3" s="5">
        <v>1841845839.1700001</v>
      </c>
      <c r="F3" s="5">
        <f>+D3-E3</f>
        <v>-624287035.17000008</v>
      </c>
      <c r="G3" t="s">
        <v>1007</v>
      </c>
    </row>
    <row r="4" spans="1:7" x14ac:dyDescent="0.25">
      <c r="A4" s="3" t="s">
        <v>8</v>
      </c>
      <c r="B4" t="s">
        <v>9</v>
      </c>
      <c r="C4" s="5">
        <v>0</v>
      </c>
      <c r="D4" s="5">
        <v>0</v>
      </c>
      <c r="E4" s="5">
        <v>32000000</v>
      </c>
      <c r="F4" s="5">
        <f t="shared" ref="F4:F65" si="0">+D4-E4</f>
        <v>-32000000</v>
      </c>
      <c r="G4" t="s">
        <v>1008</v>
      </c>
    </row>
    <row r="5" spans="1:7" x14ac:dyDescent="0.25">
      <c r="A5" s="3" t="s">
        <v>829</v>
      </c>
      <c r="B5" t="s">
        <v>830</v>
      </c>
      <c r="C5" s="5">
        <v>0</v>
      </c>
      <c r="D5" s="5">
        <v>1000000</v>
      </c>
      <c r="E5" s="5">
        <v>0</v>
      </c>
      <c r="F5" s="5">
        <f t="shared" si="0"/>
        <v>1000000</v>
      </c>
    </row>
    <row r="6" spans="1:7" x14ac:dyDescent="0.25">
      <c r="A6" s="3" t="s">
        <v>62</v>
      </c>
      <c r="B6" t="s">
        <v>63</v>
      </c>
      <c r="C6" s="5">
        <v>0</v>
      </c>
      <c r="D6" s="5">
        <v>0</v>
      </c>
      <c r="E6" s="5">
        <v>49000000</v>
      </c>
      <c r="F6" s="5">
        <f t="shared" si="0"/>
        <v>-49000000</v>
      </c>
    </row>
    <row r="7" spans="1:7" x14ac:dyDescent="0.25">
      <c r="A7" s="3" t="s">
        <v>68</v>
      </c>
      <c r="B7" t="s">
        <v>69</v>
      </c>
      <c r="C7" s="5">
        <v>0</v>
      </c>
      <c r="D7" s="5">
        <v>0</v>
      </c>
      <c r="E7" s="5">
        <v>0</v>
      </c>
      <c r="F7" s="5">
        <f t="shared" si="0"/>
        <v>0</v>
      </c>
    </row>
    <row r="8" spans="1:7" x14ac:dyDescent="0.25">
      <c r="A8" s="3" t="s">
        <v>70</v>
      </c>
      <c r="B8" t="s">
        <v>71</v>
      </c>
      <c r="C8" s="5">
        <v>0</v>
      </c>
      <c r="D8" s="5">
        <v>31500</v>
      </c>
      <c r="E8" s="5">
        <v>31500</v>
      </c>
      <c r="F8" s="5">
        <f t="shared" si="0"/>
        <v>0</v>
      </c>
    </row>
    <row r="9" spans="1:7" x14ac:dyDescent="0.25">
      <c r="A9" s="3" t="s">
        <v>118</v>
      </c>
      <c r="B9" t="s">
        <v>119</v>
      </c>
      <c r="C9" s="5">
        <v>0</v>
      </c>
      <c r="D9" s="5">
        <v>0</v>
      </c>
      <c r="E9" s="5">
        <v>0</v>
      </c>
      <c r="F9" s="5">
        <f t="shared" si="0"/>
        <v>0</v>
      </c>
    </row>
    <row r="10" spans="1:7" x14ac:dyDescent="0.25">
      <c r="A10" s="3" t="s">
        <v>128</v>
      </c>
      <c r="B10" t="s">
        <v>129</v>
      </c>
      <c r="C10" s="5">
        <v>0</v>
      </c>
      <c r="D10" s="5">
        <v>0</v>
      </c>
      <c r="E10" s="5">
        <v>0</v>
      </c>
      <c r="F10" s="5">
        <f t="shared" si="0"/>
        <v>0</v>
      </c>
    </row>
    <row r="11" spans="1:7" x14ac:dyDescent="0.25">
      <c r="A11" s="3" t="s">
        <v>136</v>
      </c>
      <c r="B11" t="s">
        <v>137</v>
      </c>
      <c r="C11" s="5">
        <v>0</v>
      </c>
      <c r="D11" s="5">
        <v>3300000</v>
      </c>
      <c r="E11" s="5">
        <v>1000000</v>
      </c>
      <c r="F11" s="5">
        <f t="shared" si="0"/>
        <v>2300000</v>
      </c>
    </row>
    <row r="12" spans="1:7" x14ac:dyDescent="0.25">
      <c r="A12" s="3" t="s">
        <v>142</v>
      </c>
      <c r="B12" t="s">
        <v>143</v>
      </c>
      <c r="C12" s="5">
        <v>0</v>
      </c>
      <c r="D12" s="5">
        <v>2600000</v>
      </c>
      <c r="E12" s="5">
        <v>0</v>
      </c>
      <c r="F12" s="5">
        <f t="shared" si="0"/>
        <v>2600000</v>
      </c>
    </row>
    <row r="13" spans="1:7" x14ac:dyDescent="0.25">
      <c r="A13" s="3" t="s">
        <v>144</v>
      </c>
      <c r="B13" t="s">
        <v>145</v>
      </c>
      <c r="C13" s="5">
        <v>0</v>
      </c>
      <c r="D13" s="5">
        <v>0</v>
      </c>
      <c r="E13" s="5">
        <v>67427148.180000007</v>
      </c>
      <c r="F13" s="5">
        <f t="shared" si="0"/>
        <v>-67427148.180000007</v>
      </c>
    </row>
    <row r="14" spans="1:7" x14ac:dyDescent="0.25">
      <c r="A14" s="3" t="s">
        <v>150</v>
      </c>
      <c r="B14" t="s">
        <v>151</v>
      </c>
      <c r="C14" s="5">
        <v>0</v>
      </c>
      <c r="D14" s="5">
        <v>87600000</v>
      </c>
      <c r="E14" s="5">
        <v>660028315.35000002</v>
      </c>
      <c r="F14" s="5">
        <f t="shared" si="0"/>
        <v>-572428315.35000002</v>
      </c>
    </row>
    <row r="15" spans="1:7" x14ac:dyDescent="0.25">
      <c r="A15" s="3" t="s">
        <v>154</v>
      </c>
      <c r="B15" t="s">
        <v>155</v>
      </c>
      <c r="C15" s="5">
        <v>0</v>
      </c>
      <c r="D15" s="5">
        <v>0</v>
      </c>
      <c r="E15" s="5">
        <v>0</v>
      </c>
      <c r="F15" s="5">
        <f t="shared" si="0"/>
        <v>0</v>
      </c>
    </row>
    <row r="16" spans="1:7" x14ac:dyDescent="0.25">
      <c r="A16" s="3" t="s">
        <v>162</v>
      </c>
      <c r="B16" t="s">
        <v>163</v>
      </c>
      <c r="C16" s="5">
        <v>0</v>
      </c>
      <c r="D16" s="5">
        <v>41800000</v>
      </c>
      <c r="E16" s="5">
        <v>0</v>
      </c>
      <c r="F16" s="5">
        <f t="shared" si="0"/>
        <v>41800000</v>
      </c>
    </row>
    <row r="17" spans="1:6" x14ac:dyDescent="0.25">
      <c r="A17" s="3" t="s">
        <v>200</v>
      </c>
      <c r="B17" t="s">
        <v>201</v>
      </c>
      <c r="C17" s="5">
        <v>0</v>
      </c>
      <c r="D17" s="5">
        <v>0</v>
      </c>
      <c r="E17" s="5">
        <v>0</v>
      </c>
      <c r="F17" s="5">
        <f t="shared" si="0"/>
        <v>0</v>
      </c>
    </row>
    <row r="18" spans="1:6" x14ac:dyDescent="0.25">
      <c r="A18" s="3" t="s">
        <v>236</v>
      </c>
      <c r="B18" t="s">
        <v>237</v>
      </c>
      <c r="C18" s="5">
        <v>0</v>
      </c>
      <c r="D18" s="5">
        <v>1146194265.0700002</v>
      </c>
      <c r="E18" s="5">
        <v>427798215</v>
      </c>
      <c r="F18" s="5">
        <f t="shared" si="0"/>
        <v>718396050.07000017</v>
      </c>
    </row>
    <row r="19" spans="1:6" x14ac:dyDescent="0.25">
      <c r="A19" s="3" t="s">
        <v>248</v>
      </c>
      <c r="B19" t="s">
        <v>249</v>
      </c>
      <c r="C19" s="5">
        <v>0</v>
      </c>
      <c r="D19" s="5">
        <v>0</v>
      </c>
      <c r="E19" s="5">
        <v>0</v>
      </c>
      <c r="F19" s="5">
        <f t="shared" si="0"/>
        <v>0</v>
      </c>
    </row>
    <row r="20" spans="1:6" x14ac:dyDescent="0.25">
      <c r="A20" s="3" t="s">
        <v>266</v>
      </c>
      <c r="B20" t="s">
        <v>267</v>
      </c>
      <c r="C20" s="5">
        <v>0</v>
      </c>
      <c r="D20" s="5">
        <v>635541900</v>
      </c>
      <c r="E20" s="5">
        <v>1983300</v>
      </c>
      <c r="F20" s="5">
        <f t="shared" si="0"/>
        <v>633558600</v>
      </c>
    </row>
    <row r="21" spans="1:6" x14ac:dyDescent="0.25">
      <c r="A21" s="3" t="s">
        <v>284</v>
      </c>
      <c r="B21" t="s">
        <v>285</v>
      </c>
      <c r="C21" s="5">
        <v>0</v>
      </c>
      <c r="D21" s="5">
        <v>0</v>
      </c>
      <c r="E21" s="5">
        <v>0</v>
      </c>
      <c r="F21" s="5">
        <f t="shared" si="0"/>
        <v>0</v>
      </c>
    </row>
    <row r="22" spans="1:6" x14ac:dyDescent="0.25">
      <c r="A22" s="3" t="s">
        <v>286</v>
      </c>
      <c r="B22" t="s">
        <v>287</v>
      </c>
      <c r="C22" s="5">
        <v>0</v>
      </c>
      <c r="D22" s="5">
        <v>2000000</v>
      </c>
      <c r="E22" s="5">
        <v>0</v>
      </c>
      <c r="F22" s="5">
        <f t="shared" si="0"/>
        <v>2000000</v>
      </c>
    </row>
    <row r="23" spans="1:6" x14ac:dyDescent="0.25">
      <c r="A23" s="3" t="s">
        <v>288</v>
      </c>
      <c r="B23" t="s">
        <v>289</v>
      </c>
      <c r="C23" s="5">
        <v>0</v>
      </c>
      <c r="D23" s="5">
        <v>3526534.88</v>
      </c>
      <c r="E23" s="5">
        <v>0</v>
      </c>
      <c r="F23" s="5">
        <f t="shared" si="0"/>
        <v>3526534.88</v>
      </c>
    </row>
    <row r="24" spans="1:6" x14ac:dyDescent="0.25">
      <c r="A24" s="3" t="s">
        <v>290</v>
      </c>
      <c r="B24" t="s">
        <v>291</v>
      </c>
      <c r="C24" s="5">
        <v>0</v>
      </c>
      <c r="D24" s="5">
        <v>4545000</v>
      </c>
      <c r="E24" s="5">
        <v>0</v>
      </c>
      <c r="F24" s="5">
        <f t="shared" si="0"/>
        <v>4545000</v>
      </c>
    </row>
    <row r="25" spans="1:6" x14ac:dyDescent="0.25">
      <c r="A25" s="3" t="s">
        <v>294</v>
      </c>
      <c r="B25" t="s">
        <v>295</v>
      </c>
      <c r="C25" s="5">
        <v>0</v>
      </c>
      <c r="D25" s="5">
        <v>0</v>
      </c>
      <c r="E25" s="5">
        <v>0</v>
      </c>
      <c r="F25" s="5">
        <f t="shared" si="0"/>
        <v>0</v>
      </c>
    </row>
    <row r="26" spans="1:6" x14ac:dyDescent="0.25">
      <c r="A26" s="3" t="s">
        <v>361</v>
      </c>
      <c r="B26" t="s">
        <v>362</v>
      </c>
      <c r="C26" s="5">
        <v>0</v>
      </c>
      <c r="D26" s="5">
        <v>8700</v>
      </c>
      <c r="E26" s="5">
        <v>0</v>
      </c>
      <c r="F26" s="5">
        <f t="shared" si="0"/>
        <v>8700</v>
      </c>
    </row>
    <row r="27" spans="1:6" x14ac:dyDescent="0.25">
      <c r="A27" s="3" t="s">
        <v>387</v>
      </c>
      <c r="B27" t="s">
        <v>388</v>
      </c>
      <c r="C27" s="5">
        <v>0</v>
      </c>
      <c r="D27" s="5">
        <v>0</v>
      </c>
      <c r="E27" s="5">
        <v>0</v>
      </c>
      <c r="F27" s="5">
        <f t="shared" si="0"/>
        <v>0</v>
      </c>
    </row>
    <row r="28" spans="1:6" x14ac:dyDescent="0.25">
      <c r="A28" s="3" t="s">
        <v>413</v>
      </c>
      <c r="B28" t="s">
        <v>414</v>
      </c>
      <c r="C28" s="5">
        <v>0</v>
      </c>
      <c r="D28" s="5">
        <v>0</v>
      </c>
      <c r="E28" s="5">
        <v>0</v>
      </c>
      <c r="F28" s="5">
        <f t="shared" si="0"/>
        <v>0</v>
      </c>
    </row>
    <row r="29" spans="1:6" x14ac:dyDescent="0.25">
      <c r="A29" s="3" t="s">
        <v>495</v>
      </c>
      <c r="B29" t="s">
        <v>496</v>
      </c>
      <c r="C29" s="5">
        <v>0</v>
      </c>
      <c r="D29" s="5">
        <v>0</v>
      </c>
      <c r="E29" s="5">
        <v>0</v>
      </c>
      <c r="F29" s="5">
        <f t="shared" si="0"/>
        <v>0</v>
      </c>
    </row>
    <row r="30" spans="1:6" x14ac:dyDescent="0.25">
      <c r="A30" s="3" t="s">
        <v>505</v>
      </c>
      <c r="B30" t="s">
        <v>506</v>
      </c>
      <c r="C30" s="5">
        <v>0</v>
      </c>
      <c r="D30" s="5">
        <v>0</v>
      </c>
      <c r="E30" s="5">
        <v>0</v>
      </c>
      <c r="F30" s="5">
        <f t="shared" si="0"/>
        <v>0</v>
      </c>
    </row>
    <row r="31" spans="1:6" x14ac:dyDescent="0.25">
      <c r="A31" s="3" t="s">
        <v>523</v>
      </c>
      <c r="B31" t="s">
        <v>524</v>
      </c>
      <c r="C31" s="5">
        <v>0</v>
      </c>
      <c r="D31" s="5">
        <v>0</v>
      </c>
      <c r="E31" s="5">
        <v>318520040.47000003</v>
      </c>
      <c r="F31" s="5">
        <f t="shared" si="0"/>
        <v>-318520040.47000003</v>
      </c>
    </row>
    <row r="32" spans="1:6" x14ac:dyDescent="0.25">
      <c r="A32" s="3" t="s">
        <v>555</v>
      </c>
      <c r="B32" t="s">
        <v>556</v>
      </c>
      <c r="C32" s="5">
        <v>0</v>
      </c>
      <c r="D32" s="5">
        <v>0</v>
      </c>
      <c r="E32" s="5">
        <v>0</v>
      </c>
      <c r="F32" s="5">
        <f t="shared" si="0"/>
        <v>0</v>
      </c>
    </row>
    <row r="33" spans="1:6" x14ac:dyDescent="0.25">
      <c r="A33" s="3" t="s">
        <v>557</v>
      </c>
      <c r="B33" t="s">
        <v>558</v>
      </c>
      <c r="C33" s="5">
        <v>0</v>
      </c>
      <c r="D33" s="5">
        <v>0</v>
      </c>
      <c r="E33" s="5">
        <v>0</v>
      </c>
      <c r="F33" s="5">
        <f t="shared" si="0"/>
        <v>0</v>
      </c>
    </row>
    <row r="34" spans="1:6" x14ac:dyDescent="0.25">
      <c r="A34" s="3" t="s">
        <v>567</v>
      </c>
      <c r="B34" t="s">
        <v>568</v>
      </c>
      <c r="C34" s="5">
        <v>0</v>
      </c>
      <c r="D34" s="5">
        <v>0</v>
      </c>
      <c r="E34" s="5">
        <v>0</v>
      </c>
      <c r="F34" s="5">
        <f t="shared" si="0"/>
        <v>0</v>
      </c>
    </row>
    <row r="35" spans="1:6" x14ac:dyDescent="0.25">
      <c r="A35" s="3" t="s">
        <v>592</v>
      </c>
      <c r="B35" t="s">
        <v>593</v>
      </c>
      <c r="C35" s="5">
        <v>0</v>
      </c>
      <c r="D35" s="5">
        <v>87600000</v>
      </c>
      <c r="E35" s="5">
        <v>87600000</v>
      </c>
      <c r="F35" s="5">
        <f t="shared" si="0"/>
        <v>0</v>
      </c>
    </row>
    <row r="36" spans="1:6" x14ac:dyDescent="0.25">
      <c r="A36" s="3" t="s">
        <v>596</v>
      </c>
      <c r="B36" t="s">
        <v>597</v>
      </c>
      <c r="C36" s="5">
        <v>0</v>
      </c>
      <c r="D36" s="5">
        <v>115241875</v>
      </c>
      <c r="E36" s="5">
        <v>18984247.5</v>
      </c>
      <c r="F36" s="5">
        <f t="shared" si="0"/>
        <v>96257627.5</v>
      </c>
    </row>
    <row r="37" spans="1:6" x14ac:dyDescent="0.25">
      <c r="A37" s="3" t="s">
        <v>598</v>
      </c>
      <c r="B37" t="s">
        <v>599</v>
      </c>
      <c r="C37" s="5">
        <v>0</v>
      </c>
      <c r="D37" s="5">
        <v>66324840</v>
      </c>
      <c r="E37" s="5">
        <v>8982632.5</v>
      </c>
      <c r="F37" s="5">
        <f t="shared" si="0"/>
        <v>57342207.5</v>
      </c>
    </row>
    <row r="38" spans="1:6" x14ac:dyDescent="0.25">
      <c r="A38" s="3" t="s">
        <v>600</v>
      </c>
      <c r="B38" t="s">
        <v>601</v>
      </c>
      <c r="C38" s="5">
        <v>0</v>
      </c>
      <c r="D38" s="5">
        <v>27100000</v>
      </c>
      <c r="E38" s="5">
        <v>0</v>
      </c>
      <c r="F38" s="5">
        <f t="shared" si="0"/>
        <v>27100000</v>
      </c>
    </row>
    <row r="39" spans="1:6" x14ac:dyDescent="0.25">
      <c r="A39" s="3" t="s">
        <v>602</v>
      </c>
      <c r="B39" t="s">
        <v>603</v>
      </c>
      <c r="C39" s="5">
        <v>0</v>
      </c>
      <c r="D39" s="5">
        <v>0</v>
      </c>
      <c r="E39" s="5">
        <v>0</v>
      </c>
      <c r="F39" s="5">
        <f t="shared" si="0"/>
        <v>0</v>
      </c>
    </row>
    <row r="40" spans="1:6" x14ac:dyDescent="0.25">
      <c r="A40" s="3" t="s">
        <v>604</v>
      </c>
      <c r="B40" t="s">
        <v>605</v>
      </c>
      <c r="C40" s="5">
        <v>0</v>
      </c>
      <c r="D40" s="5">
        <v>0</v>
      </c>
      <c r="E40" s="5">
        <v>0</v>
      </c>
      <c r="F40" s="5">
        <f t="shared" si="0"/>
        <v>0</v>
      </c>
    </row>
    <row r="41" spans="1:6" x14ac:dyDescent="0.25">
      <c r="A41" s="3" t="s">
        <v>606</v>
      </c>
      <c r="B41" t="s">
        <v>607</v>
      </c>
      <c r="C41" s="5">
        <v>0</v>
      </c>
      <c r="D41" s="5">
        <v>1800000</v>
      </c>
      <c r="E41" s="5">
        <v>0</v>
      </c>
      <c r="F41" s="5">
        <f t="shared" si="0"/>
        <v>1800000</v>
      </c>
    </row>
    <row r="42" spans="1:6" x14ac:dyDescent="0.25">
      <c r="A42" s="3" t="s">
        <v>608</v>
      </c>
      <c r="B42" t="s">
        <v>609</v>
      </c>
      <c r="C42" s="5">
        <v>0</v>
      </c>
      <c r="D42" s="5">
        <v>0</v>
      </c>
      <c r="E42" s="5">
        <v>0</v>
      </c>
      <c r="F42" s="5">
        <f t="shared" si="0"/>
        <v>0</v>
      </c>
    </row>
    <row r="43" spans="1:6" x14ac:dyDescent="0.25">
      <c r="A43" s="3" t="s">
        <v>620</v>
      </c>
      <c r="B43" t="s">
        <v>621</v>
      </c>
      <c r="C43" s="5">
        <v>0</v>
      </c>
      <c r="D43" s="5">
        <v>0</v>
      </c>
      <c r="E43" s="5">
        <v>0</v>
      </c>
      <c r="F43" s="5">
        <f t="shared" si="0"/>
        <v>0</v>
      </c>
    </row>
    <row r="44" spans="1:6" x14ac:dyDescent="0.25">
      <c r="A44" s="3" t="s">
        <v>626</v>
      </c>
      <c r="B44" t="s">
        <v>627</v>
      </c>
      <c r="C44" s="5">
        <v>0</v>
      </c>
      <c r="D44" s="5">
        <v>300000</v>
      </c>
      <c r="E44" s="5">
        <v>150000</v>
      </c>
      <c r="F44" s="5">
        <f t="shared" si="0"/>
        <v>150000</v>
      </c>
    </row>
    <row r="45" spans="1:6" x14ac:dyDescent="0.25">
      <c r="A45" s="3" t="s">
        <v>634</v>
      </c>
      <c r="B45" t="s">
        <v>635</v>
      </c>
      <c r="C45" s="5">
        <v>0</v>
      </c>
      <c r="D45" s="5">
        <v>0</v>
      </c>
      <c r="E45" s="5">
        <v>0</v>
      </c>
      <c r="F45" s="5">
        <f t="shared" si="0"/>
        <v>0</v>
      </c>
    </row>
    <row r="46" spans="1:6" x14ac:dyDescent="0.25">
      <c r="A46" s="3" t="s">
        <v>954</v>
      </c>
      <c r="B46" t="s">
        <v>955</v>
      </c>
      <c r="C46" s="5">
        <v>0</v>
      </c>
      <c r="D46" s="5">
        <v>0</v>
      </c>
      <c r="E46" s="5">
        <v>0</v>
      </c>
      <c r="F46" s="5">
        <f t="shared" si="0"/>
        <v>0</v>
      </c>
    </row>
    <row r="47" spans="1:6" x14ac:dyDescent="0.25">
      <c r="A47" s="3" t="s">
        <v>636</v>
      </c>
      <c r="B47" t="s">
        <v>637</v>
      </c>
      <c r="C47" s="5">
        <v>0</v>
      </c>
      <c r="D47" s="5">
        <v>0</v>
      </c>
      <c r="E47" s="5">
        <v>0</v>
      </c>
      <c r="F47" s="5">
        <f t="shared" si="0"/>
        <v>0</v>
      </c>
    </row>
    <row r="48" spans="1:6" x14ac:dyDescent="0.25">
      <c r="A48" s="3" t="s">
        <v>658</v>
      </c>
      <c r="B48" t="s">
        <v>659</v>
      </c>
      <c r="C48" s="5">
        <v>0</v>
      </c>
      <c r="D48" s="5">
        <v>68700</v>
      </c>
      <c r="E48" s="5">
        <v>0</v>
      </c>
      <c r="F48" s="5">
        <f t="shared" si="0"/>
        <v>68700</v>
      </c>
    </row>
    <row r="49" spans="1:6" x14ac:dyDescent="0.25">
      <c r="A49" s="3" t="s">
        <v>664</v>
      </c>
      <c r="B49" t="s">
        <v>665</v>
      </c>
      <c r="C49" s="5">
        <v>0</v>
      </c>
      <c r="D49" s="5">
        <v>0</v>
      </c>
      <c r="E49" s="5">
        <v>0</v>
      </c>
      <c r="F49" s="5">
        <f t="shared" si="0"/>
        <v>0</v>
      </c>
    </row>
    <row r="50" spans="1:6" x14ac:dyDescent="0.25">
      <c r="A50" s="3" t="s">
        <v>668</v>
      </c>
      <c r="B50" t="s">
        <v>669</v>
      </c>
      <c r="C50" s="5">
        <v>0</v>
      </c>
      <c r="D50" s="5">
        <v>0</v>
      </c>
      <c r="E50" s="5">
        <v>0</v>
      </c>
      <c r="F50" s="5">
        <f t="shared" si="0"/>
        <v>0</v>
      </c>
    </row>
    <row r="51" spans="1:6" x14ac:dyDescent="0.25">
      <c r="A51" s="3" t="s">
        <v>674</v>
      </c>
      <c r="B51" t="s">
        <v>675</v>
      </c>
      <c r="C51" s="5">
        <v>0</v>
      </c>
      <c r="D51" s="5">
        <v>0</v>
      </c>
      <c r="E51" s="5">
        <v>0</v>
      </c>
      <c r="F51" s="5">
        <f t="shared" si="0"/>
        <v>0</v>
      </c>
    </row>
    <row r="52" spans="1:6" x14ac:dyDescent="0.25">
      <c r="A52" s="3" t="s">
        <v>680</v>
      </c>
      <c r="B52" t="s">
        <v>681</v>
      </c>
      <c r="C52" s="5">
        <v>0</v>
      </c>
      <c r="D52" s="5">
        <v>34140868.100000001</v>
      </c>
      <c r="E52" s="5">
        <v>0</v>
      </c>
      <c r="F52" s="5">
        <f t="shared" si="0"/>
        <v>34140868.100000001</v>
      </c>
    </row>
    <row r="53" spans="1:6" x14ac:dyDescent="0.25">
      <c r="A53" s="3" t="s">
        <v>688</v>
      </c>
      <c r="B53" t="s">
        <v>689</v>
      </c>
      <c r="C53" s="5">
        <v>0</v>
      </c>
      <c r="D53" s="5">
        <v>0</v>
      </c>
      <c r="E53" s="5">
        <v>0</v>
      </c>
      <c r="F53" s="5">
        <f t="shared" si="0"/>
        <v>0</v>
      </c>
    </row>
    <row r="54" spans="1:6" x14ac:dyDescent="0.25">
      <c r="A54" s="3" t="s">
        <v>692</v>
      </c>
      <c r="B54" t="s">
        <v>693</v>
      </c>
      <c r="C54" s="5">
        <v>0</v>
      </c>
      <c r="D54" s="5">
        <v>5643026</v>
      </c>
      <c r="E54" s="5">
        <v>0</v>
      </c>
      <c r="F54" s="5">
        <f t="shared" si="0"/>
        <v>5643026</v>
      </c>
    </row>
    <row r="55" spans="1:6" x14ac:dyDescent="0.25">
      <c r="A55" s="3" t="s">
        <v>702</v>
      </c>
      <c r="B55" t="s">
        <v>703</v>
      </c>
      <c r="C55" s="5">
        <v>0</v>
      </c>
      <c r="D55" s="5">
        <v>0</v>
      </c>
      <c r="E55" s="5">
        <v>0</v>
      </c>
      <c r="F55" s="5">
        <f t="shared" si="0"/>
        <v>0</v>
      </c>
    </row>
    <row r="56" spans="1:6" x14ac:dyDescent="0.25">
      <c r="A56" s="3" t="s">
        <v>705</v>
      </c>
      <c r="B56" t="s">
        <v>706</v>
      </c>
      <c r="C56" s="5">
        <v>0</v>
      </c>
      <c r="D56" s="5">
        <v>0</v>
      </c>
      <c r="E56" s="5">
        <v>0</v>
      </c>
      <c r="F56" s="5">
        <f t="shared" si="0"/>
        <v>0</v>
      </c>
    </row>
    <row r="57" spans="1:6" x14ac:dyDescent="0.25">
      <c r="A57" s="3" t="s">
        <v>707</v>
      </c>
      <c r="B57" t="s">
        <v>708</v>
      </c>
      <c r="C57" s="5">
        <v>0</v>
      </c>
      <c r="D57" s="5">
        <v>31172707.079999998</v>
      </c>
      <c r="E57" s="5">
        <v>0</v>
      </c>
      <c r="F57" s="5">
        <f t="shared" si="0"/>
        <v>31172707.079999998</v>
      </c>
    </row>
    <row r="58" spans="1:6" x14ac:dyDescent="0.25">
      <c r="A58" s="3" t="s">
        <v>719</v>
      </c>
      <c r="B58" t="s">
        <v>720</v>
      </c>
      <c r="C58" s="5">
        <v>0</v>
      </c>
      <c r="D58" s="5">
        <v>0</v>
      </c>
      <c r="E58" s="5">
        <v>0</v>
      </c>
      <c r="F58" s="5">
        <f t="shared" si="0"/>
        <v>0</v>
      </c>
    </row>
    <row r="59" spans="1:6" x14ac:dyDescent="0.25">
      <c r="A59" s="3" t="s">
        <v>748</v>
      </c>
      <c r="B59" t="s">
        <v>749</v>
      </c>
      <c r="C59" s="5">
        <v>0</v>
      </c>
      <c r="D59" s="5">
        <v>0</v>
      </c>
      <c r="E59" s="5">
        <v>0</v>
      </c>
      <c r="F59" s="5">
        <f t="shared" si="0"/>
        <v>0</v>
      </c>
    </row>
    <row r="60" spans="1:6" x14ac:dyDescent="0.25">
      <c r="A60" s="3" t="s">
        <v>766</v>
      </c>
      <c r="B60" t="s">
        <v>767</v>
      </c>
      <c r="C60" s="5">
        <v>0</v>
      </c>
      <c r="D60" s="5">
        <v>252518.04</v>
      </c>
      <c r="E60" s="5">
        <v>0</v>
      </c>
      <c r="F60" s="5">
        <f t="shared" si="0"/>
        <v>252518.04</v>
      </c>
    </row>
    <row r="61" spans="1:6" x14ac:dyDescent="0.25">
      <c r="A61" s="3" t="s">
        <v>776</v>
      </c>
      <c r="B61" t="s">
        <v>777</v>
      </c>
      <c r="C61" s="5">
        <v>0</v>
      </c>
      <c r="D61" s="5">
        <v>0</v>
      </c>
      <c r="E61" s="5">
        <v>0</v>
      </c>
      <c r="F61" s="5">
        <f t="shared" si="0"/>
        <v>0</v>
      </c>
    </row>
    <row r="62" spans="1:6" x14ac:dyDescent="0.25">
      <c r="A62" s="3" t="s">
        <v>782</v>
      </c>
      <c r="B62" t="s">
        <v>783</v>
      </c>
      <c r="C62" s="5">
        <v>0</v>
      </c>
      <c r="D62" s="5">
        <v>0</v>
      </c>
      <c r="E62" s="5">
        <v>0</v>
      </c>
      <c r="F62" s="5">
        <f t="shared" si="0"/>
        <v>0</v>
      </c>
    </row>
    <row r="63" spans="1:6" x14ac:dyDescent="0.25">
      <c r="A63" s="3" t="s">
        <v>804</v>
      </c>
      <c r="B63" t="s">
        <v>805</v>
      </c>
      <c r="C63" s="5">
        <v>0</v>
      </c>
      <c r="D63" s="5">
        <v>0</v>
      </c>
      <c r="E63" s="5">
        <v>0</v>
      </c>
      <c r="F63" s="5">
        <f t="shared" si="0"/>
        <v>0</v>
      </c>
    </row>
    <row r="64" spans="1:6" x14ac:dyDescent="0.25">
      <c r="A64" s="3" t="s">
        <v>980</v>
      </c>
      <c r="B64" t="s">
        <v>981</v>
      </c>
      <c r="C64" s="5">
        <v>0</v>
      </c>
      <c r="D64" s="5">
        <v>0</v>
      </c>
      <c r="E64" s="5">
        <v>0</v>
      </c>
      <c r="F64" s="5">
        <f t="shared" si="0"/>
        <v>0</v>
      </c>
    </row>
    <row r="65" spans="1:6" x14ac:dyDescent="0.25">
      <c r="A65" s="3" t="s">
        <v>823</v>
      </c>
      <c r="B65" t="s">
        <v>824</v>
      </c>
      <c r="C65" s="5">
        <v>0</v>
      </c>
      <c r="D65" s="5">
        <v>0</v>
      </c>
      <c r="E65" s="5">
        <v>0</v>
      </c>
      <c r="F65" s="5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B35A-FF81-487D-9DE4-76DCC8589605}">
  <dimension ref="A1:F497"/>
  <sheetViews>
    <sheetView tabSelected="1" workbookViewId="0">
      <pane ySplit="2" topLeftCell="A14" activePane="bottomLeft" state="frozen"/>
      <selection pane="bottomLeft" activeCell="C29" sqref="C29"/>
    </sheetView>
  </sheetViews>
  <sheetFormatPr baseColWidth="10" defaultRowHeight="15" x14ac:dyDescent="0.25"/>
  <cols>
    <col min="1" max="1" width="24.7109375" customWidth="1"/>
    <col min="2" max="2" width="33" customWidth="1"/>
    <col min="3" max="3" width="17" customWidth="1"/>
    <col min="4" max="4" width="14.7109375" customWidth="1"/>
    <col min="5" max="5" width="14" customWidth="1"/>
    <col min="6" max="6" width="13.7109375" bestFit="1" customWidth="1"/>
  </cols>
  <sheetData>
    <row r="1" spans="1:6" ht="21.95" customHeight="1" x14ac:dyDescent="0.25">
      <c r="A1" s="26" t="s">
        <v>983</v>
      </c>
      <c r="B1" s="26"/>
      <c r="C1" s="26"/>
      <c r="D1" s="26"/>
      <c r="E1" s="26"/>
    </row>
    <row r="2" spans="1:6" ht="18" customHeight="1" thickBot="1" x14ac:dyDescent="0.3">
      <c r="A2" s="13" t="s">
        <v>984</v>
      </c>
      <c r="B2" s="13" t="s">
        <v>1</v>
      </c>
      <c r="C2" s="13" t="s">
        <v>985</v>
      </c>
      <c r="D2" s="13" t="s">
        <v>986</v>
      </c>
      <c r="E2" s="13" t="s">
        <v>987</v>
      </c>
    </row>
    <row r="3" spans="1:6" ht="15" customHeight="1" thickTop="1" x14ac:dyDescent="0.25">
      <c r="A3" s="14" t="s">
        <v>6</v>
      </c>
      <c r="B3" s="14" t="s">
        <v>7</v>
      </c>
      <c r="C3" s="15">
        <v>1247776331.3699999</v>
      </c>
      <c r="D3" s="15">
        <v>-309351794.57000202</v>
      </c>
      <c r="E3" s="15">
        <v>-624287035.16999996</v>
      </c>
      <c r="F3" s="8">
        <f>+C3+D3+E3</f>
        <v>314137501.62999785</v>
      </c>
    </row>
    <row r="4" spans="1:6" ht="15" customHeight="1" x14ac:dyDescent="0.25">
      <c r="A4" s="11" t="s">
        <v>8</v>
      </c>
      <c r="B4" s="11" t="s">
        <v>9</v>
      </c>
      <c r="C4" s="12">
        <v>-1081610781.95</v>
      </c>
      <c r="D4" s="12">
        <v>3300000</v>
      </c>
      <c r="E4" s="12">
        <v>-32000000</v>
      </c>
      <c r="F4" s="8">
        <f>+C4+D4+E4</f>
        <v>-1110310781.95</v>
      </c>
    </row>
    <row r="5" spans="1:6" ht="15" customHeight="1" x14ac:dyDescent="0.25">
      <c r="A5" s="9" t="s">
        <v>10</v>
      </c>
      <c r="B5" s="9" t="s">
        <v>11</v>
      </c>
      <c r="C5" s="10">
        <v>302749309.50999999</v>
      </c>
      <c r="D5" s="10">
        <v>41770960.030000001</v>
      </c>
      <c r="E5" s="10"/>
    </row>
    <row r="6" spans="1:6" ht="15" customHeight="1" x14ac:dyDescent="0.25">
      <c r="A6" s="11" t="s">
        <v>827</v>
      </c>
      <c r="B6" s="11" t="s">
        <v>828</v>
      </c>
      <c r="C6" s="12"/>
      <c r="D6" s="12">
        <v>-120737921.59999999</v>
      </c>
      <c r="E6" s="12"/>
    </row>
    <row r="7" spans="1:6" ht="15" customHeight="1" x14ac:dyDescent="0.25">
      <c r="A7" s="9" t="s">
        <v>829</v>
      </c>
      <c r="B7" s="9" t="s">
        <v>830</v>
      </c>
      <c r="C7" s="10"/>
      <c r="D7" s="10"/>
      <c r="E7" s="10">
        <v>1000000</v>
      </c>
    </row>
    <row r="8" spans="1:6" ht="15" customHeight="1" x14ac:dyDescent="0.25">
      <c r="A8" s="11" t="s">
        <v>12</v>
      </c>
      <c r="B8" s="11" t="s">
        <v>13</v>
      </c>
      <c r="C8" s="12">
        <v>4887812</v>
      </c>
      <c r="D8" s="12"/>
      <c r="E8" s="12"/>
    </row>
    <row r="9" spans="1:6" ht="15" customHeight="1" x14ac:dyDescent="0.25">
      <c r="A9" s="9" t="s">
        <v>14</v>
      </c>
      <c r="B9" s="9" t="s">
        <v>15</v>
      </c>
      <c r="C9" s="10">
        <v>249159750.80000001</v>
      </c>
      <c r="D9" s="10">
        <v>43402.5</v>
      </c>
      <c r="E9" s="10"/>
    </row>
    <row r="10" spans="1:6" ht="15" customHeight="1" x14ac:dyDescent="0.25">
      <c r="A10" s="11" t="s">
        <v>16</v>
      </c>
      <c r="B10" s="11" t="s">
        <v>17</v>
      </c>
      <c r="C10" s="12">
        <v>313147.28000000003</v>
      </c>
      <c r="D10" s="12">
        <v>96833.26</v>
      </c>
      <c r="E10" s="12"/>
    </row>
    <row r="11" spans="1:6" ht="15" customHeight="1" x14ac:dyDescent="0.25">
      <c r="A11" s="9" t="s">
        <v>18</v>
      </c>
      <c r="B11" s="9" t="s">
        <v>19</v>
      </c>
      <c r="C11" s="10">
        <v>-174661178.78999999</v>
      </c>
      <c r="D11" s="10">
        <v>4963521.3</v>
      </c>
      <c r="E11" s="10"/>
    </row>
    <row r="12" spans="1:6" ht="15" customHeight="1" x14ac:dyDescent="0.25">
      <c r="A12" s="11" t="s">
        <v>20</v>
      </c>
      <c r="B12" s="11" t="s">
        <v>21</v>
      </c>
      <c r="C12" s="12">
        <v>957142.25</v>
      </c>
      <c r="D12" s="12"/>
      <c r="E12" s="12"/>
    </row>
    <row r="13" spans="1:6" ht="15" customHeight="1" x14ac:dyDescent="0.25">
      <c r="A13" s="9" t="s">
        <v>22</v>
      </c>
      <c r="B13" s="9" t="s">
        <v>23</v>
      </c>
      <c r="C13" s="10">
        <v>279338118.06</v>
      </c>
      <c r="D13" s="10">
        <v>157552209.25</v>
      </c>
      <c r="E13" s="10"/>
    </row>
    <row r="14" spans="1:6" ht="15" customHeight="1" x14ac:dyDescent="0.25">
      <c r="A14" s="11" t="s">
        <v>24</v>
      </c>
      <c r="B14" s="11" t="s">
        <v>25</v>
      </c>
      <c r="C14" s="12">
        <v>64063033.100000001</v>
      </c>
      <c r="D14" s="12">
        <v>-236233715.62</v>
      </c>
      <c r="E14" s="12"/>
    </row>
    <row r="15" spans="1:6" ht="15" customHeight="1" x14ac:dyDescent="0.25">
      <c r="A15" s="9" t="s">
        <v>831</v>
      </c>
      <c r="B15" s="9" t="s">
        <v>832</v>
      </c>
      <c r="C15" s="10"/>
      <c r="D15" s="10">
        <v>0</v>
      </c>
      <c r="E15" s="10"/>
    </row>
    <row r="16" spans="1:6" ht="15" customHeight="1" x14ac:dyDescent="0.25">
      <c r="A16" s="11" t="s">
        <v>26</v>
      </c>
      <c r="B16" s="11" t="s">
        <v>27</v>
      </c>
      <c r="C16" s="12">
        <v>0</v>
      </c>
      <c r="D16" s="12"/>
      <c r="E16" s="12"/>
    </row>
    <row r="17" spans="1:5" ht="15" customHeight="1" x14ac:dyDescent="0.25">
      <c r="A17" s="9" t="s">
        <v>28</v>
      </c>
      <c r="B17" s="9" t="s">
        <v>29</v>
      </c>
      <c r="C17" s="10">
        <v>0</v>
      </c>
      <c r="D17" s="10">
        <v>0</v>
      </c>
      <c r="E17" s="10"/>
    </row>
    <row r="18" spans="1:5" ht="15" customHeight="1" x14ac:dyDescent="0.25">
      <c r="A18" s="11" t="s">
        <v>30</v>
      </c>
      <c r="B18" s="11" t="s">
        <v>31</v>
      </c>
      <c r="C18" s="12">
        <v>40507847.479999997</v>
      </c>
      <c r="D18" s="12"/>
      <c r="E18" s="12"/>
    </row>
    <row r="19" spans="1:5" ht="15" customHeight="1" x14ac:dyDescent="0.25">
      <c r="A19" s="9" t="s">
        <v>32</v>
      </c>
      <c r="B19" s="9" t="s">
        <v>33</v>
      </c>
      <c r="C19" s="10">
        <v>1122.81</v>
      </c>
      <c r="D19" s="10"/>
      <c r="E19" s="10"/>
    </row>
    <row r="20" spans="1:5" ht="15" customHeight="1" x14ac:dyDescent="0.25">
      <c r="A20" s="11" t="s">
        <v>34</v>
      </c>
      <c r="B20" s="11" t="s">
        <v>35</v>
      </c>
      <c r="C20" s="12">
        <v>179232895.90000001</v>
      </c>
      <c r="D20" s="12"/>
      <c r="E20" s="12"/>
    </row>
    <row r="21" spans="1:5" ht="15" customHeight="1" x14ac:dyDescent="0.25">
      <c r="A21" s="9" t="s">
        <v>36</v>
      </c>
      <c r="B21" s="9" t="s">
        <v>37</v>
      </c>
      <c r="C21" s="10">
        <v>542983.56000000006</v>
      </c>
      <c r="D21" s="10"/>
      <c r="E21" s="10"/>
    </row>
    <row r="22" spans="1:5" ht="15" customHeight="1" x14ac:dyDescent="0.25">
      <c r="A22" s="11" t="s">
        <v>38</v>
      </c>
      <c r="B22" s="11" t="s">
        <v>39</v>
      </c>
      <c r="C22" s="12">
        <v>240361.9</v>
      </c>
      <c r="D22" s="12"/>
      <c r="E22" s="12"/>
    </row>
    <row r="23" spans="1:5" ht="15" customHeight="1" x14ac:dyDescent="0.25">
      <c r="A23" s="9" t="s">
        <v>833</v>
      </c>
      <c r="B23" s="9" t="s">
        <v>834</v>
      </c>
      <c r="C23" s="10"/>
      <c r="D23" s="10">
        <v>-77317596.739999995</v>
      </c>
      <c r="E23" s="10"/>
    </row>
    <row r="24" spans="1:5" ht="15" customHeight="1" x14ac:dyDescent="0.25">
      <c r="A24" s="11" t="s">
        <v>40</v>
      </c>
      <c r="B24" s="11" t="s">
        <v>41</v>
      </c>
      <c r="C24" s="12">
        <v>0</v>
      </c>
      <c r="D24" s="12"/>
      <c r="E24" s="12"/>
    </row>
    <row r="25" spans="1:5" ht="15" customHeight="1" x14ac:dyDescent="0.25">
      <c r="A25" s="9" t="s">
        <v>835</v>
      </c>
      <c r="B25" s="9" t="s">
        <v>836</v>
      </c>
      <c r="C25" s="10"/>
      <c r="D25" s="10">
        <v>115971211.65000001</v>
      </c>
      <c r="E25" s="10"/>
    </row>
    <row r="26" spans="1:5" ht="15" customHeight="1" x14ac:dyDescent="0.25">
      <c r="A26" s="11" t="s">
        <v>837</v>
      </c>
      <c r="B26" s="11" t="s">
        <v>838</v>
      </c>
      <c r="C26" s="12"/>
      <c r="D26" s="12">
        <v>20391.22</v>
      </c>
      <c r="E26" s="12"/>
    </row>
    <row r="27" spans="1:5" ht="15" customHeight="1" x14ac:dyDescent="0.25">
      <c r="A27" s="9" t="s">
        <v>839</v>
      </c>
      <c r="B27" s="9" t="s">
        <v>840</v>
      </c>
      <c r="C27" s="10"/>
      <c r="D27" s="10">
        <v>-25046.61</v>
      </c>
      <c r="E27" s="10"/>
    </row>
    <row r="28" spans="1:5" ht="15" customHeight="1" x14ac:dyDescent="0.25">
      <c r="A28" s="11" t="s">
        <v>42</v>
      </c>
      <c r="B28" s="11" t="s">
        <v>43</v>
      </c>
      <c r="C28" s="12">
        <v>2427597.4500000002</v>
      </c>
      <c r="D28" s="12"/>
      <c r="E28" s="12"/>
    </row>
    <row r="29" spans="1:5" ht="15" customHeight="1" x14ac:dyDescent="0.25">
      <c r="A29" s="9" t="s">
        <v>44</v>
      </c>
      <c r="B29" s="9" t="s">
        <v>45</v>
      </c>
      <c r="C29" s="28">
        <v>5624432032.25</v>
      </c>
      <c r="D29" s="28">
        <v>2161957552.4200001</v>
      </c>
      <c r="E29" s="10"/>
    </row>
    <row r="30" spans="1:5" ht="15" customHeight="1" x14ac:dyDescent="0.25">
      <c r="A30" s="11" t="s">
        <v>46</v>
      </c>
      <c r="B30" s="11" t="s">
        <v>47</v>
      </c>
      <c r="C30" s="12">
        <v>551155921.08000004</v>
      </c>
      <c r="D30" s="29">
        <v>5007912706.2700005</v>
      </c>
      <c r="E30" s="12"/>
    </row>
    <row r="31" spans="1:5" ht="15" customHeight="1" x14ac:dyDescent="0.25">
      <c r="A31" s="9" t="s">
        <v>48</v>
      </c>
      <c r="B31" s="9" t="s">
        <v>49</v>
      </c>
      <c r="C31" s="10">
        <v>-3343720570.9400001</v>
      </c>
      <c r="D31" s="10">
        <v>2384672.9500000002</v>
      </c>
      <c r="E31" s="10"/>
    </row>
    <row r="32" spans="1:5" ht="15" customHeight="1" x14ac:dyDescent="0.25">
      <c r="A32" s="11" t="s">
        <v>50</v>
      </c>
      <c r="B32" s="11" t="s">
        <v>51</v>
      </c>
      <c r="C32" s="12">
        <v>-200321451.22999999</v>
      </c>
      <c r="D32" s="12">
        <v>-849120.19</v>
      </c>
      <c r="E32" s="12"/>
    </row>
    <row r="33" spans="1:5" ht="15" customHeight="1" x14ac:dyDescent="0.25">
      <c r="A33" s="9" t="s">
        <v>52</v>
      </c>
      <c r="B33" s="9" t="s">
        <v>53</v>
      </c>
      <c r="C33" s="10">
        <v>0</v>
      </c>
      <c r="D33" s="10"/>
      <c r="E33" s="10"/>
    </row>
    <row r="34" spans="1:5" ht="15" customHeight="1" x14ac:dyDescent="0.25">
      <c r="A34" s="11" t="s">
        <v>54</v>
      </c>
      <c r="B34" s="11" t="s">
        <v>55</v>
      </c>
      <c r="C34" s="12">
        <v>-492217769.74000001</v>
      </c>
      <c r="D34" s="12"/>
      <c r="E34" s="12"/>
    </row>
    <row r="35" spans="1:5" ht="15" customHeight="1" x14ac:dyDescent="0.25">
      <c r="A35" s="9" t="s">
        <v>56</v>
      </c>
      <c r="B35" s="9" t="s">
        <v>57</v>
      </c>
      <c r="C35" s="10">
        <v>-364726002.44</v>
      </c>
      <c r="D35" s="10"/>
      <c r="E35" s="10"/>
    </row>
    <row r="36" spans="1:5" ht="15" customHeight="1" x14ac:dyDescent="0.25">
      <c r="A36" s="11" t="s">
        <v>58</v>
      </c>
      <c r="B36" s="11" t="s">
        <v>59</v>
      </c>
      <c r="C36" s="12">
        <v>-19654869.57</v>
      </c>
      <c r="D36" s="12">
        <v>280484.55</v>
      </c>
      <c r="E36" s="12"/>
    </row>
    <row r="37" spans="1:5" ht="15" customHeight="1" x14ac:dyDescent="0.25">
      <c r="A37" s="9" t="s">
        <v>60</v>
      </c>
      <c r="B37" s="9" t="s">
        <v>61</v>
      </c>
      <c r="C37" s="10">
        <v>0</v>
      </c>
      <c r="D37" s="10"/>
      <c r="E37" s="10"/>
    </row>
    <row r="38" spans="1:5" ht="15" customHeight="1" x14ac:dyDescent="0.25">
      <c r="A38" s="11" t="s">
        <v>62</v>
      </c>
      <c r="B38" s="11" t="s">
        <v>63</v>
      </c>
      <c r="C38" s="12">
        <v>18290549.199999999</v>
      </c>
      <c r="D38" s="12">
        <v>-976050505.83000004</v>
      </c>
      <c r="E38" s="12">
        <v>-49000000</v>
      </c>
    </row>
    <row r="39" spans="1:5" ht="15" customHeight="1" x14ac:dyDescent="0.25">
      <c r="A39" s="9" t="s">
        <v>64</v>
      </c>
      <c r="B39" s="9" t="s">
        <v>65</v>
      </c>
      <c r="C39" s="10">
        <v>8729</v>
      </c>
      <c r="D39" s="10"/>
      <c r="E39" s="10"/>
    </row>
    <row r="40" spans="1:5" ht="15" customHeight="1" x14ac:dyDescent="0.25">
      <c r="A40" s="11" t="s">
        <v>66</v>
      </c>
      <c r="B40" s="11" t="s">
        <v>67</v>
      </c>
      <c r="C40" s="12">
        <v>32000000</v>
      </c>
      <c r="D40" s="12">
        <v>332484794.42000002</v>
      </c>
      <c r="E40" s="12"/>
    </row>
    <row r="41" spans="1:5" ht="15" customHeight="1" x14ac:dyDescent="0.25">
      <c r="A41" s="9" t="s">
        <v>68</v>
      </c>
      <c r="B41" s="9" t="s">
        <v>69</v>
      </c>
      <c r="C41" s="10">
        <v>219441995.47999999</v>
      </c>
      <c r="D41" s="10">
        <v>-987719581.37</v>
      </c>
      <c r="E41" s="10"/>
    </row>
    <row r="42" spans="1:5" ht="15" customHeight="1" x14ac:dyDescent="0.25">
      <c r="A42" s="11" t="s">
        <v>70</v>
      </c>
      <c r="B42" s="11" t="s">
        <v>71</v>
      </c>
      <c r="C42" s="12">
        <v>407207020.70999998</v>
      </c>
      <c r="D42" s="12">
        <v>2191061351.6100001</v>
      </c>
      <c r="E42" s="12"/>
    </row>
    <row r="43" spans="1:5" ht="15" customHeight="1" x14ac:dyDescent="0.25">
      <c r="A43" s="9" t="s">
        <v>72</v>
      </c>
      <c r="B43" s="9" t="s">
        <v>73</v>
      </c>
      <c r="C43" s="10">
        <v>0</v>
      </c>
      <c r="D43" s="10">
        <v>0</v>
      </c>
      <c r="E43" s="10"/>
    </row>
    <row r="44" spans="1:5" ht="15" customHeight="1" x14ac:dyDescent="0.25">
      <c r="A44" s="11" t="s">
        <v>74</v>
      </c>
      <c r="B44" s="11" t="s">
        <v>75</v>
      </c>
      <c r="C44" s="12">
        <v>0</v>
      </c>
      <c r="D44" s="12">
        <v>0</v>
      </c>
      <c r="E44" s="12"/>
    </row>
    <row r="45" spans="1:5" ht="15" customHeight="1" x14ac:dyDescent="0.25">
      <c r="A45" s="9" t="s">
        <v>76</v>
      </c>
      <c r="B45" s="9" t="s">
        <v>77</v>
      </c>
      <c r="C45" s="10">
        <v>351002.38</v>
      </c>
      <c r="D45" s="10">
        <v>60796378.960000001</v>
      </c>
      <c r="E45" s="10"/>
    </row>
    <row r="46" spans="1:5" ht="15" customHeight="1" x14ac:dyDescent="0.25">
      <c r="A46" s="11" t="s">
        <v>78</v>
      </c>
      <c r="B46" s="11" t="s">
        <v>79</v>
      </c>
      <c r="C46" s="12">
        <v>0</v>
      </c>
      <c r="D46" s="12">
        <v>0</v>
      </c>
      <c r="E46" s="12"/>
    </row>
    <row r="47" spans="1:5" ht="15" customHeight="1" x14ac:dyDescent="0.25">
      <c r="A47" s="9" t="s">
        <v>80</v>
      </c>
      <c r="B47" s="9" t="s">
        <v>81</v>
      </c>
      <c r="C47" s="10">
        <v>-8244937.1299999999</v>
      </c>
      <c r="D47" s="10">
        <v>7910011.79</v>
      </c>
      <c r="E47" s="10"/>
    </row>
    <row r="48" spans="1:5" ht="15" customHeight="1" x14ac:dyDescent="0.25">
      <c r="A48" s="11" t="s">
        <v>82</v>
      </c>
      <c r="B48" s="11" t="s">
        <v>83</v>
      </c>
      <c r="C48" s="12">
        <v>83107576.780000001</v>
      </c>
      <c r="D48" s="12">
        <v>11766300</v>
      </c>
      <c r="E48" s="12"/>
    </row>
    <row r="49" spans="1:5" ht="15" customHeight="1" x14ac:dyDescent="0.25">
      <c r="A49" s="9" t="s">
        <v>84</v>
      </c>
      <c r="B49" s="9" t="s">
        <v>85</v>
      </c>
      <c r="C49" s="10">
        <v>39347.99</v>
      </c>
      <c r="D49" s="10">
        <v>128686123.48999999</v>
      </c>
      <c r="E49" s="10"/>
    </row>
    <row r="50" spans="1:5" ht="15" customHeight="1" x14ac:dyDescent="0.25">
      <c r="A50" s="11" t="s">
        <v>86</v>
      </c>
      <c r="B50" s="11" t="s">
        <v>87</v>
      </c>
      <c r="C50" s="12">
        <v>718288342.03999996</v>
      </c>
      <c r="D50" s="12">
        <v>411423035.60000002</v>
      </c>
      <c r="E50" s="12"/>
    </row>
    <row r="51" spans="1:5" ht="15" customHeight="1" x14ac:dyDescent="0.25">
      <c r="A51" s="9" t="s">
        <v>88</v>
      </c>
      <c r="B51" s="9" t="s">
        <v>89</v>
      </c>
      <c r="C51" s="10">
        <v>23837288.68</v>
      </c>
      <c r="D51" s="10">
        <v>52181594.219999999</v>
      </c>
      <c r="E51" s="10"/>
    </row>
    <row r="52" spans="1:5" ht="15" customHeight="1" x14ac:dyDescent="0.25">
      <c r="A52" s="11" t="s">
        <v>90</v>
      </c>
      <c r="B52" s="11" t="s">
        <v>91</v>
      </c>
      <c r="C52" s="12">
        <v>841679.24</v>
      </c>
      <c r="D52" s="12">
        <v>0</v>
      </c>
      <c r="E52" s="12"/>
    </row>
    <row r="53" spans="1:5" ht="15" customHeight="1" x14ac:dyDescent="0.25">
      <c r="A53" s="9" t="s">
        <v>92</v>
      </c>
      <c r="B53" s="9" t="s">
        <v>93</v>
      </c>
      <c r="C53" s="10">
        <v>36020291.450000003</v>
      </c>
      <c r="D53" s="10">
        <v>24714909.420000002</v>
      </c>
      <c r="E53" s="10"/>
    </row>
    <row r="54" spans="1:5" ht="15" customHeight="1" x14ac:dyDescent="0.25">
      <c r="A54" s="11" t="s">
        <v>94</v>
      </c>
      <c r="B54" s="11" t="s">
        <v>95</v>
      </c>
      <c r="C54" s="12">
        <v>3516700.59</v>
      </c>
      <c r="D54" s="12"/>
      <c r="E54" s="12"/>
    </row>
    <row r="55" spans="1:5" ht="15" customHeight="1" x14ac:dyDescent="0.25">
      <c r="A55" s="9" t="s">
        <v>96</v>
      </c>
      <c r="B55" s="9" t="s">
        <v>97</v>
      </c>
      <c r="C55" s="10">
        <v>703202122.42999995</v>
      </c>
      <c r="D55" s="10">
        <v>212162432.02000001</v>
      </c>
      <c r="E55" s="10"/>
    </row>
    <row r="56" spans="1:5" ht="15" customHeight="1" x14ac:dyDescent="0.25">
      <c r="A56" s="11" t="s">
        <v>841</v>
      </c>
      <c r="B56" s="11" t="s">
        <v>842</v>
      </c>
      <c r="C56" s="12"/>
      <c r="D56" s="12">
        <v>0.28000000000000003</v>
      </c>
      <c r="E56" s="12"/>
    </row>
    <row r="57" spans="1:5" ht="15" customHeight="1" x14ac:dyDescent="0.25">
      <c r="A57" s="9" t="s">
        <v>98</v>
      </c>
      <c r="B57" s="9" t="s">
        <v>99</v>
      </c>
      <c r="C57" s="10">
        <v>87346950.140000001</v>
      </c>
      <c r="D57" s="10">
        <v>14708817.67</v>
      </c>
      <c r="E57" s="10"/>
    </row>
    <row r="58" spans="1:5" ht="15" customHeight="1" x14ac:dyDescent="0.25">
      <c r="A58" s="11" t="s">
        <v>100</v>
      </c>
      <c r="B58" s="11" t="s">
        <v>101</v>
      </c>
      <c r="C58" s="12">
        <v>0</v>
      </c>
      <c r="D58" s="12"/>
      <c r="E58" s="12"/>
    </row>
    <row r="59" spans="1:5" ht="15" customHeight="1" x14ac:dyDescent="0.25">
      <c r="A59" s="9" t="s">
        <v>102</v>
      </c>
      <c r="B59" s="9" t="s">
        <v>103</v>
      </c>
      <c r="C59" s="10">
        <v>4384801.17</v>
      </c>
      <c r="D59" s="10">
        <v>5768165.7300000004</v>
      </c>
      <c r="E59" s="10"/>
    </row>
    <row r="60" spans="1:5" ht="15" customHeight="1" x14ac:dyDescent="0.25">
      <c r="A60" s="11" t="s">
        <v>104</v>
      </c>
      <c r="B60" s="11" t="s">
        <v>105</v>
      </c>
      <c r="C60" s="12">
        <v>2854346.18</v>
      </c>
      <c r="D60" s="12">
        <v>34003544.109999999</v>
      </c>
      <c r="E60" s="12"/>
    </row>
    <row r="61" spans="1:5" ht="15" customHeight="1" x14ac:dyDescent="0.25">
      <c r="A61" s="9" t="s">
        <v>843</v>
      </c>
      <c r="B61" s="9" t="s">
        <v>844</v>
      </c>
      <c r="C61" s="10"/>
      <c r="D61" s="10">
        <v>656380.9</v>
      </c>
      <c r="E61" s="10"/>
    </row>
    <row r="62" spans="1:5" ht="15" customHeight="1" x14ac:dyDescent="0.25">
      <c r="A62" s="11" t="s">
        <v>106</v>
      </c>
      <c r="B62" s="11" t="s">
        <v>107</v>
      </c>
      <c r="C62" s="12">
        <v>-0.34</v>
      </c>
      <c r="D62" s="12">
        <v>0</v>
      </c>
      <c r="E62" s="12"/>
    </row>
    <row r="63" spans="1:5" ht="15" customHeight="1" x14ac:dyDescent="0.25">
      <c r="A63" s="9" t="s">
        <v>108</v>
      </c>
      <c r="B63" s="9" t="s">
        <v>109</v>
      </c>
      <c r="C63" s="10">
        <v>0.01</v>
      </c>
      <c r="D63" s="10">
        <v>5619368.04</v>
      </c>
      <c r="E63" s="10"/>
    </row>
    <row r="64" spans="1:5" ht="15" customHeight="1" x14ac:dyDescent="0.25">
      <c r="A64" s="11" t="s">
        <v>110</v>
      </c>
      <c r="B64" s="11" t="s">
        <v>111</v>
      </c>
      <c r="C64" s="12">
        <v>60777433.899999999</v>
      </c>
      <c r="D64" s="12">
        <v>35718074.340000004</v>
      </c>
      <c r="E64" s="12"/>
    </row>
    <row r="65" spans="1:5" ht="15" customHeight="1" x14ac:dyDescent="0.25">
      <c r="A65" s="9" t="s">
        <v>112</v>
      </c>
      <c r="B65" s="9" t="s">
        <v>113</v>
      </c>
      <c r="C65" s="10">
        <v>59791.15</v>
      </c>
      <c r="D65" s="10">
        <v>2664996.6800000002</v>
      </c>
      <c r="E65" s="10"/>
    </row>
    <row r="66" spans="1:5" ht="15" customHeight="1" x14ac:dyDescent="0.25">
      <c r="A66" s="11" t="s">
        <v>114</v>
      </c>
      <c r="B66" s="11" t="s">
        <v>115</v>
      </c>
      <c r="C66" s="12">
        <v>394262.82</v>
      </c>
      <c r="D66" s="12">
        <v>5884457.9900000002</v>
      </c>
      <c r="E66" s="12"/>
    </row>
    <row r="67" spans="1:5" ht="15" customHeight="1" x14ac:dyDescent="0.25">
      <c r="A67" s="9" t="s">
        <v>845</v>
      </c>
      <c r="B67" s="9" t="s">
        <v>846</v>
      </c>
      <c r="C67" s="10"/>
      <c r="D67" s="10">
        <v>-4916.84</v>
      </c>
      <c r="E67" s="10"/>
    </row>
    <row r="68" spans="1:5" ht="15" customHeight="1" x14ac:dyDescent="0.25">
      <c r="A68" s="11" t="s">
        <v>116</v>
      </c>
      <c r="B68" s="11" t="s">
        <v>117</v>
      </c>
      <c r="C68" s="12">
        <v>0.14000000000000001</v>
      </c>
      <c r="D68" s="12">
        <v>80329.55</v>
      </c>
      <c r="E68" s="12"/>
    </row>
    <row r="69" spans="1:5" ht="15" customHeight="1" x14ac:dyDescent="0.25">
      <c r="A69" s="9" t="s">
        <v>118</v>
      </c>
      <c r="B69" s="9" t="s">
        <v>119</v>
      </c>
      <c r="C69" s="10">
        <v>-1160099.46</v>
      </c>
      <c r="D69" s="10">
        <v>18429096.710000001</v>
      </c>
      <c r="E69" s="10"/>
    </row>
    <row r="70" spans="1:5" ht="15" customHeight="1" x14ac:dyDescent="0.25">
      <c r="A70" s="11" t="s">
        <v>120</v>
      </c>
      <c r="B70" s="11" t="s">
        <v>121</v>
      </c>
      <c r="C70" s="12">
        <v>50157723.909999996</v>
      </c>
      <c r="D70" s="12">
        <v>15261871.51</v>
      </c>
      <c r="E70" s="12"/>
    </row>
    <row r="71" spans="1:5" ht="15" customHeight="1" x14ac:dyDescent="0.25">
      <c r="A71" s="9" t="s">
        <v>122</v>
      </c>
      <c r="B71" s="9" t="s">
        <v>123</v>
      </c>
      <c r="C71" s="10">
        <v>-2671313.12</v>
      </c>
      <c r="D71" s="10">
        <v>23859454.489999998</v>
      </c>
      <c r="E71" s="10"/>
    </row>
    <row r="72" spans="1:5" ht="15" customHeight="1" x14ac:dyDescent="0.25">
      <c r="A72" s="11" t="s">
        <v>124</v>
      </c>
      <c r="B72" s="11" t="s">
        <v>125</v>
      </c>
      <c r="C72" s="12">
        <v>206869288.83000001</v>
      </c>
      <c r="D72" s="12">
        <v>34168281.719999999</v>
      </c>
      <c r="E72" s="12"/>
    </row>
    <row r="73" spans="1:5" ht="15" customHeight="1" x14ac:dyDescent="0.25">
      <c r="A73" s="9" t="s">
        <v>126</v>
      </c>
      <c r="B73" s="9" t="s">
        <v>127</v>
      </c>
      <c r="C73" s="10">
        <v>-0.39</v>
      </c>
      <c r="D73" s="10">
        <v>2596788.62</v>
      </c>
      <c r="E73" s="10"/>
    </row>
    <row r="74" spans="1:5" ht="15" customHeight="1" x14ac:dyDescent="0.25">
      <c r="A74" s="11" t="s">
        <v>128</v>
      </c>
      <c r="B74" s="11" t="s">
        <v>129</v>
      </c>
      <c r="C74" s="12">
        <v>1452529484.4100001</v>
      </c>
      <c r="D74" s="12">
        <v>1660076196.1900001</v>
      </c>
      <c r="E74" s="12"/>
    </row>
    <row r="75" spans="1:5" ht="15" customHeight="1" x14ac:dyDescent="0.25">
      <c r="A75" s="9" t="s">
        <v>130</v>
      </c>
      <c r="B75" s="9" t="s">
        <v>131</v>
      </c>
      <c r="C75" s="10">
        <v>0</v>
      </c>
      <c r="D75" s="10"/>
      <c r="E75" s="10"/>
    </row>
    <row r="76" spans="1:5" ht="15" customHeight="1" x14ac:dyDescent="0.25">
      <c r="A76" s="11" t="s">
        <v>132</v>
      </c>
      <c r="B76" s="11" t="s">
        <v>133</v>
      </c>
      <c r="C76" s="12">
        <v>0</v>
      </c>
      <c r="D76" s="12">
        <v>784428878.30999994</v>
      </c>
      <c r="E76" s="12"/>
    </row>
    <row r="77" spans="1:5" ht="15" customHeight="1" x14ac:dyDescent="0.25">
      <c r="A77" s="9" t="s">
        <v>134</v>
      </c>
      <c r="B77" s="9" t="s">
        <v>135</v>
      </c>
      <c r="C77" s="10">
        <v>2131093980</v>
      </c>
      <c r="D77" s="10"/>
      <c r="E77" s="10"/>
    </row>
    <row r="78" spans="1:5" ht="15" customHeight="1" x14ac:dyDescent="0.25">
      <c r="A78" s="11" t="s">
        <v>136</v>
      </c>
      <c r="B78" s="11" t="s">
        <v>137</v>
      </c>
      <c r="C78" s="12">
        <v>-1390000</v>
      </c>
      <c r="D78" s="12">
        <v>3150000</v>
      </c>
      <c r="E78" s="12">
        <v>2300000</v>
      </c>
    </row>
    <row r="79" spans="1:5" ht="15" customHeight="1" x14ac:dyDescent="0.25">
      <c r="A79" s="9" t="s">
        <v>138</v>
      </c>
      <c r="B79" s="9" t="s">
        <v>139</v>
      </c>
      <c r="C79" s="10">
        <v>-140000000</v>
      </c>
      <c r="D79" s="10"/>
      <c r="E79" s="10"/>
    </row>
    <row r="80" spans="1:5" ht="15" customHeight="1" x14ac:dyDescent="0.25">
      <c r="A80" s="11" t="s">
        <v>140</v>
      </c>
      <c r="B80" s="11" t="s">
        <v>141</v>
      </c>
      <c r="C80" s="12">
        <v>-232500</v>
      </c>
      <c r="D80" s="12"/>
      <c r="E80" s="12"/>
    </row>
    <row r="81" spans="1:5" ht="15" customHeight="1" x14ac:dyDescent="0.25">
      <c r="A81" s="9" t="s">
        <v>142</v>
      </c>
      <c r="B81" s="9" t="s">
        <v>143</v>
      </c>
      <c r="C81" s="10">
        <v>83107344</v>
      </c>
      <c r="D81" s="10">
        <v>6600000</v>
      </c>
      <c r="E81" s="10">
        <v>2600000</v>
      </c>
    </row>
    <row r="82" spans="1:5" ht="15" customHeight="1" x14ac:dyDescent="0.25">
      <c r="A82" s="11" t="s">
        <v>144</v>
      </c>
      <c r="B82" s="11" t="s">
        <v>145</v>
      </c>
      <c r="C82" s="12">
        <v>-751157316.66999996</v>
      </c>
      <c r="D82" s="12">
        <v>332778.40000000002</v>
      </c>
      <c r="E82" s="12">
        <v>-67427148.180000007</v>
      </c>
    </row>
    <row r="83" spans="1:5" ht="15" customHeight="1" x14ac:dyDescent="0.25">
      <c r="A83" s="9" t="s">
        <v>146</v>
      </c>
      <c r="B83" s="9" t="s">
        <v>147</v>
      </c>
      <c r="C83" s="10">
        <v>2115833.12</v>
      </c>
      <c r="D83" s="10">
        <v>1057174.6000000001</v>
      </c>
      <c r="E83" s="10"/>
    </row>
    <row r="84" spans="1:5" ht="15" customHeight="1" x14ac:dyDescent="0.25">
      <c r="A84" s="11" t="s">
        <v>148</v>
      </c>
      <c r="B84" s="11" t="s">
        <v>149</v>
      </c>
      <c r="C84" s="12">
        <v>5514317.7000000002</v>
      </c>
      <c r="D84" s="12">
        <v>372602290.69999999</v>
      </c>
      <c r="E84" s="12"/>
    </row>
    <row r="85" spans="1:5" ht="15" customHeight="1" x14ac:dyDescent="0.25">
      <c r="A85" s="9" t="s">
        <v>150</v>
      </c>
      <c r="B85" s="9" t="s">
        <v>151</v>
      </c>
      <c r="C85" s="10">
        <v>112196030.89</v>
      </c>
      <c r="D85" s="10">
        <v>685653934.15999997</v>
      </c>
      <c r="E85" s="10">
        <v>-572428315.35000002</v>
      </c>
    </row>
    <row r="86" spans="1:5" ht="15" customHeight="1" x14ac:dyDescent="0.25">
      <c r="A86" s="11" t="s">
        <v>152</v>
      </c>
      <c r="B86" s="11" t="s">
        <v>153</v>
      </c>
      <c r="C86" s="12">
        <v>-364153591.12</v>
      </c>
      <c r="D86" s="12">
        <v>-339726443.00999999</v>
      </c>
      <c r="E86" s="12"/>
    </row>
    <row r="87" spans="1:5" ht="15" customHeight="1" x14ac:dyDescent="0.25">
      <c r="A87" s="9" t="s">
        <v>154</v>
      </c>
      <c r="B87" s="9" t="s">
        <v>155</v>
      </c>
      <c r="C87" s="10">
        <v>4471226367.2700005</v>
      </c>
      <c r="D87" s="10">
        <v>-54605000</v>
      </c>
      <c r="E87" s="10"/>
    </row>
    <row r="88" spans="1:5" ht="15" customHeight="1" x14ac:dyDescent="0.25">
      <c r="A88" s="11" t="s">
        <v>156</v>
      </c>
      <c r="B88" s="11" t="s">
        <v>157</v>
      </c>
      <c r="C88" s="12">
        <v>340800000</v>
      </c>
      <c r="D88" s="12">
        <v>-4329661765.6700001</v>
      </c>
      <c r="E88" s="12"/>
    </row>
    <row r="89" spans="1:5" ht="15" customHeight="1" x14ac:dyDescent="0.25">
      <c r="A89" s="9" t="s">
        <v>158</v>
      </c>
      <c r="B89" s="9" t="s">
        <v>159</v>
      </c>
      <c r="C89" s="10">
        <v>56427173.009999998</v>
      </c>
      <c r="D89" s="10">
        <v>-85810830.260000005</v>
      </c>
      <c r="E89" s="10"/>
    </row>
    <row r="90" spans="1:5" ht="15" customHeight="1" x14ac:dyDescent="0.25">
      <c r="A90" s="11" t="s">
        <v>847</v>
      </c>
      <c r="B90" s="11" t="s">
        <v>848</v>
      </c>
      <c r="C90" s="12"/>
      <c r="D90" s="12">
        <v>-48447593.399999999</v>
      </c>
      <c r="E90" s="12"/>
    </row>
    <row r="91" spans="1:5" ht="15" customHeight="1" x14ac:dyDescent="0.25">
      <c r="A91" s="9" t="s">
        <v>160</v>
      </c>
      <c r="B91" s="9" t="s">
        <v>161</v>
      </c>
      <c r="C91" s="10">
        <v>0</v>
      </c>
      <c r="D91" s="10"/>
      <c r="E91" s="10"/>
    </row>
    <row r="92" spans="1:5" ht="15" customHeight="1" x14ac:dyDescent="0.25">
      <c r="A92" s="11" t="s">
        <v>849</v>
      </c>
      <c r="B92" s="11" t="s">
        <v>850</v>
      </c>
      <c r="C92" s="12"/>
      <c r="D92" s="12">
        <v>0</v>
      </c>
      <c r="E92" s="12"/>
    </row>
    <row r="93" spans="1:5" ht="15" customHeight="1" x14ac:dyDescent="0.25">
      <c r="A93" s="9" t="s">
        <v>851</v>
      </c>
      <c r="B93" s="9" t="s">
        <v>988</v>
      </c>
      <c r="C93" s="10"/>
      <c r="D93" s="10">
        <v>0</v>
      </c>
      <c r="E93" s="10"/>
    </row>
    <row r="94" spans="1:5" ht="15" customHeight="1" x14ac:dyDescent="0.25">
      <c r="A94" s="11" t="s">
        <v>162</v>
      </c>
      <c r="B94" s="11" t="s">
        <v>163</v>
      </c>
      <c r="C94" s="12">
        <v>613944442.03999996</v>
      </c>
      <c r="D94" s="12">
        <v>1566924623.73</v>
      </c>
      <c r="E94" s="12">
        <v>41800000</v>
      </c>
    </row>
    <row r="95" spans="1:5" ht="15" customHeight="1" x14ac:dyDescent="0.25">
      <c r="A95" s="9" t="s">
        <v>853</v>
      </c>
      <c r="B95" s="9" t="s">
        <v>854</v>
      </c>
      <c r="C95" s="10"/>
      <c r="D95" s="10">
        <v>16054714.5</v>
      </c>
      <c r="E95" s="10"/>
    </row>
    <row r="96" spans="1:5" ht="15" customHeight="1" x14ac:dyDescent="0.25">
      <c r="A96" s="11" t="s">
        <v>164</v>
      </c>
      <c r="B96" s="11" t="s">
        <v>165</v>
      </c>
      <c r="C96" s="12">
        <v>0</v>
      </c>
      <c r="D96" s="12"/>
      <c r="E96" s="12"/>
    </row>
    <row r="97" spans="1:5" ht="15" customHeight="1" x14ac:dyDescent="0.25">
      <c r="A97" s="9" t="s">
        <v>855</v>
      </c>
      <c r="B97" s="9" t="s">
        <v>989</v>
      </c>
      <c r="C97" s="10"/>
      <c r="D97" s="10">
        <v>0</v>
      </c>
      <c r="E97" s="10"/>
    </row>
    <row r="98" spans="1:5" ht="15" customHeight="1" x14ac:dyDescent="0.25">
      <c r="A98" s="11" t="s">
        <v>166</v>
      </c>
      <c r="B98" s="11" t="s">
        <v>167</v>
      </c>
      <c r="C98" s="12">
        <v>0</v>
      </c>
      <c r="D98" s="12"/>
      <c r="E98" s="12"/>
    </row>
    <row r="99" spans="1:5" ht="15" customHeight="1" x14ac:dyDescent="0.25">
      <c r="A99" s="9" t="s">
        <v>168</v>
      </c>
      <c r="B99" s="9" t="s">
        <v>169</v>
      </c>
      <c r="C99" s="10">
        <v>0</v>
      </c>
      <c r="D99" s="10">
        <v>0</v>
      </c>
      <c r="E99" s="10"/>
    </row>
    <row r="100" spans="1:5" ht="15" customHeight="1" x14ac:dyDescent="0.25">
      <c r="A100" s="11" t="s">
        <v>170</v>
      </c>
      <c r="B100" s="11" t="s">
        <v>171</v>
      </c>
      <c r="C100" s="12">
        <v>0</v>
      </c>
      <c r="D100" s="12">
        <v>209257040</v>
      </c>
      <c r="E100" s="12"/>
    </row>
    <row r="101" spans="1:5" ht="15" customHeight="1" x14ac:dyDescent="0.25">
      <c r="A101" s="9" t="s">
        <v>172</v>
      </c>
      <c r="B101" s="9" t="s">
        <v>173</v>
      </c>
      <c r="C101" s="10">
        <v>0</v>
      </c>
      <c r="D101" s="10"/>
      <c r="E101" s="10"/>
    </row>
    <row r="102" spans="1:5" ht="15" customHeight="1" x14ac:dyDescent="0.25">
      <c r="A102" s="11" t="s">
        <v>174</v>
      </c>
      <c r="B102" s="11" t="s">
        <v>175</v>
      </c>
      <c r="C102" s="12">
        <v>2685741425.9990001</v>
      </c>
      <c r="D102" s="12"/>
      <c r="E102" s="12"/>
    </row>
    <row r="103" spans="1:5" ht="15" customHeight="1" x14ac:dyDescent="0.25">
      <c r="A103" s="9" t="s">
        <v>176</v>
      </c>
      <c r="B103" s="9" t="s">
        <v>177</v>
      </c>
      <c r="C103" s="10">
        <v>13233658700.52</v>
      </c>
      <c r="D103" s="10"/>
      <c r="E103" s="10"/>
    </row>
    <row r="104" spans="1:5" ht="15" customHeight="1" x14ac:dyDescent="0.25">
      <c r="A104" s="11" t="s">
        <v>857</v>
      </c>
      <c r="B104" s="11" t="s">
        <v>990</v>
      </c>
      <c r="C104" s="12"/>
      <c r="D104" s="12">
        <v>27369540</v>
      </c>
      <c r="E104" s="12"/>
    </row>
    <row r="105" spans="1:5" ht="15" customHeight="1" x14ac:dyDescent="0.25">
      <c r="A105" s="9" t="s">
        <v>859</v>
      </c>
      <c r="B105" s="9" t="s">
        <v>991</v>
      </c>
      <c r="C105" s="10"/>
      <c r="D105" s="10">
        <v>86559500</v>
      </c>
      <c r="E105" s="10"/>
    </row>
    <row r="106" spans="1:5" ht="15" customHeight="1" x14ac:dyDescent="0.25">
      <c r="A106" s="11" t="s">
        <v>178</v>
      </c>
      <c r="B106" s="11" t="s">
        <v>179</v>
      </c>
      <c r="C106" s="12">
        <v>0</v>
      </c>
      <c r="D106" s="12">
        <v>2993137857.8400002</v>
      </c>
      <c r="E106" s="12"/>
    </row>
    <row r="107" spans="1:5" ht="15" customHeight="1" x14ac:dyDescent="0.25">
      <c r="A107" s="9" t="s">
        <v>861</v>
      </c>
      <c r="B107" s="9" t="s">
        <v>862</v>
      </c>
      <c r="C107" s="10"/>
      <c r="D107" s="10">
        <v>14769114.380000001</v>
      </c>
      <c r="E107" s="10"/>
    </row>
    <row r="108" spans="1:5" ht="15" customHeight="1" x14ac:dyDescent="0.25">
      <c r="A108" s="11" t="s">
        <v>180</v>
      </c>
      <c r="B108" s="11" t="s">
        <v>181</v>
      </c>
      <c r="C108" s="12">
        <v>211818663.19999999</v>
      </c>
      <c r="D108" s="12">
        <v>1243354501.4200001</v>
      </c>
      <c r="E108" s="12"/>
    </row>
    <row r="109" spans="1:5" ht="15" customHeight="1" x14ac:dyDescent="0.25">
      <c r="A109" s="9" t="s">
        <v>182</v>
      </c>
      <c r="B109" s="9" t="s">
        <v>183</v>
      </c>
      <c r="C109" s="10">
        <v>0</v>
      </c>
      <c r="D109" s="10">
        <v>0</v>
      </c>
      <c r="E109" s="10"/>
    </row>
    <row r="110" spans="1:5" ht="15" customHeight="1" x14ac:dyDescent="0.25">
      <c r="A110" s="11" t="s">
        <v>863</v>
      </c>
      <c r="B110" s="11" t="s">
        <v>621</v>
      </c>
      <c r="C110" s="12"/>
      <c r="D110" s="12">
        <v>7748800</v>
      </c>
      <c r="E110" s="12"/>
    </row>
    <row r="111" spans="1:5" ht="15" customHeight="1" x14ac:dyDescent="0.25">
      <c r="A111" s="9" t="s">
        <v>864</v>
      </c>
      <c r="B111" s="9" t="s">
        <v>568</v>
      </c>
      <c r="C111" s="10"/>
      <c r="D111" s="10">
        <v>0</v>
      </c>
      <c r="E111" s="10"/>
    </row>
    <row r="112" spans="1:5" ht="15" customHeight="1" x14ac:dyDescent="0.25">
      <c r="A112" s="11" t="s">
        <v>865</v>
      </c>
      <c r="B112" s="11" t="s">
        <v>570</v>
      </c>
      <c r="C112" s="12"/>
      <c r="D112" s="12">
        <v>7140.5</v>
      </c>
      <c r="E112" s="12"/>
    </row>
    <row r="113" spans="1:5" ht="15" customHeight="1" x14ac:dyDescent="0.25">
      <c r="A113" s="9" t="s">
        <v>184</v>
      </c>
      <c r="B113" s="9" t="s">
        <v>185</v>
      </c>
      <c r="C113" s="10">
        <v>0</v>
      </c>
      <c r="D113" s="10">
        <v>0</v>
      </c>
      <c r="E113" s="10"/>
    </row>
    <row r="114" spans="1:5" ht="15" customHeight="1" x14ac:dyDescent="0.25">
      <c r="A114" s="11" t="s">
        <v>186</v>
      </c>
      <c r="B114" s="11" t="s">
        <v>187</v>
      </c>
      <c r="C114" s="12">
        <v>0</v>
      </c>
      <c r="D114" s="12">
        <v>13667.46</v>
      </c>
      <c r="E114" s="12"/>
    </row>
    <row r="115" spans="1:5" ht="15" customHeight="1" x14ac:dyDescent="0.25">
      <c r="A115" s="9" t="s">
        <v>188</v>
      </c>
      <c r="B115" s="9" t="s">
        <v>189</v>
      </c>
      <c r="C115" s="10">
        <v>0</v>
      </c>
      <c r="D115" s="10">
        <v>4492632.5999999996</v>
      </c>
      <c r="E115" s="10"/>
    </row>
    <row r="116" spans="1:5" ht="15" customHeight="1" x14ac:dyDescent="0.25">
      <c r="A116" s="11" t="s">
        <v>866</v>
      </c>
      <c r="B116" s="11" t="s">
        <v>585</v>
      </c>
      <c r="C116" s="12"/>
      <c r="D116" s="12">
        <v>0</v>
      </c>
      <c r="E116" s="12"/>
    </row>
    <row r="117" spans="1:5" ht="15" customHeight="1" x14ac:dyDescent="0.25">
      <c r="A117" s="9" t="s">
        <v>190</v>
      </c>
      <c r="B117" s="9" t="s">
        <v>191</v>
      </c>
      <c r="C117" s="10">
        <v>0</v>
      </c>
      <c r="D117" s="10"/>
      <c r="E117" s="10"/>
    </row>
    <row r="118" spans="1:5" ht="15" customHeight="1" x14ac:dyDescent="0.25">
      <c r="A118" s="11" t="s">
        <v>192</v>
      </c>
      <c r="B118" s="11" t="s">
        <v>193</v>
      </c>
      <c r="C118" s="12">
        <v>0</v>
      </c>
      <c r="D118" s="12">
        <v>86619860.900000006</v>
      </c>
      <c r="E118" s="12"/>
    </row>
    <row r="119" spans="1:5" ht="15" customHeight="1" x14ac:dyDescent="0.25">
      <c r="A119" s="9" t="s">
        <v>194</v>
      </c>
      <c r="B119" s="9" t="s">
        <v>195</v>
      </c>
      <c r="C119" s="10">
        <v>65374858.109999999</v>
      </c>
      <c r="D119" s="10"/>
      <c r="E119" s="10"/>
    </row>
    <row r="120" spans="1:5" ht="15" customHeight="1" x14ac:dyDescent="0.25">
      <c r="A120" s="11" t="s">
        <v>196</v>
      </c>
      <c r="B120" s="11" t="s">
        <v>197</v>
      </c>
      <c r="C120" s="12">
        <v>1614573325.04</v>
      </c>
      <c r="D120" s="12">
        <v>490937651.48000002</v>
      </c>
      <c r="E120" s="12"/>
    </row>
    <row r="121" spans="1:5" ht="15" customHeight="1" x14ac:dyDescent="0.25">
      <c r="A121" s="9" t="s">
        <v>198</v>
      </c>
      <c r="B121" s="9" t="s">
        <v>199</v>
      </c>
      <c r="C121" s="10">
        <v>973121540.47000003</v>
      </c>
      <c r="D121" s="10">
        <v>0</v>
      </c>
      <c r="E121" s="10"/>
    </row>
    <row r="122" spans="1:5" ht="15" customHeight="1" x14ac:dyDescent="0.25">
      <c r="A122" s="11" t="s">
        <v>867</v>
      </c>
      <c r="B122" s="11" t="s">
        <v>868</v>
      </c>
      <c r="C122" s="12"/>
      <c r="D122" s="12">
        <v>274681397.00999999</v>
      </c>
      <c r="E122" s="12"/>
    </row>
    <row r="123" spans="1:5" ht="15" customHeight="1" x14ac:dyDescent="0.25">
      <c r="A123" s="9" t="s">
        <v>200</v>
      </c>
      <c r="B123" s="9" t="s">
        <v>201</v>
      </c>
      <c r="C123" s="10">
        <v>1998204480.3900001</v>
      </c>
      <c r="D123" s="10">
        <v>2714855207.5100002</v>
      </c>
      <c r="E123" s="10"/>
    </row>
    <row r="124" spans="1:5" ht="15" customHeight="1" x14ac:dyDescent="0.25">
      <c r="A124" s="11" t="s">
        <v>202</v>
      </c>
      <c r="B124" s="11" t="s">
        <v>203</v>
      </c>
      <c r="C124" s="12">
        <v>15323035304.35</v>
      </c>
      <c r="D124" s="12"/>
      <c r="E124" s="12"/>
    </row>
    <row r="125" spans="1:5" ht="15" customHeight="1" x14ac:dyDescent="0.25">
      <c r="A125" s="9" t="s">
        <v>869</v>
      </c>
      <c r="B125" s="9" t="s">
        <v>870</v>
      </c>
      <c r="C125" s="10"/>
      <c r="D125" s="10">
        <v>0</v>
      </c>
      <c r="E125" s="10"/>
    </row>
    <row r="126" spans="1:5" ht="15" customHeight="1" x14ac:dyDescent="0.25">
      <c r="A126" s="11" t="s">
        <v>204</v>
      </c>
      <c r="B126" s="11" t="s">
        <v>205</v>
      </c>
      <c r="C126" s="12">
        <v>0</v>
      </c>
      <c r="D126" s="12"/>
      <c r="E126" s="12"/>
    </row>
    <row r="127" spans="1:5" ht="15" customHeight="1" x14ac:dyDescent="0.25">
      <c r="A127" s="9" t="s">
        <v>206</v>
      </c>
      <c r="B127" s="9" t="s">
        <v>207</v>
      </c>
      <c r="C127" s="10">
        <v>1764919772.4100001</v>
      </c>
      <c r="D127" s="10">
        <v>1643710391.5</v>
      </c>
      <c r="E127" s="10"/>
    </row>
    <row r="128" spans="1:5" ht="15" customHeight="1" x14ac:dyDescent="0.25">
      <c r="A128" s="11" t="s">
        <v>871</v>
      </c>
      <c r="B128" s="11" t="s">
        <v>872</v>
      </c>
      <c r="C128" s="12"/>
      <c r="D128" s="12">
        <v>2957748250.96</v>
      </c>
      <c r="E128" s="12"/>
    </row>
    <row r="129" spans="1:5" ht="15" customHeight="1" x14ac:dyDescent="0.25">
      <c r="A129" s="9" t="s">
        <v>873</v>
      </c>
      <c r="B129" s="9" t="s">
        <v>874</v>
      </c>
      <c r="C129" s="10"/>
      <c r="D129" s="10">
        <v>931332564.57000005</v>
      </c>
      <c r="E129" s="10"/>
    </row>
    <row r="130" spans="1:5" ht="15" customHeight="1" x14ac:dyDescent="0.25">
      <c r="A130" s="11" t="s">
        <v>208</v>
      </c>
      <c r="B130" s="11" t="s">
        <v>209</v>
      </c>
      <c r="C130" s="12">
        <v>16496443.859999999</v>
      </c>
      <c r="D130" s="12"/>
      <c r="E130" s="12"/>
    </row>
    <row r="131" spans="1:5" ht="15" customHeight="1" x14ac:dyDescent="0.25">
      <c r="A131" s="9" t="s">
        <v>210</v>
      </c>
      <c r="B131" s="9" t="s">
        <v>211</v>
      </c>
      <c r="C131" s="10">
        <v>374437885.76999998</v>
      </c>
      <c r="D131" s="10">
        <v>194477528.09999999</v>
      </c>
      <c r="E131" s="10"/>
    </row>
    <row r="132" spans="1:5" ht="15" customHeight="1" x14ac:dyDescent="0.25">
      <c r="A132" s="11" t="s">
        <v>212</v>
      </c>
      <c r="B132" s="11" t="s">
        <v>213</v>
      </c>
      <c r="C132" s="12">
        <v>-773099552.62</v>
      </c>
      <c r="D132" s="12">
        <v>0</v>
      </c>
      <c r="E132" s="12"/>
    </row>
    <row r="133" spans="1:5" ht="15" customHeight="1" x14ac:dyDescent="0.25">
      <c r="A133" s="9" t="s">
        <v>875</v>
      </c>
      <c r="B133" s="9" t="s">
        <v>876</v>
      </c>
      <c r="C133" s="10"/>
      <c r="D133" s="10">
        <v>-43949023.520000003</v>
      </c>
      <c r="E133" s="10"/>
    </row>
    <row r="134" spans="1:5" ht="15" customHeight="1" x14ac:dyDescent="0.25">
      <c r="A134" s="11" t="s">
        <v>214</v>
      </c>
      <c r="B134" s="11" t="s">
        <v>215</v>
      </c>
      <c r="C134" s="12">
        <v>-667309992.29999995</v>
      </c>
      <c r="D134" s="12">
        <v>-135539417.06999999</v>
      </c>
      <c r="E134" s="12"/>
    </row>
    <row r="135" spans="1:5" ht="15" customHeight="1" x14ac:dyDescent="0.25">
      <c r="A135" s="9" t="s">
        <v>877</v>
      </c>
      <c r="B135" s="9" t="s">
        <v>878</v>
      </c>
      <c r="C135" s="10"/>
      <c r="D135" s="10">
        <v>4804432.84</v>
      </c>
      <c r="E135" s="10"/>
    </row>
    <row r="136" spans="1:5" ht="15" customHeight="1" x14ac:dyDescent="0.25">
      <c r="A136" s="11" t="s">
        <v>216</v>
      </c>
      <c r="B136" s="11" t="s">
        <v>217</v>
      </c>
      <c r="C136" s="12">
        <v>-16496443.859999999</v>
      </c>
      <c r="D136" s="12">
        <v>-1773708.45</v>
      </c>
      <c r="E136" s="12"/>
    </row>
    <row r="137" spans="1:5" ht="15" customHeight="1" x14ac:dyDescent="0.25">
      <c r="A137" s="9" t="s">
        <v>218</v>
      </c>
      <c r="B137" s="9" t="s">
        <v>219</v>
      </c>
      <c r="C137" s="10">
        <v>-314427978.73000002</v>
      </c>
      <c r="D137" s="10">
        <v>-107188036.63</v>
      </c>
      <c r="E137" s="10"/>
    </row>
    <row r="138" spans="1:5" ht="15" customHeight="1" x14ac:dyDescent="0.25">
      <c r="A138" s="11" t="s">
        <v>220</v>
      </c>
      <c r="B138" s="11" t="s">
        <v>221</v>
      </c>
      <c r="C138" s="12">
        <v>-10236423589.309999</v>
      </c>
      <c r="D138" s="12"/>
      <c r="E138" s="12"/>
    </row>
    <row r="139" spans="1:5" ht="15" customHeight="1" x14ac:dyDescent="0.25">
      <c r="A139" s="9" t="s">
        <v>222</v>
      </c>
      <c r="B139" s="9" t="s">
        <v>223</v>
      </c>
      <c r="C139" s="10">
        <v>-420562552.38999999</v>
      </c>
      <c r="D139" s="10">
        <v>-303499584.69999999</v>
      </c>
      <c r="E139" s="10"/>
    </row>
    <row r="140" spans="1:5" ht="15" customHeight="1" x14ac:dyDescent="0.25">
      <c r="A140" s="11" t="s">
        <v>879</v>
      </c>
      <c r="B140" s="11" t="s">
        <v>992</v>
      </c>
      <c r="C140" s="12"/>
      <c r="D140" s="12">
        <v>668865662.54999995</v>
      </c>
      <c r="E140" s="12"/>
    </row>
    <row r="141" spans="1:5" ht="15" customHeight="1" x14ac:dyDescent="0.25">
      <c r="A141" s="9" t="s">
        <v>881</v>
      </c>
      <c r="B141" s="9" t="s">
        <v>882</v>
      </c>
      <c r="C141" s="10"/>
      <c r="D141" s="10">
        <v>-291998893.25</v>
      </c>
      <c r="E141" s="10"/>
    </row>
    <row r="142" spans="1:5" ht="15" customHeight="1" x14ac:dyDescent="0.25">
      <c r="A142" s="11" t="s">
        <v>224</v>
      </c>
      <c r="B142" s="11" t="s">
        <v>225</v>
      </c>
      <c r="C142" s="12">
        <v>473741748.82999998</v>
      </c>
      <c r="D142" s="12"/>
      <c r="E142" s="12"/>
    </row>
    <row r="143" spans="1:5" ht="15" customHeight="1" x14ac:dyDescent="0.25">
      <c r="A143" s="9" t="s">
        <v>226</v>
      </c>
      <c r="B143" s="9" t="s">
        <v>227</v>
      </c>
      <c r="C143" s="10">
        <v>-94748349.810000002</v>
      </c>
      <c r="D143" s="10"/>
      <c r="E143" s="10"/>
    </row>
    <row r="144" spans="1:5" ht="15" customHeight="1" x14ac:dyDescent="0.25">
      <c r="A144" s="11" t="s">
        <v>228</v>
      </c>
      <c r="B144" s="11" t="s">
        <v>229</v>
      </c>
      <c r="C144" s="12">
        <v>0</v>
      </c>
      <c r="D144" s="12">
        <v>0</v>
      </c>
      <c r="E144" s="12"/>
    </row>
    <row r="145" spans="1:5" ht="15" customHeight="1" x14ac:dyDescent="0.25">
      <c r="A145" s="9" t="s">
        <v>230</v>
      </c>
      <c r="B145" s="9" t="s">
        <v>231</v>
      </c>
      <c r="C145" s="10">
        <v>-917217629.60000002</v>
      </c>
      <c r="D145" s="10">
        <v>-641131</v>
      </c>
      <c r="E145" s="10"/>
    </row>
    <row r="146" spans="1:5" ht="15" customHeight="1" x14ac:dyDescent="0.25">
      <c r="A146" s="11" t="s">
        <v>883</v>
      </c>
      <c r="B146" s="11" t="s">
        <v>884</v>
      </c>
      <c r="C146" s="12"/>
      <c r="D146" s="12">
        <v>103750</v>
      </c>
      <c r="E146" s="12"/>
    </row>
    <row r="147" spans="1:5" ht="15" customHeight="1" x14ac:dyDescent="0.25">
      <c r="A147" s="9" t="s">
        <v>885</v>
      </c>
      <c r="B147" s="9" t="s">
        <v>886</v>
      </c>
      <c r="C147" s="10"/>
      <c r="D147" s="10">
        <v>1971250</v>
      </c>
      <c r="E147" s="10"/>
    </row>
    <row r="148" spans="1:5" ht="15" customHeight="1" x14ac:dyDescent="0.25">
      <c r="A148" s="11" t="s">
        <v>887</v>
      </c>
      <c r="B148" s="11" t="s">
        <v>888</v>
      </c>
      <c r="C148" s="12"/>
      <c r="D148" s="12">
        <v>0</v>
      </c>
      <c r="E148" s="12"/>
    </row>
    <row r="149" spans="1:5" ht="15" customHeight="1" x14ac:dyDescent="0.25">
      <c r="A149" s="9" t="s">
        <v>232</v>
      </c>
      <c r="B149" s="9" t="s">
        <v>233</v>
      </c>
      <c r="C149" s="10">
        <v>894645230</v>
      </c>
      <c r="D149" s="10"/>
      <c r="E149" s="10"/>
    </row>
    <row r="150" spans="1:5" ht="15" customHeight="1" x14ac:dyDescent="0.25">
      <c r="A150" s="11" t="s">
        <v>234</v>
      </c>
      <c r="B150" s="11" t="s">
        <v>235</v>
      </c>
      <c r="C150" s="12">
        <v>-249291417</v>
      </c>
      <c r="D150" s="12">
        <v>0</v>
      </c>
      <c r="E150" s="12"/>
    </row>
    <row r="151" spans="1:5" ht="15" customHeight="1" x14ac:dyDescent="0.25">
      <c r="A151" s="16" t="s">
        <v>236</v>
      </c>
      <c r="B151" s="16" t="s">
        <v>237</v>
      </c>
      <c r="C151" s="17">
        <v>3288717690.9400001</v>
      </c>
      <c r="D151" s="17">
        <v>-604841170.02999997</v>
      </c>
      <c r="E151" s="17">
        <v>718396050.07000005</v>
      </c>
    </row>
    <row r="152" spans="1:5" ht="15" customHeight="1" x14ac:dyDescent="0.25">
      <c r="A152" s="11" t="s">
        <v>238</v>
      </c>
      <c r="B152" s="11" t="s">
        <v>239</v>
      </c>
      <c r="C152" s="12">
        <v>0</v>
      </c>
      <c r="D152" s="12"/>
      <c r="E152" s="12"/>
    </row>
    <row r="153" spans="1:5" ht="15" customHeight="1" x14ac:dyDescent="0.25">
      <c r="A153" s="9" t="s">
        <v>240</v>
      </c>
      <c r="B153" s="9" t="s">
        <v>241</v>
      </c>
      <c r="C153" s="10">
        <v>-220800000</v>
      </c>
      <c r="D153" s="10">
        <v>-507500000</v>
      </c>
      <c r="E153" s="10"/>
    </row>
    <row r="154" spans="1:5" ht="15" customHeight="1" x14ac:dyDescent="0.25">
      <c r="A154" s="11" t="s">
        <v>242</v>
      </c>
      <c r="B154" s="11" t="s">
        <v>243</v>
      </c>
      <c r="C154" s="12">
        <v>0</v>
      </c>
      <c r="D154" s="12">
        <v>0</v>
      </c>
      <c r="E154" s="12"/>
    </row>
    <row r="155" spans="1:5" ht="15" customHeight="1" x14ac:dyDescent="0.25">
      <c r="A155" s="9" t="s">
        <v>244</v>
      </c>
      <c r="B155" s="9" t="s">
        <v>245</v>
      </c>
      <c r="C155" s="10">
        <v>0</v>
      </c>
      <c r="D155" s="10">
        <v>0</v>
      </c>
      <c r="E155" s="10"/>
    </row>
    <row r="156" spans="1:5" ht="15" customHeight="1" x14ac:dyDescent="0.25">
      <c r="A156" s="11" t="s">
        <v>246</v>
      </c>
      <c r="B156" s="11" t="s">
        <v>247</v>
      </c>
      <c r="C156" s="12">
        <v>-3639485635.8099999</v>
      </c>
      <c r="D156" s="12">
        <v>-1185802279.71</v>
      </c>
      <c r="E156" s="12"/>
    </row>
    <row r="157" spans="1:5" ht="15" customHeight="1" x14ac:dyDescent="0.25">
      <c r="A157" s="9" t="s">
        <v>889</v>
      </c>
      <c r="B157" s="9" t="s">
        <v>890</v>
      </c>
      <c r="C157" s="10"/>
      <c r="D157" s="10">
        <v>0</v>
      </c>
      <c r="E157" s="10"/>
    </row>
    <row r="158" spans="1:5" ht="15" customHeight="1" x14ac:dyDescent="0.25">
      <c r="A158" s="11" t="s">
        <v>248</v>
      </c>
      <c r="B158" s="11" t="s">
        <v>249</v>
      </c>
      <c r="C158" s="12">
        <v>-7553069010.54</v>
      </c>
      <c r="D158" s="12">
        <v>-1398192434.6800001</v>
      </c>
      <c r="E158" s="12"/>
    </row>
    <row r="159" spans="1:5" ht="15" customHeight="1" x14ac:dyDescent="0.25">
      <c r="A159" s="9" t="s">
        <v>250</v>
      </c>
      <c r="B159" s="9" t="s">
        <v>251</v>
      </c>
      <c r="C159" s="10">
        <v>-1002815311.89</v>
      </c>
      <c r="D159" s="10"/>
      <c r="E159" s="10"/>
    </row>
    <row r="160" spans="1:5" ht="15" customHeight="1" x14ac:dyDescent="0.25">
      <c r="A160" s="11" t="s">
        <v>891</v>
      </c>
      <c r="B160" s="11" t="s">
        <v>892</v>
      </c>
      <c r="C160" s="12"/>
      <c r="D160" s="12">
        <v>0</v>
      </c>
      <c r="E160" s="12"/>
    </row>
    <row r="161" spans="1:5" ht="15" customHeight="1" x14ac:dyDescent="0.25">
      <c r="A161" s="9" t="s">
        <v>252</v>
      </c>
      <c r="B161" s="9" t="s">
        <v>253</v>
      </c>
      <c r="C161" s="10">
        <v>-595574259.58000004</v>
      </c>
      <c r="D161" s="10">
        <v>-247739449.88</v>
      </c>
      <c r="E161" s="10"/>
    </row>
    <row r="162" spans="1:5" ht="15" customHeight="1" x14ac:dyDescent="0.25">
      <c r="A162" s="11" t="s">
        <v>254</v>
      </c>
      <c r="B162" s="11" t="s">
        <v>255</v>
      </c>
      <c r="C162" s="12">
        <v>-229097334.88</v>
      </c>
      <c r="D162" s="12">
        <v>0</v>
      </c>
      <c r="E162" s="12"/>
    </row>
    <row r="163" spans="1:5" ht="15" customHeight="1" x14ac:dyDescent="0.25">
      <c r="A163" s="9" t="s">
        <v>256</v>
      </c>
      <c r="B163" s="9" t="s">
        <v>257</v>
      </c>
      <c r="C163" s="10">
        <v>0</v>
      </c>
      <c r="D163" s="10">
        <v>-571291298.77999997</v>
      </c>
      <c r="E163" s="10"/>
    </row>
    <row r="164" spans="1:5" ht="15" customHeight="1" x14ac:dyDescent="0.25">
      <c r="A164" s="11" t="s">
        <v>258</v>
      </c>
      <c r="B164" s="11" t="s">
        <v>259</v>
      </c>
      <c r="C164" s="12">
        <v>255150.47</v>
      </c>
      <c r="D164" s="12">
        <v>11394937.890000001</v>
      </c>
      <c r="E164" s="12"/>
    </row>
    <row r="165" spans="1:5" ht="15" customHeight="1" x14ac:dyDescent="0.25">
      <c r="A165" s="9" t="s">
        <v>893</v>
      </c>
      <c r="B165" s="9" t="s">
        <v>894</v>
      </c>
      <c r="C165" s="10"/>
      <c r="D165" s="10">
        <v>-1419.72</v>
      </c>
      <c r="E165" s="10"/>
    </row>
    <row r="166" spans="1:5" ht="15" customHeight="1" x14ac:dyDescent="0.25">
      <c r="A166" s="11" t="s">
        <v>260</v>
      </c>
      <c r="B166" s="11" t="s">
        <v>261</v>
      </c>
      <c r="C166" s="12">
        <v>16003005.310000001</v>
      </c>
      <c r="D166" s="12">
        <v>263444.2</v>
      </c>
      <c r="E166" s="12"/>
    </row>
    <row r="167" spans="1:5" ht="15" customHeight="1" x14ac:dyDescent="0.25">
      <c r="A167" s="9" t="s">
        <v>262</v>
      </c>
      <c r="B167" s="9" t="s">
        <v>263</v>
      </c>
      <c r="C167" s="10">
        <v>17100856.379999999</v>
      </c>
      <c r="D167" s="10"/>
      <c r="E167" s="10"/>
    </row>
    <row r="168" spans="1:5" ht="15" customHeight="1" x14ac:dyDescent="0.25">
      <c r="A168" s="11" t="s">
        <v>264</v>
      </c>
      <c r="B168" s="11" t="s">
        <v>265</v>
      </c>
      <c r="C168" s="12">
        <v>0</v>
      </c>
      <c r="D168" s="12"/>
      <c r="E168" s="12"/>
    </row>
    <row r="169" spans="1:5" ht="15" customHeight="1" x14ac:dyDescent="0.25">
      <c r="A169" s="9" t="s">
        <v>266</v>
      </c>
      <c r="B169" s="9" t="s">
        <v>267</v>
      </c>
      <c r="C169" s="10">
        <v>5532269101.0100002</v>
      </c>
      <c r="D169" s="10">
        <v>-73837528.530000001</v>
      </c>
      <c r="E169" s="10">
        <v>633558600</v>
      </c>
    </row>
    <row r="170" spans="1:5" ht="15" customHeight="1" x14ac:dyDescent="0.25">
      <c r="A170" s="11" t="s">
        <v>268</v>
      </c>
      <c r="B170" s="11" t="s">
        <v>269</v>
      </c>
      <c r="C170" s="12">
        <v>0</v>
      </c>
      <c r="D170" s="12">
        <v>0</v>
      </c>
      <c r="E170" s="12"/>
    </row>
    <row r="171" spans="1:5" ht="15" customHeight="1" x14ac:dyDescent="0.25">
      <c r="A171" s="9" t="s">
        <v>270</v>
      </c>
      <c r="B171" s="9" t="s">
        <v>271</v>
      </c>
      <c r="C171" s="10">
        <v>0</v>
      </c>
      <c r="D171" s="10">
        <v>0</v>
      </c>
      <c r="E171" s="10"/>
    </row>
    <row r="172" spans="1:5" ht="15" customHeight="1" x14ac:dyDescent="0.25">
      <c r="A172" s="11" t="s">
        <v>272</v>
      </c>
      <c r="B172" s="11" t="s">
        <v>273</v>
      </c>
      <c r="C172" s="12">
        <v>-152588</v>
      </c>
      <c r="D172" s="12">
        <v>0</v>
      </c>
      <c r="E172" s="12"/>
    </row>
    <row r="173" spans="1:5" ht="15" customHeight="1" x14ac:dyDescent="0.25">
      <c r="A173" s="9" t="s">
        <v>274</v>
      </c>
      <c r="B173" s="9" t="s">
        <v>275</v>
      </c>
      <c r="C173" s="10">
        <v>-3596551.33</v>
      </c>
      <c r="D173" s="10">
        <v>-57321539.859999999</v>
      </c>
      <c r="E173" s="10"/>
    </row>
    <row r="174" spans="1:5" ht="15" customHeight="1" x14ac:dyDescent="0.25">
      <c r="A174" s="11" t="s">
        <v>276</v>
      </c>
      <c r="B174" s="11" t="s">
        <v>277</v>
      </c>
      <c r="C174" s="12">
        <v>-5726679.79</v>
      </c>
      <c r="D174" s="12">
        <v>-69497005.299999997</v>
      </c>
      <c r="E174" s="12"/>
    </row>
    <row r="175" spans="1:5" ht="15" customHeight="1" x14ac:dyDescent="0.25">
      <c r="A175" s="9" t="s">
        <v>278</v>
      </c>
      <c r="B175" s="9" t="s">
        <v>279</v>
      </c>
      <c r="C175" s="10">
        <v>155359131.91999999</v>
      </c>
      <c r="D175" s="10">
        <v>59922987.210000001</v>
      </c>
      <c r="E175" s="10"/>
    </row>
    <row r="176" spans="1:5" ht="15" customHeight="1" x14ac:dyDescent="0.25">
      <c r="A176" s="11" t="s">
        <v>280</v>
      </c>
      <c r="B176" s="11" t="s">
        <v>281</v>
      </c>
      <c r="C176" s="12">
        <v>-4075.56</v>
      </c>
      <c r="D176" s="12">
        <v>244316.4</v>
      </c>
      <c r="E176" s="12"/>
    </row>
    <row r="177" spans="1:5" ht="15" customHeight="1" x14ac:dyDescent="0.25">
      <c r="A177" s="9" t="s">
        <v>282</v>
      </c>
      <c r="B177" s="9" t="s">
        <v>283</v>
      </c>
      <c r="C177" s="10">
        <v>38926766.020000003</v>
      </c>
      <c r="D177" s="10">
        <v>104724109.14</v>
      </c>
      <c r="E177" s="10"/>
    </row>
    <row r="178" spans="1:5" ht="15" customHeight="1" x14ac:dyDescent="0.25">
      <c r="A178" s="11" t="s">
        <v>284</v>
      </c>
      <c r="B178" s="11" t="s">
        <v>285</v>
      </c>
      <c r="C178" s="12">
        <v>6316995.1699999999</v>
      </c>
      <c r="D178" s="12">
        <v>16739853.439999999</v>
      </c>
      <c r="E178" s="12"/>
    </row>
    <row r="179" spans="1:5" ht="15" customHeight="1" x14ac:dyDescent="0.25">
      <c r="A179" s="9" t="s">
        <v>286</v>
      </c>
      <c r="B179" s="9" t="s">
        <v>287</v>
      </c>
      <c r="C179" s="10">
        <v>5699989.0499999998</v>
      </c>
      <c r="D179" s="10">
        <v>24648161.550000001</v>
      </c>
      <c r="E179" s="10">
        <v>2000000</v>
      </c>
    </row>
    <row r="180" spans="1:5" ht="15" customHeight="1" x14ac:dyDescent="0.25">
      <c r="A180" s="11" t="s">
        <v>288</v>
      </c>
      <c r="B180" s="11" t="s">
        <v>289</v>
      </c>
      <c r="C180" s="12">
        <v>54247715.159999996</v>
      </c>
      <c r="D180" s="12">
        <v>-4769692</v>
      </c>
      <c r="E180" s="12">
        <v>3526534.88</v>
      </c>
    </row>
    <row r="181" spans="1:5" ht="15" customHeight="1" x14ac:dyDescent="0.25">
      <c r="A181" s="9" t="s">
        <v>290</v>
      </c>
      <c r="B181" s="9" t="s">
        <v>291</v>
      </c>
      <c r="C181" s="10">
        <v>-48650</v>
      </c>
      <c r="D181" s="10">
        <v>4375000</v>
      </c>
      <c r="E181" s="10">
        <v>4545000</v>
      </c>
    </row>
    <row r="182" spans="1:5" ht="15" customHeight="1" x14ac:dyDescent="0.25">
      <c r="A182" s="11" t="s">
        <v>292</v>
      </c>
      <c r="B182" s="11" t="s">
        <v>293</v>
      </c>
      <c r="C182" s="12">
        <v>-2830</v>
      </c>
      <c r="D182" s="12">
        <v>0</v>
      </c>
      <c r="E182" s="12"/>
    </row>
    <row r="183" spans="1:5" ht="15" customHeight="1" x14ac:dyDescent="0.25">
      <c r="A183" s="9" t="s">
        <v>294</v>
      </c>
      <c r="B183" s="9" t="s">
        <v>295</v>
      </c>
      <c r="C183" s="10">
        <v>275000</v>
      </c>
      <c r="D183" s="10">
        <v>794500</v>
      </c>
      <c r="E183" s="10"/>
    </row>
    <row r="184" spans="1:5" ht="15" customHeight="1" x14ac:dyDescent="0.25">
      <c r="A184" s="11" t="s">
        <v>296</v>
      </c>
      <c r="B184" s="11" t="s">
        <v>297</v>
      </c>
      <c r="C184" s="12">
        <v>0</v>
      </c>
      <c r="D184" s="12">
        <v>0</v>
      </c>
      <c r="E184" s="12"/>
    </row>
    <row r="185" spans="1:5" ht="15" customHeight="1" x14ac:dyDescent="0.25">
      <c r="A185" s="9" t="s">
        <v>298</v>
      </c>
      <c r="B185" s="9" t="s">
        <v>299</v>
      </c>
      <c r="C185" s="10">
        <v>14470900</v>
      </c>
      <c r="D185" s="10">
        <v>-3438000</v>
      </c>
      <c r="E185" s="10"/>
    </row>
    <row r="186" spans="1:5" ht="15" customHeight="1" x14ac:dyDescent="0.25">
      <c r="A186" s="11" t="s">
        <v>895</v>
      </c>
      <c r="B186" s="11" t="s">
        <v>896</v>
      </c>
      <c r="C186" s="12"/>
      <c r="D186" s="12">
        <v>0</v>
      </c>
      <c r="E186" s="12"/>
    </row>
    <row r="187" spans="1:5" ht="15" customHeight="1" x14ac:dyDescent="0.25">
      <c r="A187" s="9" t="s">
        <v>300</v>
      </c>
      <c r="B187" s="9" t="s">
        <v>301</v>
      </c>
      <c r="C187" s="10">
        <v>0</v>
      </c>
      <c r="D187" s="10">
        <v>-384102.46</v>
      </c>
      <c r="E187" s="10"/>
    </row>
    <row r="188" spans="1:5" ht="15" customHeight="1" x14ac:dyDescent="0.25">
      <c r="A188" s="11" t="s">
        <v>302</v>
      </c>
      <c r="B188" s="11" t="s">
        <v>303</v>
      </c>
      <c r="C188" s="12">
        <v>0</v>
      </c>
      <c r="D188" s="12">
        <v>7775.77</v>
      </c>
      <c r="E188" s="12"/>
    </row>
    <row r="189" spans="1:5" ht="15" customHeight="1" x14ac:dyDescent="0.25">
      <c r="A189" s="9" t="s">
        <v>304</v>
      </c>
      <c r="B189" s="9" t="s">
        <v>305</v>
      </c>
      <c r="C189" s="10">
        <v>0</v>
      </c>
      <c r="D189" s="10">
        <v>0</v>
      </c>
      <c r="E189" s="10"/>
    </row>
    <row r="190" spans="1:5" ht="15" customHeight="1" x14ac:dyDescent="0.25">
      <c r="A190" s="11" t="s">
        <v>306</v>
      </c>
      <c r="B190" s="11" t="s">
        <v>307</v>
      </c>
      <c r="C190" s="12">
        <v>0</v>
      </c>
      <c r="D190" s="12">
        <v>0</v>
      </c>
      <c r="E190" s="12"/>
    </row>
    <row r="191" spans="1:5" ht="15" customHeight="1" x14ac:dyDescent="0.25">
      <c r="A191" s="9" t="s">
        <v>308</v>
      </c>
      <c r="B191" s="9" t="s">
        <v>309</v>
      </c>
      <c r="C191" s="10">
        <v>33875206.840000004</v>
      </c>
      <c r="D191" s="10">
        <v>26417334.420000002</v>
      </c>
      <c r="E191" s="10"/>
    </row>
    <row r="192" spans="1:5" ht="15" customHeight="1" x14ac:dyDescent="0.25">
      <c r="A192" s="11" t="s">
        <v>310</v>
      </c>
      <c r="B192" s="11" t="s">
        <v>311</v>
      </c>
      <c r="C192" s="12">
        <v>0</v>
      </c>
      <c r="D192" s="12">
        <v>-48080.97</v>
      </c>
      <c r="E192" s="12"/>
    </row>
    <row r="193" spans="1:5" ht="15" customHeight="1" x14ac:dyDescent="0.25">
      <c r="A193" s="9" t="s">
        <v>312</v>
      </c>
      <c r="B193" s="9" t="s">
        <v>313</v>
      </c>
      <c r="C193" s="10">
        <v>4032539.26</v>
      </c>
      <c r="D193" s="10">
        <v>-2775602.44</v>
      </c>
      <c r="E193" s="10"/>
    </row>
    <row r="194" spans="1:5" ht="15" customHeight="1" x14ac:dyDescent="0.25">
      <c r="A194" s="11" t="s">
        <v>897</v>
      </c>
      <c r="B194" s="11" t="s">
        <v>898</v>
      </c>
      <c r="C194" s="12"/>
      <c r="D194" s="12">
        <v>0</v>
      </c>
      <c r="E194" s="12"/>
    </row>
    <row r="195" spans="1:5" ht="15" customHeight="1" x14ac:dyDescent="0.25">
      <c r="A195" s="9" t="s">
        <v>314</v>
      </c>
      <c r="B195" s="9" t="s">
        <v>315</v>
      </c>
      <c r="C195" s="10">
        <v>0</v>
      </c>
      <c r="D195" s="10">
        <v>0</v>
      </c>
      <c r="E195" s="10"/>
    </row>
    <row r="196" spans="1:5" ht="15" customHeight="1" x14ac:dyDescent="0.25">
      <c r="A196" s="11" t="s">
        <v>316</v>
      </c>
      <c r="B196" s="11" t="s">
        <v>317</v>
      </c>
      <c r="C196" s="12">
        <v>-2207.9960000000001</v>
      </c>
      <c r="D196" s="12">
        <v>1528297.83</v>
      </c>
      <c r="E196" s="12"/>
    </row>
    <row r="197" spans="1:5" ht="15" customHeight="1" x14ac:dyDescent="0.25">
      <c r="A197" s="9" t="s">
        <v>318</v>
      </c>
      <c r="B197" s="9" t="s">
        <v>319</v>
      </c>
      <c r="C197" s="10">
        <v>0</v>
      </c>
      <c r="D197" s="10">
        <v>80340.58</v>
      </c>
      <c r="E197" s="10"/>
    </row>
    <row r="198" spans="1:5" ht="15" customHeight="1" x14ac:dyDescent="0.25">
      <c r="A198" s="11" t="s">
        <v>320</v>
      </c>
      <c r="B198" s="11" t="s">
        <v>321</v>
      </c>
      <c r="C198" s="12">
        <v>33987404.369999997</v>
      </c>
      <c r="D198" s="12">
        <v>55246146.770000003</v>
      </c>
      <c r="E198" s="12"/>
    </row>
    <row r="199" spans="1:5" ht="15" customHeight="1" x14ac:dyDescent="0.25">
      <c r="A199" s="9" t="s">
        <v>322</v>
      </c>
      <c r="B199" s="9" t="s">
        <v>323</v>
      </c>
      <c r="C199" s="10">
        <v>15510988.800000001</v>
      </c>
      <c r="D199" s="10">
        <v>36254124.479999997</v>
      </c>
      <c r="E199" s="10"/>
    </row>
    <row r="200" spans="1:5" ht="15" customHeight="1" x14ac:dyDescent="0.25">
      <c r="A200" s="11" t="s">
        <v>324</v>
      </c>
      <c r="B200" s="11" t="s">
        <v>283</v>
      </c>
      <c r="C200" s="12">
        <v>0</v>
      </c>
      <c r="D200" s="12">
        <v>0</v>
      </c>
      <c r="E200" s="12"/>
    </row>
    <row r="201" spans="1:5" ht="15" customHeight="1" x14ac:dyDescent="0.25">
      <c r="A201" s="9" t="s">
        <v>325</v>
      </c>
      <c r="B201" s="9" t="s">
        <v>326</v>
      </c>
      <c r="C201" s="10">
        <v>0</v>
      </c>
      <c r="D201" s="10">
        <v>-40209.550000000003</v>
      </c>
      <c r="E201" s="10"/>
    </row>
    <row r="202" spans="1:5" ht="15" customHeight="1" x14ac:dyDescent="0.25">
      <c r="A202" s="11" t="s">
        <v>327</v>
      </c>
      <c r="B202" s="11" t="s">
        <v>328</v>
      </c>
      <c r="C202" s="12">
        <v>0</v>
      </c>
      <c r="D202" s="12">
        <v>337574.15</v>
      </c>
      <c r="E202" s="12"/>
    </row>
    <row r="203" spans="1:5" ht="15" customHeight="1" x14ac:dyDescent="0.25">
      <c r="A203" s="9" t="s">
        <v>329</v>
      </c>
      <c r="B203" s="9" t="s">
        <v>330</v>
      </c>
      <c r="C203" s="10">
        <v>0</v>
      </c>
      <c r="D203" s="10">
        <v>-19514.86</v>
      </c>
      <c r="E203" s="10"/>
    </row>
    <row r="204" spans="1:5" ht="15" customHeight="1" x14ac:dyDescent="0.25">
      <c r="A204" s="11" t="s">
        <v>331</v>
      </c>
      <c r="B204" s="11" t="s">
        <v>332</v>
      </c>
      <c r="C204" s="12">
        <v>-1815</v>
      </c>
      <c r="D204" s="12">
        <v>0</v>
      </c>
      <c r="E204" s="12"/>
    </row>
    <row r="205" spans="1:5" ht="15" customHeight="1" x14ac:dyDescent="0.25">
      <c r="A205" s="9" t="s">
        <v>333</v>
      </c>
      <c r="B205" s="9" t="s">
        <v>334</v>
      </c>
      <c r="C205" s="10">
        <v>0</v>
      </c>
      <c r="D205" s="10">
        <v>0</v>
      </c>
      <c r="E205" s="10"/>
    </row>
    <row r="206" spans="1:5" ht="15" customHeight="1" x14ac:dyDescent="0.25">
      <c r="A206" s="11" t="s">
        <v>335</v>
      </c>
      <c r="B206" s="11" t="s">
        <v>336</v>
      </c>
      <c r="C206" s="12">
        <v>0</v>
      </c>
      <c r="D206" s="12">
        <v>0</v>
      </c>
      <c r="E206" s="12"/>
    </row>
    <row r="207" spans="1:5" ht="15" customHeight="1" x14ac:dyDescent="0.25">
      <c r="A207" s="9" t="s">
        <v>337</v>
      </c>
      <c r="B207" s="9" t="s">
        <v>338</v>
      </c>
      <c r="C207" s="10">
        <v>0</v>
      </c>
      <c r="D207" s="10">
        <v>-91712.75</v>
      </c>
      <c r="E207" s="10"/>
    </row>
    <row r="208" spans="1:5" ht="15" customHeight="1" x14ac:dyDescent="0.25">
      <c r="A208" s="11" t="s">
        <v>339</v>
      </c>
      <c r="B208" s="11" t="s">
        <v>340</v>
      </c>
      <c r="C208" s="12">
        <v>4043883.46</v>
      </c>
      <c r="D208" s="12">
        <v>148827.63</v>
      </c>
      <c r="E208" s="12"/>
    </row>
    <row r="209" spans="1:5" ht="15" customHeight="1" x14ac:dyDescent="0.25">
      <c r="A209" s="9" t="s">
        <v>899</v>
      </c>
      <c r="B209" s="9" t="s">
        <v>900</v>
      </c>
      <c r="C209" s="10"/>
      <c r="D209" s="10">
        <v>-36005.040000000001</v>
      </c>
      <c r="E209" s="10"/>
    </row>
    <row r="210" spans="1:5" ht="15" customHeight="1" x14ac:dyDescent="0.25">
      <c r="A210" s="11" t="s">
        <v>901</v>
      </c>
      <c r="B210" s="11" t="s">
        <v>902</v>
      </c>
      <c r="C210" s="12"/>
      <c r="D210" s="12">
        <v>-40511.06</v>
      </c>
      <c r="E210" s="12"/>
    </row>
    <row r="211" spans="1:5" ht="15" customHeight="1" x14ac:dyDescent="0.25">
      <c r="A211" s="9" t="s">
        <v>903</v>
      </c>
      <c r="B211" s="9" t="s">
        <v>902</v>
      </c>
      <c r="C211" s="10"/>
      <c r="D211" s="10">
        <v>-201615.19</v>
      </c>
      <c r="E211" s="10"/>
    </row>
    <row r="212" spans="1:5" ht="15" customHeight="1" x14ac:dyDescent="0.25">
      <c r="A212" s="11" t="s">
        <v>341</v>
      </c>
      <c r="B212" s="11" t="s">
        <v>342</v>
      </c>
      <c r="C212" s="12">
        <v>-1176353749.3399999</v>
      </c>
      <c r="D212" s="12">
        <v>-3429090914.4000001</v>
      </c>
      <c r="E212" s="12"/>
    </row>
    <row r="213" spans="1:5" ht="15" customHeight="1" x14ac:dyDescent="0.25">
      <c r="A213" s="9" t="s">
        <v>343</v>
      </c>
      <c r="B213" s="9" t="s">
        <v>344</v>
      </c>
      <c r="C213" s="10">
        <v>0</v>
      </c>
      <c r="D213" s="10">
        <v>0</v>
      </c>
      <c r="E213" s="10"/>
    </row>
    <row r="214" spans="1:5" ht="15" customHeight="1" x14ac:dyDescent="0.25">
      <c r="A214" s="11" t="s">
        <v>345</v>
      </c>
      <c r="B214" s="11" t="s">
        <v>346</v>
      </c>
      <c r="C214" s="12">
        <v>-276159704.86000001</v>
      </c>
      <c r="D214" s="12">
        <v>0</v>
      </c>
      <c r="E214" s="12"/>
    </row>
    <row r="215" spans="1:5" ht="15" customHeight="1" x14ac:dyDescent="0.25">
      <c r="A215" s="9" t="s">
        <v>347</v>
      </c>
      <c r="B215" s="9" t="s">
        <v>348</v>
      </c>
      <c r="C215" s="10">
        <v>-93460.08</v>
      </c>
      <c r="D215" s="10">
        <v>1865652.17</v>
      </c>
      <c r="E215" s="10"/>
    </row>
    <row r="216" spans="1:5" ht="15" customHeight="1" x14ac:dyDescent="0.25">
      <c r="A216" s="11" t="s">
        <v>349</v>
      </c>
      <c r="B216" s="11" t="s">
        <v>350</v>
      </c>
      <c r="C216" s="12">
        <v>-161427.97</v>
      </c>
      <c r="D216" s="12">
        <v>-7290631.4000000004</v>
      </c>
      <c r="E216" s="12"/>
    </row>
    <row r="217" spans="1:5" ht="15" customHeight="1" x14ac:dyDescent="0.25">
      <c r="A217" s="9" t="s">
        <v>904</v>
      </c>
      <c r="B217" s="9" t="s">
        <v>905</v>
      </c>
      <c r="C217" s="10"/>
      <c r="D217" s="10">
        <v>7965224</v>
      </c>
      <c r="E217" s="10"/>
    </row>
    <row r="218" spans="1:5" ht="15" customHeight="1" x14ac:dyDescent="0.25">
      <c r="A218" s="11" t="s">
        <v>351</v>
      </c>
      <c r="B218" s="11" t="s">
        <v>352</v>
      </c>
      <c r="C218" s="12">
        <v>0</v>
      </c>
      <c r="D218" s="12">
        <v>0</v>
      </c>
      <c r="E218" s="12"/>
    </row>
    <row r="219" spans="1:5" ht="15" customHeight="1" x14ac:dyDescent="0.25">
      <c r="A219" s="9" t="s">
        <v>353</v>
      </c>
      <c r="B219" s="9" t="s">
        <v>354</v>
      </c>
      <c r="C219" s="10">
        <v>-1513461696.9200001</v>
      </c>
      <c r="D219" s="10">
        <v>-50369763</v>
      </c>
      <c r="E219" s="10"/>
    </row>
    <row r="220" spans="1:5" ht="15" customHeight="1" x14ac:dyDescent="0.25">
      <c r="A220" s="11" t="s">
        <v>355</v>
      </c>
      <c r="B220" s="11" t="s">
        <v>356</v>
      </c>
      <c r="C220" s="12">
        <v>571413.94999999995</v>
      </c>
      <c r="D220" s="12">
        <v>-990292139.40999997</v>
      </c>
      <c r="E220" s="12"/>
    </row>
    <row r="221" spans="1:5" ht="15" customHeight="1" x14ac:dyDescent="0.25">
      <c r="A221" s="9" t="s">
        <v>906</v>
      </c>
      <c r="B221" s="9" t="s">
        <v>907</v>
      </c>
      <c r="C221" s="10"/>
      <c r="D221" s="10">
        <v>-3041075.65</v>
      </c>
      <c r="E221" s="10"/>
    </row>
    <row r="222" spans="1:5" ht="15" customHeight="1" x14ac:dyDescent="0.25">
      <c r="A222" s="11" t="s">
        <v>357</v>
      </c>
      <c r="B222" s="11" t="s">
        <v>358</v>
      </c>
      <c r="C222" s="12">
        <v>14400371.880000001</v>
      </c>
      <c r="D222" s="12">
        <v>19023944.93</v>
      </c>
      <c r="E222" s="12"/>
    </row>
    <row r="223" spans="1:5" ht="15" customHeight="1" x14ac:dyDescent="0.25">
      <c r="A223" s="9" t="s">
        <v>359</v>
      </c>
      <c r="B223" s="9" t="s">
        <v>360</v>
      </c>
      <c r="C223" s="10">
        <v>-14400371.880000001</v>
      </c>
      <c r="D223" s="10">
        <v>-12910260.52</v>
      </c>
      <c r="E223" s="10"/>
    </row>
    <row r="224" spans="1:5" ht="15" customHeight="1" x14ac:dyDescent="0.25">
      <c r="A224" s="11" t="s">
        <v>908</v>
      </c>
      <c r="B224" s="11" t="s">
        <v>909</v>
      </c>
      <c r="C224" s="12"/>
      <c r="D224" s="12">
        <v>-406954.13</v>
      </c>
      <c r="E224" s="12"/>
    </row>
    <row r="225" spans="1:5" ht="15" customHeight="1" x14ac:dyDescent="0.25">
      <c r="A225" s="9" t="s">
        <v>910</v>
      </c>
      <c r="B225" s="9" t="s">
        <v>911</v>
      </c>
      <c r="C225" s="10"/>
      <c r="D225" s="10">
        <v>179229.91</v>
      </c>
      <c r="E225" s="10"/>
    </row>
    <row r="226" spans="1:5" ht="15" customHeight="1" x14ac:dyDescent="0.25">
      <c r="A226" s="11" t="s">
        <v>912</v>
      </c>
      <c r="B226" s="11" t="s">
        <v>913</v>
      </c>
      <c r="C226" s="12"/>
      <c r="D226" s="12">
        <v>0</v>
      </c>
      <c r="E226" s="12"/>
    </row>
    <row r="227" spans="1:5" ht="15" customHeight="1" x14ac:dyDescent="0.25">
      <c r="A227" s="9" t="s">
        <v>361</v>
      </c>
      <c r="B227" s="9" t="s">
        <v>362</v>
      </c>
      <c r="C227" s="10">
        <v>0</v>
      </c>
      <c r="D227" s="10">
        <v>33295431.829999998</v>
      </c>
      <c r="E227" s="10">
        <v>8700</v>
      </c>
    </row>
    <row r="228" spans="1:5" ht="15" customHeight="1" x14ac:dyDescent="0.25">
      <c r="A228" s="11" t="s">
        <v>363</v>
      </c>
      <c r="B228" s="11" t="s">
        <v>364</v>
      </c>
      <c r="C228" s="12">
        <v>0</v>
      </c>
      <c r="D228" s="12">
        <v>0</v>
      </c>
      <c r="E228" s="12"/>
    </row>
    <row r="229" spans="1:5" ht="15" customHeight="1" x14ac:dyDescent="0.25">
      <c r="A229" s="9" t="s">
        <v>365</v>
      </c>
      <c r="B229" s="9" t="s">
        <v>366</v>
      </c>
      <c r="C229" s="10">
        <v>490.91</v>
      </c>
      <c r="D229" s="10">
        <v>0</v>
      </c>
      <c r="E229" s="10"/>
    </row>
    <row r="230" spans="1:5" ht="15" customHeight="1" x14ac:dyDescent="0.25">
      <c r="A230" s="11" t="s">
        <v>367</v>
      </c>
      <c r="B230" s="11" t="s">
        <v>368</v>
      </c>
      <c r="C230" s="12">
        <v>-1941296.66</v>
      </c>
      <c r="D230" s="12">
        <v>-4104758.67</v>
      </c>
      <c r="E230" s="12"/>
    </row>
    <row r="231" spans="1:5" ht="15" customHeight="1" x14ac:dyDescent="0.25">
      <c r="A231" s="9" t="s">
        <v>369</v>
      </c>
      <c r="B231" s="9" t="s">
        <v>370</v>
      </c>
      <c r="C231" s="10">
        <v>162193467.06</v>
      </c>
      <c r="D231" s="10">
        <v>43142691.32</v>
      </c>
      <c r="E231" s="10"/>
    </row>
    <row r="232" spans="1:5" ht="15" customHeight="1" x14ac:dyDescent="0.25">
      <c r="A232" s="11" t="s">
        <v>371</v>
      </c>
      <c r="B232" s="11" t="s">
        <v>372</v>
      </c>
      <c r="C232" s="12">
        <v>-31194764.59</v>
      </c>
      <c r="D232" s="12"/>
      <c r="E232" s="12"/>
    </row>
    <row r="233" spans="1:5" ht="15" customHeight="1" x14ac:dyDescent="0.25">
      <c r="A233" s="9" t="s">
        <v>373</v>
      </c>
      <c r="B233" s="9" t="s">
        <v>374</v>
      </c>
      <c r="C233" s="10">
        <v>-8393506.5899999999</v>
      </c>
      <c r="D233" s="10">
        <v>0</v>
      </c>
      <c r="E233" s="10"/>
    </row>
    <row r="234" spans="1:5" ht="15" customHeight="1" x14ac:dyDescent="0.25">
      <c r="A234" s="11" t="s">
        <v>375</v>
      </c>
      <c r="B234" s="11" t="s">
        <v>376</v>
      </c>
      <c r="C234" s="12">
        <v>0</v>
      </c>
      <c r="D234" s="12"/>
      <c r="E234" s="12"/>
    </row>
    <row r="235" spans="1:5" ht="15" customHeight="1" x14ac:dyDescent="0.25">
      <c r="A235" s="9" t="s">
        <v>377</v>
      </c>
      <c r="B235" s="9" t="s">
        <v>378</v>
      </c>
      <c r="C235" s="10">
        <v>-71400000</v>
      </c>
      <c r="D235" s="10">
        <v>-200400000</v>
      </c>
      <c r="E235" s="10"/>
    </row>
    <row r="236" spans="1:5" ht="15" customHeight="1" x14ac:dyDescent="0.25">
      <c r="A236" s="11" t="s">
        <v>379</v>
      </c>
      <c r="B236" s="11" t="s">
        <v>380</v>
      </c>
      <c r="C236" s="12">
        <v>76665.64</v>
      </c>
      <c r="D236" s="12">
        <v>0</v>
      </c>
      <c r="E236" s="12"/>
    </row>
    <row r="237" spans="1:5" ht="15" customHeight="1" x14ac:dyDescent="0.25">
      <c r="A237" s="9" t="s">
        <v>381</v>
      </c>
      <c r="B237" s="9" t="s">
        <v>382</v>
      </c>
      <c r="C237" s="10">
        <v>0</v>
      </c>
      <c r="D237" s="10"/>
      <c r="E237" s="10"/>
    </row>
    <row r="238" spans="1:5" ht="15" customHeight="1" x14ac:dyDescent="0.25">
      <c r="A238" s="11" t="s">
        <v>383</v>
      </c>
      <c r="B238" s="11" t="s">
        <v>384</v>
      </c>
      <c r="C238" s="12">
        <v>0</v>
      </c>
      <c r="D238" s="12"/>
      <c r="E238" s="12"/>
    </row>
    <row r="239" spans="1:5" ht="15" customHeight="1" x14ac:dyDescent="0.25">
      <c r="A239" s="9" t="s">
        <v>385</v>
      </c>
      <c r="B239" s="9" t="s">
        <v>386</v>
      </c>
      <c r="C239" s="10">
        <v>0</v>
      </c>
      <c r="D239" s="10"/>
      <c r="E239" s="10"/>
    </row>
    <row r="240" spans="1:5" ht="15" customHeight="1" x14ac:dyDescent="0.25">
      <c r="A240" s="11" t="s">
        <v>387</v>
      </c>
      <c r="B240" s="11" t="s">
        <v>388</v>
      </c>
      <c r="C240" s="12">
        <v>0</v>
      </c>
      <c r="D240" s="12"/>
      <c r="E240" s="12"/>
    </row>
    <row r="241" spans="1:5" ht="15" customHeight="1" x14ac:dyDescent="0.25">
      <c r="A241" s="9" t="s">
        <v>389</v>
      </c>
      <c r="B241" s="9" t="s">
        <v>390</v>
      </c>
      <c r="C241" s="10">
        <v>0</v>
      </c>
      <c r="D241" s="10">
        <v>0</v>
      </c>
      <c r="E241" s="10"/>
    </row>
    <row r="242" spans="1:5" ht="15" customHeight="1" x14ac:dyDescent="0.25">
      <c r="A242" s="11" t="s">
        <v>391</v>
      </c>
      <c r="B242" s="11" t="s">
        <v>392</v>
      </c>
      <c r="C242" s="12">
        <v>-46664216.18</v>
      </c>
      <c r="D242" s="12"/>
      <c r="E242" s="12"/>
    </row>
    <row r="243" spans="1:5" ht="15" customHeight="1" x14ac:dyDescent="0.25">
      <c r="A243" s="9" t="s">
        <v>393</v>
      </c>
      <c r="B243" s="9" t="s">
        <v>394</v>
      </c>
      <c r="C243" s="10">
        <v>0</v>
      </c>
      <c r="D243" s="10"/>
      <c r="E243" s="10"/>
    </row>
    <row r="244" spans="1:5" ht="15" customHeight="1" x14ac:dyDescent="0.25">
      <c r="A244" s="11" t="s">
        <v>395</v>
      </c>
      <c r="B244" s="11" t="s">
        <v>396</v>
      </c>
      <c r="C244" s="12">
        <v>8646745.2100000009</v>
      </c>
      <c r="D244" s="12"/>
      <c r="E244" s="12"/>
    </row>
    <row r="245" spans="1:5" ht="15" customHeight="1" x14ac:dyDescent="0.25">
      <c r="A245" s="9" t="s">
        <v>397</v>
      </c>
      <c r="B245" s="9" t="s">
        <v>398</v>
      </c>
      <c r="C245" s="10">
        <v>-100000000</v>
      </c>
      <c r="D245" s="10">
        <v>0</v>
      </c>
      <c r="E245" s="10"/>
    </row>
    <row r="246" spans="1:5" ht="15" customHeight="1" x14ac:dyDescent="0.25">
      <c r="A246" s="11" t="s">
        <v>399</v>
      </c>
      <c r="B246" s="11" t="s">
        <v>400</v>
      </c>
      <c r="C246" s="12">
        <v>0</v>
      </c>
      <c r="D246" s="12"/>
      <c r="E246" s="12"/>
    </row>
    <row r="247" spans="1:5" ht="15" customHeight="1" x14ac:dyDescent="0.25">
      <c r="A247" s="9" t="s">
        <v>401</v>
      </c>
      <c r="B247" s="9" t="s">
        <v>402</v>
      </c>
      <c r="C247" s="10">
        <v>-2033207273.6500001</v>
      </c>
      <c r="D247" s="10">
        <v>-2536833333.3000002</v>
      </c>
      <c r="E247" s="10"/>
    </row>
    <row r="248" spans="1:5" ht="15" customHeight="1" x14ac:dyDescent="0.25">
      <c r="A248" s="11" t="s">
        <v>403</v>
      </c>
      <c r="B248" s="11" t="s">
        <v>404</v>
      </c>
      <c r="C248" s="12">
        <v>-187776000</v>
      </c>
      <c r="D248" s="12">
        <v>-389461000</v>
      </c>
      <c r="E248" s="12"/>
    </row>
    <row r="249" spans="1:5" ht="15" customHeight="1" x14ac:dyDescent="0.25">
      <c r="A249" s="9" t="s">
        <v>405</v>
      </c>
      <c r="B249" s="9" t="s">
        <v>406</v>
      </c>
      <c r="C249" s="10">
        <v>0</v>
      </c>
      <c r="D249" s="10">
        <v>0</v>
      </c>
      <c r="E249" s="10"/>
    </row>
    <row r="250" spans="1:5" ht="15" customHeight="1" x14ac:dyDescent="0.25">
      <c r="A250" s="11" t="s">
        <v>407</v>
      </c>
      <c r="B250" s="11" t="s">
        <v>408</v>
      </c>
      <c r="C250" s="12">
        <v>0</v>
      </c>
      <c r="D250" s="12"/>
      <c r="E250" s="12"/>
    </row>
    <row r="251" spans="1:5" ht="15" customHeight="1" x14ac:dyDescent="0.25">
      <c r="A251" s="9" t="s">
        <v>409</v>
      </c>
      <c r="B251" s="9" t="s">
        <v>410</v>
      </c>
      <c r="C251" s="10">
        <v>11828622.199999999</v>
      </c>
      <c r="D251" s="10">
        <v>0</v>
      </c>
      <c r="E251" s="10"/>
    </row>
    <row r="252" spans="1:5" ht="15" customHeight="1" x14ac:dyDescent="0.25">
      <c r="A252" s="11" t="s">
        <v>411</v>
      </c>
      <c r="B252" s="11" t="s">
        <v>412</v>
      </c>
      <c r="C252" s="12">
        <v>0.25</v>
      </c>
      <c r="D252" s="12"/>
      <c r="E252" s="12"/>
    </row>
    <row r="253" spans="1:5" ht="15" customHeight="1" x14ac:dyDescent="0.25">
      <c r="A253" s="9" t="s">
        <v>413</v>
      </c>
      <c r="B253" s="9" t="s">
        <v>414</v>
      </c>
      <c r="C253" s="10">
        <v>-190692077</v>
      </c>
      <c r="D253" s="10">
        <v>-313978526.85000002</v>
      </c>
      <c r="E253" s="10"/>
    </row>
    <row r="254" spans="1:5" ht="15" customHeight="1" x14ac:dyDescent="0.25">
      <c r="A254" s="11" t="s">
        <v>415</v>
      </c>
      <c r="B254" s="11" t="s">
        <v>416</v>
      </c>
      <c r="C254" s="12">
        <v>0</v>
      </c>
      <c r="D254" s="12"/>
      <c r="E254" s="12"/>
    </row>
    <row r="255" spans="1:5" ht="15" customHeight="1" x14ac:dyDescent="0.25">
      <c r="A255" s="9" t="s">
        <v>417</v>
      </c>
      <c r="B255" s="9" t="s">
        <v>418</v>
      </c>
      <c r="C255" s="10">
        <v>-503052209.74000001</v>
      </c>
      <c r="D255" s="10">
        <v>-96354166.629999995</v>
      </c>
      <c r="E255" s="10"/>
    </row>
    <row r="256" spans="1:5" ht="15" customHeight="1" x14ac:dyDescent="0.25">
      <c r="A256" s="11" t="s">
        <v>419</v>
      </c>
      <c r="B256" s="11" t="s">
        <v>420</v>
      </c>
      <c r="C256" s="12">
        <v>-5700000</v>
      </c>
      <c r="D256" s="12">
        <v>15625000</v>
      </c>
      <c r="E256" s="12"/>
    </row>
    <row r="257" spans="1:5" ht="15" customHeight="1" x14ac:dyDescent="0.25">
      <c r="A257" s="9" t="s">
        <v>421</v>
      </c>
      <c r="B257" s="9" t="s">
        <v>422</v>
      </c>
      <c r="C257" s="10">
        <v>0</v>
      </c>
      <c r="D257" s="10">
        <v>2386.5100000000002</v>
      </c>
      <c r="E257" s="10"/>
    </row>
    <row r="258" spans="1:5" ht="15" customHeight="1" x14ac:dyDescent="0.25">
      <c r="A258" s="11" t="s">
        <v>423</v>
      </c>
      <c r="B258" s="11" t="s">
        <v>424</v>
      </c>
      <c r="C258" s="12">
        <v>-758075417.70000005</v>
      </c>
      <c r="D258" s="12"/>
      <c r="E258" s="12"/>
    </row>
    <row r="259" spans="1:5" ht="15" customHeight="1" x14ac:dyDescent="0.25">
      <c r="A259" s="9" t="s">
        <v>425</v>
      </c>
      <c r="B259" s="9" t="s">
        <v>426</v>
      </c>
      <c r="C259" s="10">
        <v>-287335106.01999998</v>
      </c>
      <c r="D259" s="10"/>
      <c r="E259" s="10"/>
    </row>
    <row r="260" spans="1:5" ht="15" customHeight="1" x14ac:dyDescent="0.25">
      <c r="A260" s="11" t="s">
        <v>427</v>
      </c>
      <c r="B260" s="11" t="s">
        <v>428</v>
      </c>
      <c r="C260" s="12">
        <v>6760874.7300000004</v>
      </c>
      <c r="D260" s="12"/>
      <c r="E260" s="12"/>
    </row>
    <row r="261" spans="1:5" ht="15" customHeight="1" x14ac:dyDescent="0.25">
      <c r="A261" s="9" t="s">
        <v>429</v>
      </c>
      <c r="B261" s="9" t="s">
        <v>430</v>
      </c>
      <c r="C261" s="10">
        <v>-4802500.71</v>
      </c>
      <c r="D261" s="10">
        <v>-31483973.550000001</v>
      </c>
      <c r="E261" s="10"/>
    </row>
    <row r="262" spans="1:5" ht="15" customHeight="1" x14ac:dyDescent="0.25">
      <c r="A262" s="11" t="s">
        <v>431</v>
      </c>
      <c r="B262" s="11" t="s">
        <v>432</v>
      </c>
      <c r="C262" s="12">
        <v>517015298.88999999</v>
      </c>
      <c r="D262" s="12"/>
      <c r="E262" s="12"/>
    </row>
    <row r="263" spans="1:5" ht="15" customHeight="1" x14ac:dyDescent="0.25">
      <c r="A263" s="9" t="s">
        <v>433</v>
      </c>
      <c r="B263" s="9" t="s">
        <v>434</v>
      </c>
      <c r="C263" s="10">
        <v>-5263420181.8100004</v>
      </c>
      <c r="D263" s="10"/>
      <c r="E263" s="10"/>
    </row>
    <row r="264" spans="1:5" ht="15" customHeight="1" x14ac:dyDescent="0.25">
      <c r="A264" s="11" t="s">
        <v>435</v>
      </c>
      <c r="B264" s="11" t="s">
        <v>436</v>
      </c>
      <c r="C264" s="12">
        <v>-1341736948.3800001</v>
      </c>
      <c r="D264" s="12"/>
      <c r="E264" s="12"/>
    </row>
    <row r="265" spans="1:5" ht="15" customHeight="1" x14ac:dyDescent="0.25">
      <c r="A265" s="9" t="s">
        <v>437</v>
      </c>
      <c r="B265" s="9" t="s">
        <v>438</v>
      </c>
      <c r="C265" s="10">
        <v>-545044774.78999996</v>
      </c>
      <c r="D265" s="10"/>
      <c r="E265" s="10"/>
    </row>
    <row r="266" spans="1:5" ht="15" customHeight="1" x14ac:dyDescent="0.25">
      <c r="A266" s="11" t="s">
        <v>914</v>
      </c>
      <c r="B266" s="11" t="s">
        <v>915</v>
      </c>
      <c r="C266" s="12"/>
      <c r="D266" s="12">
        <v>-521509030</v>
      </c>
      <c r="E266" s="12"/>
    </row>
    <row r="267" spans="1:5" ht="15" customHeight="1" x14ac:dyDescent="0.25">
      <c r="A267" s="9" t="s">
        <v>439</v>
      </c>
      <c r="B267" s="9" t="s">
        <v>440</v>
      </c>
      <c r="C267" s="10">
        <v>-764863.67</v>
      </c>
      <c r="D267" s="10"/>
      <c r="E267" s="10"/>
    </row>
    <row r="268" spans="1:5" ht="15" customHeight="1" x14ac:dyDescent="0.25">
      <c r="A268" s="11" t="s">
        <v>441</v>
      </c>
      <c r="B268" s="11" t="s">
        <v>442</v>
      </c>
      <c r="C268" s="12">
        <v>0</v>
      </c>
      <c r="D268" s="12"/>
      <c r="E268" s="12"/>
    </row>
    <row r="269" spans="1:5" ht="15" customHeight="1" x14ac:dyDescent="0.25">
      <c r="A269" s="9" t="s">
        <v>443</v>
      </c>
      <c r="B269" s="9" t="s">
        <v>444</v>
      </c>
      <c r="C269" s="10">
        <v>0.21</v>
      </c>
      <c r="D269" s="10"/>
      <c r="E269" s="10"/>
    </row>
    <row r="270" spans="1:5" ht="15" customHeight="1" x14ac:dyDescent="0.25">
      <c r="A270" s="11" t="s">
        <v>916</v>
      </c>
      <c r="B270" s="11" t="s">
        <v>993</v>
      </c>
      <c r="C270" s="12"/>
      <c r="D270" s="12">
        <v>-80279837.099999994</v>
      </c>
      <c r="E270" s="12"/>
    </row>
    <row r="271" spans="1:5" ht="15" customHeight="1" x14ac:dyDescent="0.25">
      <c r="A271" s="9" t="s">
        <v>445</v>
      </c>
      <c r="B271" s="9" t="s">
        <v>446</v>
      </c>
      <c r="C271" s="10">
        <v>0</v>
      </c>
      <c r="D271" s="10"/>
      <c r="E271" s="10"/>
    </row>
    <row r="272" spans="1:5" ht="15" customHeight="1" x14ac:dyDescent="0.25">
      <c r="A272" s="11" t="s">
        <v>447</v>
      </c>
      <c r="B272" s="11" t="s">
        <v>448</v>
      </c>
      <c r="C272" s="12">
        <v>0</v>
      </c>
      <c r="D272" s="12"/>
      <c r="E272" s="12"/>
    </row>
    <row r="273" spans="1:5" ht="15" customHeight="1" x14ac:dyDescent="0.25">
      <c r="A273" s="9" t="s">
        <v>918</v>
      </c>
      <c r="B273" s="9" t="s">
        <v>919</v>
      </c>
      <c r="C273" s="10"/>
      <c r="D273" s="10">
        <v>-1093500000</v>
      </c>
      <c r="E273" s="10"/>
    </row>
    <row r="274" spans="1:5" ht="15" customHeight="1" x14ac:dyDescent="0.25">
      <c r="A274" s="11" t="s">
        <v>449</v>
      </c>
      <c r="B274" s="11" t="s">
        <v>450</v>
      </c>
      <c r="C274" s="12">
        <v>-2001000000</v>
      </c>
      <c r="D274" s="12"/>
      <c r="E274" s="12"/>
    </row>
    <row r="275" spans="1:5" ht="15" customHeight="1" x14ac:dyDescent="0.25">
      <c r="A275" s="9" t="s">
        <v>920</v>
      </c>
      <c r="B275" s="9" t="s">
        <v>921</v>
      </c>
      <c r="C275" s="10"/>
      <c r="D275" s="10">
        <v>0</v>
      </c>
      <c r="E275" s="10"/>
    </row>
    <row r="276" spans="1:5" ht="15" customHeight="1" x14ac:dyDescent="0.25">
      <c r="A276" s="11" t="s">
        <v>451</v>
      </c>
      <c r="B276" s="11" t="s">
        <v>452</v>
      </c>
      <c r="C276" s="12">
        <v>0</v>
      </c>
      <c r="D276" s="12">
        <v>2065.3000000000002</v>
      </c>
      <c r="E276" s="12"/>
    </row>
    <row r="277" spans="1:5" ht="15" customHeight="1" x14ac:dyDescent="0.25">
      <c r="A277" s="9" t="s">
        <v>453</v>
      </c>
      <c r="B277" s="9" t="s">
        <v>454</v>
      </c>
      <c r="C277" s="10">
        <v>-2037</v>
      </c>
      <c r="D277" s="10">
        <v>0</v>
      </c>
      <c r="E277" s="10"/>
    </row>
    <row r="278" spans="1:5" ht="15" customHeight="1" x14ac:dyDescent="0.25">
      <c r="A278" s="11" t="s">
        <v>455</v>
      </c>
      <c r="B278" s="11" t="s">
        <v>456</v>
      </c>
      <c r="C278" s="12">
        <v>0</v>
      </c>
      <c r="D278" s="12">
        <v>0</v>
      </c>
      <c r="E278" s="12"/>
    </row>
    <row r="279" spans="1:5" ht="15" customHeight="1" x14ac:dyDescent="0.25">
      <c r="A279" s="9" t="s">
        <v>457</v>
      </c>
      <c r="B279" s="9" t="s">
        <v>458</v>
      </c>
      <c r="C279" s="10">
        <v>0</v>
      </c>
      <c r="D279" s="10"/>
      <c r="E279" s="10"/>
    </row>
    <row r="280" spans="1:5" ht="15" customHeight="1" x14ac:dyDescent="0.25">
      <c r="A280" s="11" t="s">
        <v>459</v>
      </c>
      <c r="B280" s="11" t="s">
        <v>460</v>
      </c>
      <c r="C280" s="12">
        <v>-634574514.82000005</v>
      </c>
      <c r="D280" s="12">
        <v>0</v>
      </c>
      <c r="E280" s="12"/>
    </row>
    <row r="281" spans="1:5" ht="15" customHeight="1" x14ac:dyDescent="0.25">
      <c r="A281" s="9" t="s">
        <v>461</v>
      </c>
      <c r="B281" s="9" t="s">
        <v>462</v>
      </c>
      <c r="C281" s="10">
        <v>0</v>
      </c>
      <c r="D281" s="10">
        <v>6420527.29</v>
      </c>
      <c r="E281" s="10"/>
    </row>
    <row r="282" spans="1:5" ht="15" customHeight="1" x14ac:dyDescent="0.25">
      <c r="A282" s="11" t="s">
        <v>463</v>
      </c>
      <c r="B282" s="11" t="s">
        <v>464</v>
      </c>
      <c r="C282" s="12">
        <v>0</v>
      </c>
      <c r="D282" s="12"/>
      <c r="E282" s="12"/>
    </row>
    <row r="283" spans="1:5" ht="15" customHeight="1" x14ac:dyDescent="0.25">
      <c r="A283" s="9" t="s">
        <v>465</v>
      </c>
      <c r="B283" s="9" t="s">
        <v>466</v>
      </c>
      <c r="C283" s="10">
        <v>0</v>
      </c>
      <c r="D283" s="10"/>
      <c r="E283" s="10"/>
    </row>
    <row r="284" spans="1:5" ht="15" customHeight="1" x14ac:dyDescent="0.25">
      <c r="A284" s="11" t="s">
        <v>467</v>
      </c>
      <c r="B284" s="11" t="s">
        <v>468</v>
      </c>
      <c r="C284" s="12">
        <v>0</v>
      </c>
      <c r="D284" s="12"/>
      <c r="E284" s="12"/>
    </row>
    <row r="285" spans="1:5" ht="15" customHeight="1" x14ac:dyDescent="0.25">
      <c r="A285" s="9" t="s">
        <v>469</v>
      </c>
      <c r="B285" s="9" t="s">
        <v>470</v>
      </c>
      <c r="C285" s="10">
        <v>-124162283.06999999</v>
      </c>
      <c r="D285" s="10"/>
      <c r="E285" s="10"/>
    </row>
    <row r="286" spans="1:5" ht="15" customHeight="1" x14ac:dyDescent="0.25">
      <c r="A286" s="11" t="s">
        <v>471</v>
      </c>
      <c r="B286" s="11" t="s">
        <v>472</v>
      </c>
      <c r="C286" s="12">
        <v>0</v>
      </c>
      <c r="D286" s="12"/>
      <c r="E286" s="12"/>
    </row>
    <row r="287" spans="1:5" ht="15" customHeight="1" x14ac:dyDescent="0.25">
      <c r="A287" s="9" t="s">
        <v>473</v>
      </c>
      <c r="B287" s="9" t="s">
        <v>474</v>
      </c>
      <c r="C287" s="10">
        <v>-33307238.149999999</v>
      </c>
      <c r="D287" s="10"/>
      <c r="E287" s="10"/>
    </row>
    <row r="288" spans="1:5" ht="15" customHeight="1" x14ac:dyDescent="0.25">
      <c r="A288" s="11" t="s">
        <v>475</v>
      </c>
      <c r="B288" s="11" t="s">
        <v>476</v>
      </c>
      <c r="C288" s="12">
        <v>-1817087</v>
      </c>
      <c r="D288" s="12"/>
      <c r="E288" s="12"/>
    </row>
    <row r="289" spans="1:5" ht="15" customHeight="1" x14ac:dyDescent="0.25">
      <c r="A289" s="9" t="s">
        <v>922</v>
      </c>
      <c r="B289" s="9" t="s">
        <v>994</v>
      </c>
      <c r="C289" s="10"/>
      <c r="D289" s="10">
        <v>277163206.63</v>
      </c>
      <c r="E289" s="10"/>
    </row>
    <row r="290" spans="1:5" ht="15" customHeight="1" x14ac:dyDescent="0.25">
      <c r="A290" s="11" t="s">
        <v>477</v>
      </c>
      <c r="B290" s="11" t="s">
        <v>478</v>
      </c>
      <c r="C290" s="12">
        <v>0</v>
      </c>
      <c r="D290" s="12"/>
      <c r="E290" s="12"/>
    </row>
    <row r="291" spans="1:5" ht="15" customHeight="1" x14ac:dyDescent="0.25">
      <c r="A291" s="18" t="s">
        <v>479</v>
      </c>
      <c r="B291" s="18" t="s">
        <v>480</v>
      </c>
      <c r="C291" s="19">
        <v>-403840</v>
      </c>
      <c r="D291" s="19">
        <v>-100000.11</v>
      </c>
      <c r="E291" s="19"/>
    </row>
    <row r="292" spans="1:5" ht="15" customHeight="1" x14ac:dyDescent="0.25">
      <c r="A292" s="11" t="s">
        <v>481</v>
      </c>
      <c r="B292" s="11" t="s">
        <v>482</v>
      </c>
      <c r="C292" s="12">
        <v>-4925744222.3100004</v>
      </c>
      <c r="D292" s="12"/>
      <c r="E292" s="12"/>
    </row>
    <row r="293" spans="1:5" ht="15" customHeight="1" x14ac:dyDescent="0.25">
      <c r="A293" s="9" t="s">
        <v>483</v>
      </c>
      <c r="B293" s="9" t="s">
        <v>484</v>
      </c>
      <c r="C293" s="10">
        <v>-52227569.079999998</v>
      </c>
      <c r="D293" s="10">
        <v>-12820273.220000001</v>
      </c>
      <c r="E293" s="10"/>
    </row>
    <row r="294" spans="1:5" ht="15" customHeight="1" x14ac:dyDescent="0.25">
      <c r="A294" s="11" t="s">
        <v>485</v>
      </c>
      <c r="B294" s="11" t="s">
        <v>486</v>
      </c>
      <c r="C294" s="12">
        <v>-10439168.43</v>
      </c>
      <c r="D294" s="12">
        <v>-2500095.5699999998</v>
      </c>
      <c r="E294" s="12"/>
    </row>
    <row r="295" spans="1:5" ht="15" customHeight="1" x14ac:dyDescent="0.25">
      <c r="A295" s="9" t="s">
        <v>487</v>
      </c>
      <c r="B295" s="9" t="s">
        <v>488</v>
      </c>
      <c r="C295" s="10">
        <v>-1002874185.65</v>
      </c>
      <c r="D295" s="10"/>
      <c r="E295" s="10"/>
    </row>
    <row r="296" spans="1:5" ht="15" customHeight="1" x14ac:dyDescent="0.25">
      <c r="A296" s="11" t="s">
        <v>924</v>
      </c>
      <c r="B296" s="11" t="s">
        <v>925</v>
      </c>
      <c r="C296" s="12"/>
      <c r="D296" s="12">
        <v>-1626115377.0799999</v>
      </c>
      <c r="E296" s="12"/>
    </row>
    <row r="297" spans="1:5" ht="15" customHeight="1" x14ac:dyDescent="0.25">
      <c r="A297" s="9" t="s">
        <v>489</v>
      </c>
      <c r="B297" s="9" t="s">
        <v>490</v>
      </c>
      <c r="C297" s="10">
        <v>-2533392410.5900002</v>
      </c>
      <c r="D297" s="10">
        <v>0</v>
      </c>
      <c r="E297" s="10"/>
    </row>
    <row r="298" spans="1:5" ht="15" customHeight="1" x14ac:dyDescent="0.25">
      <c r="A298" s="11" t="s">
        <v>926</v>
      </c>
      <c r="B298" s="11" t="s">
        <v>927</v>
      </c>
      <c r="C298" s="12"/>
      <c r="D298" s="12">
        <v>0</v>
      </c>
      <c r="E298" s="12"/>
    </row>
    <row r="299" spans="1:5" ht="15" customHeight="1" x14ac:dyDescent="0.25">
      <c r="A299" s="9" t="s">
        <v>491</v>
      </c>
      <c r="B299" s="9" t="s">
        <v>492</v>
      </c>
      <c r="C299" s="10">
        <v>0</v>
      </c>
      <c r="D299" s="27">
        <v>-1905945733.648</v>
      </c>
      <c r="E299" s="10"/>
    </row>
    <row r="300" spans="1:5" ht="15" customHeight="1" x14ac:dyDescent="0.25">
      <c r="A300" s="11" t="s">
        <v>928</v>
      </c>
      <c r="B300" s="11" t="s">
        <v>929</v>
      </c>
      <c r="C300" s="12"/>
      <c r="D300" s="12">
        <v>-3261879842.3400002</v>
      </c>
      <c r="E300" s="12"/>
    </row>
    <row r="301" spans="1:5" ht="15" customHeight="1" x14ac:dyDescent="0.25">
      <c r="A301" s="9" t="s">
        <v>493</v>
      </c>
      <c r="B301" s="9" t="s">
        <v>494</v>
      </c>
      <c r="C301" s="10">
        <v>-2048795123.9400001</v>
      </c>
      <c r="D301" s="10"/>
      <c r="E301" s="10"/>
    </row>
    <row r="302" spans="1:5" ht="15" customHeight="1" x14ac:dyDescent="0.25">
      <c r="A302" s="20" t="s">
        <v>495</v>
      </c>
      <c r="B302" s="20" t="s">
        <v>496</v>
      </c>
      <c r="C302" s="21">
        <v>0</v>
      </c>
      <c r="D302" s="21">
        <v>-17717600476.310001</v>
      </c>
      <c r="E302" s="21"/>
    </row>
    <row r="303" spans="1:5" ht="15" customHeight="1" x14ac:dyDescent="0.25">
      <c r="A303" s="9" t="s">
        <v>497</v>
      </c>
      <c r="B303" s="9" t="s">
        <v>498</v>
      </c>
      <c r="C303" s="10">
        <v>-317358652.11000001</v>
      </c>
      <c r="D303" s="10">
        <v>-15760270</v>
      </c>
      <c r="E303" s="10"/>
    </row>
    <row r="304" spans="1:5" ht="15" customHeight="1" x14ac:dyDescent="0.25">
      <c r="A304" s="11" t="s">
        <v>499</v>
      </c>
      <c r="B304" s="11" t="s">
        <v>500</v>
      </c>
      <c r="C304" s="12">
        <v>-891450000</v>
      </c>
      <c r="D304" s="12">
        <v>-4562930852.8199997</v>
      </c>
      <c r="E304" s="12"/>
    </row>
    <row r="305" spans="1:5" ht="15" customHeight="1" x14ac:dyDescent="0.25">
      <c r="A305" s="9" t="s">
        <v>501</v>
      </c>
      <c r="B305" s="9" t="s">
        <v>502</v>
      </c>
      <c r="C305" s="10">
        <v>-43357743.520000003</v>
      </c>
      <c r="D305" s="10"/>
      <c r="E305" s="10"/>
    </row>
    <row r="306" spans="1:5" ht="15" customHeight="1" x14ac:dyDescent="0.25">
      <c r="A306" s="11" t="s">
        <v>503</v>
      </c>
      <c r="B306" s="11" t="s">
        <v>504</v>
      </c>
      <c r="C306" s="12">
        <v>0</v>
      </c>
      <c r="D306" s="12"/>
      <c r="E306" s="12"/>
    </row>
    <row r="307" spans="1:5" ht="15" customHeight="1" x14ac:dyDescent="0.25">
      <c r="A307" s="9" t="s">
        <v>505</v>
      </c>
      <c r="B307" s="9" t="s">
        <v>506</v>
      </c>
      <c r="C307" s="10">
        <v>-23438034034.330002</v>
      </c>
      <c r="D307" s="10">
        <v>-23443127076.759998</v>
      </c>
      <c r="E307" s="10"/>
    </row>
    <row r="308" spans="1:5" ht="15" customHeight="1" x14ac:dyDescent="0.25">
      <c r="A308" s="11" t="s">
        <v>507</v>
      </c>
      <c r="B308" s="11" t="s">
        <v>508</v>
      </c>
      <c r="C308" s="12">
        <v>0</v>
      </c>
      <c r="D308" s="12">
        <v>-535858636.24000001</v>
      </c>
      <c r="E308" s="12"/>
    </row>
    <row r="309" spans="1:5" ht="15" customHeight="1" x14ac:dyDescent="0.25">
      <c r="A309" s="9" t="s">
        <v>509</v>
      </c>
      <c r="B309" s="9" t="s">
        <v>510</v>
      </c>
      <c r="C309" s="10">
        <v>0</v>
      </c>
      <c r="D309" s="10">
        <v>0</v>
      </c>
      <c r="E309" s="10"/>
    </row>
    <row r="310" spans="1:5" ht="15" customHeight="1" x14ac:dyDescent="0.25">
      <c r="A310" s="11" t="s">
        <v>511</v>
      </c>
      <c r="B310" s="11" t="s">
        <v>512</v>
      </c>
      <c r="C310" s="12">
        <v>0</v>
      </c>
      <c r="D310" s="12"/>
      <c r="E310" s="12"/>
    </row>
    <row r="311" spans="1:5" ht="15" customHeight="1" x14ac:dyDescent="0.25">
      <c r="A311" s="9" t="s">
        <v>513</v>
      </c>
      <c r="B311" s="9" t="s">
        <v>514</v>
      </c>
      <c r="C311" s="10">
        <v>0</v>
      </c>
      <c r="D311" s="10"/>
      <c r="E311" s="10"/>
    </row>
    <row r="312" spans="1:5" ht="15" customHeight="1" x14ac:dyDescent="0.25">
      <c r="A312" s="11" t="s">
        <v>515</v>
      </c>
      <c r="B312" s="11" t="s">
        <v>516</v>
      </c>
      <c r="C312" s="12">
        <v>0</v>
      </c>
      <c r="D312" s="12">
        <v>0</v>
      </c>
      <c r="E312" s="12"/>
    </row>
    <row r="313" spans="1:5" ht="15" customHeight="1" x14ac:dyDescent="0.25">
      <c r="A313" s="9" t="s">
        <v>517</v>
      </c>
      <c r="B313" s="9" t="s">
        <v>518</v>
      </c>
      <c r="C313" s="10">
        <v>0</v>
      </c>
      <c r="D313" s="10">
        <v>-3653676.86</v>
      </c>
      <c r="E313" s="10"/>
    </row>
    <row r="314" spans="1:5" ht="15" customHeight="1" x14ac:dyDescent="0.25">
      <c r="A314" s="11" t="s">
        <v>519</v>
      </c>
      <c r="B314" s="11" t="s">
        <v>520</v>
      </c>
      <c r="C314" s="12">
        <v>-3746681.66</v>
      </c>
      <c r="D314" s="12">
        <v>-169559041.00999999</v>
      </c>
      <c r="E314" s="12"/>
    </row>
    <row r="315" spans="1:5" ht="15" customHeight="1" x14ac:dyDescent="0.25">
      <c r="A315" s="9" t="s">
        <v>521</v>
      </c>
      <c r="B315" s="9" t="s">
        <v>522</v>
      </c>
      <c r="C315" s="10">
        <v>0</v>
      </c>
      <c r="D315" s="10"/>
      <c r="E315" s="10"/>
    </row>
    <row r="316" spans="1:5" ht="15" customHeight="1" x14ac:dyDescent="0.25">
      <c r="A316" s="11" t="s">
        <v>523</v>
      </c>
      <c r="B316" s="11" t="s">
        <v>524</v>
      </c>
      <c r="C316" s="12">
        <v>-901357629.45000005</v>
      </c>
      <c r="D316" s="12">
        <v>-156590392.28999999</v>
      </c>
      <c r="E316" s="12">
        <v>-318520040.47000003</v>
      </c>
    </row>
    <row r="317" spans="1:5" ht="15" customHeight="1" x14ac:dyDescent="0.25">
      <c r="A317" s="9" t="s">
        <v>525</v>
      </c>
      <c r="B317" s="9" t="s">
        <v>526</v>
      </c>
      <c r="C317" s="10">
        <v>0</v>
      </c>
      <c r="D317" s="10">
        <v>0</v>
      </c>
      <c r="E317" s="10"/>
    </row>
    <row r="318" spans="1:5" ht="15" customHeight="1" x14ac:dyDescent="0.25">
      <c r="A318" s="11" t="s">
        <v>527</v>
      </c>
      <c r="B318" s="11" t="s">
        <v>528</v>
      </c>
      <c r="C318" s="12">
        <v>0</v>
      </c>
      <c r="D318" s="12"/>
      <c r="E318" s="12"/>
    </row>
    <row r="319" spans="1:5" ht="15" customHeight="1" x14ac:dyDescent="0.25">
      <c r="A319" s="9" t="s">
        <v>529</v>
      </c>
      <c r="B319" s="9" t="s">
        <v>530</v>
      </c>
      <c r="C319" s="10">
        <v>0</v>
      </c>
      <c r="D319" s="10"/>
      <c r="E319" s="10"/>
    </row>
    <row r="320" spans="1:5" ht="15" customHeight="1" x14ac:dyDescent="0.25">
      <c r="A320" s="11" t="s">
        <v>531</v>
      </c>
      <c r="B320" s="11" t="s">
        <v>532</v>
      </c>
      <c r="C320" s="12">
        <v>-116549567.97</v>
      </c>
      <c r="D320" s="12">
        <v>-17230519.890000001</v>
      </c>
      <c r="E320" s="12"/>
    </row>
    <row r="321" spans="1:5" ht="15" customHeight="1" x14ac:dyDescent="0.25">
      <c r="A321" s="9" t="s">
        <v>930</v>
      </c>
      <c r="B321" s="9" t="s">
        <v>995</v>
      </c>
      <c r="C321" s="10"/>
      <c r="D321" s="10">
        <v>6749552.1979999999</v>
      </c>
      <c r="E321" s="10"/>
    </row>
    <row r="322" spans="1:5" ht="15" customHeight="1" x14ac:dyDescent="0.25">
      <c r="A322" s="11" t="s">
        <v>932</v>
      </c>
      <c r="B322" s="11" t="s">
        <v>996</v>
      </c>
      <c r="C322" s="12"/>
      <c r="D322" s="12">
        <v>-10007710855.67</v>
      </c>
      <c r="E322" s="12"/>
    </row>
    <row r="323" spans="1:5" ht="15" customHeight="1" x14ac:dyDescent="0.25">
      <c r="A323" s="9" t="s">
        <v>934</v>
      </c>
      <c r="B323" s="9" t="s">
        <v>997</v>
      </c>
      <c r="C323" s="10"/>
      <c r="D323" s="10">
        <v>1128402998.0799999</v>
      </c>
      <c r="E323" s="10"/>
    </row>
    <row r="324" spans="1:5" ht="15" customHeight="1" x14ac:dyDescent="0.25">
      <c r="A324" s="11" t="s">
        <v>936</v>
      </c>
      <c r="B324" s="11" t="s">
        <v>998</v>
      </c>
      <c r="C324" s="12"/>
      <c r="D324" s="12">
        <v>-11658548096.120001</v>
      </c>
      <c r="E324" s="12"/>
    </row>
    <row r="325" spans="1:5" ht="15" customHeight="1" x14ac:dyDescent="0.25">
      <c r="A325" s="9" t="s">
        <v>938</v>
      </c>
      <c r="B325" s="9" t="s">
        <v>999</v>
      </c>
      <c r="C325" s="10"/>
      <c r="D325" s="10">
        <v>-460682445.07999998</v>
      </c>
      <c r="E325" s="10"/>
    </row>
    <row r="326" spans="1:5" ht="15" customHeight="1" x14ac:dyDescent="0.25">
      <c r="A326" s="11" t="s">
        <v>940</v>
      </c>
      <c r="B326" s="11" t="s">
        <v>1000</v>
      </c>
      <c r="C326" s="12"/>
      <c r="D326" s="12">
        <v>-476704048.17000002</v>
      </c>
      <c r="E326" s="12"/>
    </row>
    <row r="327" spans="1:5" ht="15" customHeight="1" x14ac:dyDescent="0.25">
      <c r="A327" s="9" t="s">
        <v>942</v>
      </c>
      <c r="B327" s="9" t="s">
        <v>1001</v>
      </c>
      <c r="C327" s="10"/>
      <c r="D327" s="10">
        <v>85830913.379999995</v>
      </c>
      <c r="E327" s="10"/>
    </row>
    <row r="328" spans="1:5" ht="15" customHeight="1" x14ac:dyDescent="0.25">
      <c r="A328" s="11" t="s">
        <v>944</v>
      </c>
      <c r="B328" s="11" t="s">
        <v>1002</v>
      </c>
      <c r="C328" s="12"/>
      <c r="D328" s="12">
        <v>-93443756.769999996</v>
      </c>
      <c r="E328" s="12"/>
    </row>
    <row r="329" spans="1:5" ht="15" customHeight="1" x14ac:dyDescent="0.25">
      <c r="A329" s="9" t="s">
        <v>946</v>
      </c>
      <c r="B329" s="9" t="s">
        <v>947</v>
      </c>
      <c r="C329" s="10"/>
      <c r="D329" s="10">
        <v>978663886</v>
      </c>
      <c r="E329" s="10"/>
    </row>
    <row r="330" spans="1:5" ht="15" customHeight="1" x14ac:dyDescent="0.25">
      <c r="A330" s="11" t="s">
        <v>533</v>
      </c>
      <c r="B330" s="11" t="s">
        <v>534</v>
      </c>
      <c r="C330" s="12">
        <v>0</v>
      </c>
      <c r="D330" s="12">
        <v>0</v>
      </c>
      <c r="E330" s="12"/>
    </row>
    <row r="331" spans="1:5" ht="15" customHeight="1" x14ac:dyDescent="0.25">
      <c r="A331" s="9" t="s">
        <v>535</v>
      </c>
      <c r="B331" s="9" t="s">
        <v>536</v>
      </c>
      <c r="C331" s="10">
        <v>0</v>
      </c>
      <c r="D331" s="10">
        <v>-3129421418.5999999</v>
      </c>
      <c r="E331" s="10"/>
    </row>
    <row r="332" spans="1:5" ht="15" customHeight="1" x14ac:dyDescent="0.25">
      <c r="A332" s="11" t="s">
        <v>537</v>
      </c>
      <c r="B332" s="11" t="s">
        <v>538</v>
      </c>
      <c r="C332" s="12">
        <v>0</v>
      </c>
      <c r="D332" s="12"/>
      <c r="E332" s="12"/>
    </row>
    <row r="333" spans="1:5" ht="15" customHeight="1" x14ac:dyDescent="0.25">
      <c r="A333" s="22" t="s">
        <v>948</v>
      </c>
      <c r="B333" s="22" t="s">
        <v>1003</v>
      </c>
      <c r="C333" s="23"/>
      <c r="D333" s="23">
        <v>24244030127.290001</v>
      </c>
      <c r="E333" s="23"/>
    </row>
    <row r="334" spans="1:5" ht="15" customHeight="1" x14ac:dyDescent="0.25">
      <c r="A334" s="11" t="s">
        <v>539</v>
      </c>
      <c r="B334" s="11" t="s">
        <v>540</v>
      </c>
      <c r="C334" s="12">
        <v>0</v>
      </c>
      <c r="D334" s="12">
        <v>0</v>
      </c>
      <c r="E334" s="12"/>
    </row>
    <row r="335" spans="1:5" ht="15" customHeight="1" x14ac:dyDescent="0.25">
      <c r="A335" s="9" t="s">
        <v>950</v>
      </c>
      <c r="B335" s="9" t="s">
        <v>951</v>
      </c>
      <c r="C335" s="10"/>
      <c r="D335" s="10">
        <v>0</v>
      </c>
      <c r="E335" s="10"/>
    </row>
    <row r="336" spans="1:5" ht="15" customHeight="1" x14ac:dyDescent="0.25">
      <c r="A336" s="11" t="s">
        <v>541</v>
      </c>
      <c r="B336" s="11" t="s">
        <v>542</v>
      </c>
      <c r="C336" s="12">
        <v>0</v>
      </c>
      <c r="D336" s="12"/>
      <c r="E336" s="12"/>
    </row>
    <row r="337" spans="1:5" ht="15" customHeight="1" x14ac:dyDescent="0.25">
      <c r="A337" s="9" t="s">
        <v>543</v>
      </c>
      <c r="B337" s="9" t="s">
        <v>544</v>
      </c>
      <c r="C337" s="10">
        <v>0</v>
      </c>
      <c r="D337" s="10"/>
      <c r="E337" s="10"/>
    </row>
    <row r="338" spans="1:5" ht="15" customHeight="1" x14ac:dyDescent="0.25">
      <c r="A338" s="11" t="s">
        <v>545</v>
      </c>
      <c r="B338" s="11" t="s">
        <v>546</v>
      </c>
      <c r="C338" s="12">
        <v>85722019.75</v>
      </c>
      <c r="D338" s="12">
        <v>2844930704.4299998</v>
      </c>
      <c r="E338" s="12"/>
    </row>
    <row r="339" spans="1:5" ht="15" customHeight="1" x14ac:dyDescent="0.25">
      <c r="A339" s="9" t="s">
        <v>547</v>
      </c>
      <c r="B339" s="9" t="s">
        <v>548</v>
      </c>
      <c r="C339" s="10">
        <v>0</v>
      </c>
      <c r="D339" s="10">
        <v>0</v>
      </c>
      <c r="E339" s="10"/>
    </row>
    <row r="340" spans="1:5" ht="15" customHeight="1" x14ac:dyDescent="0.25">
      <c r="A340" s="11" t="s">
        <v>549</v>
      </c>
      <c r="B340" s="11" t="s">
        <v>550</v>
      </c>
      <c r="C340" s="12">
        <v>0</v>
      </c>
      <c r="D340" s="12">
        <v>0</v>
      </c>
      <c r="E340" s="12"/>
    </row>
    <row r="341" spans="1:5" ht="15" customHeight="1" x14ac:dyDescent="0.25">
      <c r="A341" s="9" t="s">
        <v>551</v>
      </c>
      <c r="B341" s="9" t="s">
        <v>552</v>
      </c>
      <c r="C341" s="10">
        <v>0</v>
      </c>
      <c r="D341" s="10">
        <v>0</v>
      </c>
      <c r="E341" s="10"/>
    </row>
    <row r="342" spans="1:5" ht="15" customHeight="1" x14ac:dyDescent="0.25">
      <c r="A342" s="11" t="s">
        <v>553</v>
      </c>
      <c r="B342" s="11" t="s">
        <v>554</v>
      </c>
      <c r="C342" s="12">
        <v>19702189.82</v>
      </c>
      <c r="D342" s="12">
        <v>837465796.32000005</v>
      </c>
      <c r="E342" s="12"/>
    </row>
    <row r="343" spans="1:5" ht="15" customHeight="1" x14ac:dyDescent="0.25">
      <c r="A343" s="9" t="s">
        <v>555</v>
      </c>
      <c r="B343" s="9" t="s">
        <v>556</v>
      </c>
      <c r="C343" s="10">
        <v>165131180.31999999</v>
      </c>
      <c r="D343" s="10">
        <v>179504957.16</v>
      </c>
      <c r="E343" s="10"/>
    </row>
    <row r="344" spans="1:5" ht="15" customHeight="1" x14ac:dyDescent="0.25">
      <c r="A344" s="11" t="s">
        <v>557</v>
      </c>
      <c r="B344" s="11" t="s">
        <v>558</v>
      </c>
      <c r="C344" s="12">
        <v>1131137.03</v>
      </c>
      <c r="D344" s="12">
        <v>1648319.52</v>
      </c>
      <c r="E344" s="12"/>
    </row>
    <row r="345" spans="1:5" ht="15" customHeight="1" x14ac:dyDescent="0.25">
      <c r="A345" s="9" t="s">
        <v>559</v>
      </c>
      <c r="B345" s="9" t="s">
        <v>560</v>
      </c>
      <c r="C345" s="10">
        <v>69930628.010000005</v>
      </c>
      <c r="D345" s="10">
        <v>60597850.600000001</v>
      </c>
      <c r="E345" s="10"/>
    </row>
    <row r="346" spans="1:5" ht="15" customHeight="1" x14ac:dyDescent="0.25">
      <c r="A346" s="11" t="s">
        <v>561</v>
      </c>
      <c r="B346" s="11" t="s">
        <v>562</v>
      </c>
      <c r="C346" s="12">
        <v>47541755.700000003</v>
      </c>
      <c r="D346" s="12">
        <v>2973069762.3699999</v>
      </c>
      <c r="E346" s="12"/>
    </row>
    <row r="347" spans="1:5" ht="15" customHeight="1" x14ac:dyDescent="0.25">
      <c r="A347" s="9" t="s">
        <v>563</v>
      </c>
      <c r="B347" s="9" t="s">
        <v>564</v>
      </c>
      <c r="C347" s="10">
        <v>0</v>
      </c>
      <c r="D347" s="10">
        <v>0</v>
      </c>
      <c r="E347" s="10"/>
    </row>
    <row r="348" spans="1:5" ht="15" customHeight="1" x14ac:dyDescent="0.25">
      <c r="A348" s="11" t="s">
        <v>565</v>
      </c>
      <c r="B348" s="11" t="s">
        <v>566</v>
      </c>
      <c r="C348" s="12">
        <v>0</v>
      </c>
      <c r="D348" s="12">
        <v>0</v>
      </c>
      <c r="E348" s="12"/>
    </row>
    <row r="349" spans="1:5" ht="15" customHeight="1" x14ac:dyDescent="0.25">
      <c r="A349" s="11" t="s">
        <v>567</v>
      </c>
      <c r="B349" s="11" t="s">
        <v>568</v>
      </c>
      <c r="C349" s="12">
        <v>33198993.850000001</v>
      </c>
      <c r="D349" s="12">
        <v>467812316.54000002</v>
      </c>
      <c r="E349" s="12"/>
    </row>
    <row r="350" spans="1:5" ht="15" customHeight="1" x14ac:dyDescent="0.25">
      <c r="A350" s="9" t="s">
        <v>569</v>
      </c>
      <c r="B350" s="9" t="s">
        <v>570</v>
      </c>
      <c r="C350" s="10">
        <v>0</v>
      </c>
      <c r="D350" s="10">
        <v>900425511.03999996</v>
      </c>
      <c r="E350" s="10"/>
    </row>
    <row r="351" spans="1:5" ht="15" customHeight="1" x14ac:dyDescent="0.25">
      <c r="A351" s="11" t="s">
        <v>571</v>
      </c>
      <c r="B351" s="11" t="s">
        <v>572</v>
      </c>
      <c r="C351" s="12">
        <v>60993215.439999998</v>
      </c>
      <c r="D351" s="12">
        <v>860238638.53999996</v>
      </c>
      <c r="E351" s="12"/>
    </row>
    <row r="352" spans="1:5" ht="15" customHeight="1" x14ac:dyDescent="0.25">
      <c r="A352" s="9" t="s">
        <v>573</v>
      </c>
      <c r="B352" s="9" t="s">
        <v>187</v>
      </c>
      <c r="C352" s="10">
        <v>8431339.0399999991</v>
      </c>
      <c r="D352" s="10">
        <v>325707939.31</v>
      </c>
      <c r="E352" s="10"/>
    </row>
    <row r="353" spans="1:5" ht="15" customHeight="1" x14ac:dyDescent="0.25">
      <c r="A353" s="11" t="s">
        <v>574</v>
      </c>
      <c r="B353" s="11" t="s">
        <v>575</v>
      </c>
      <c r="C353" s="12">
        <v>95518556.950000003</v>
      </c>
      <c r="D353" s="12">
        <v>618468738.33000004</v>
      </c>
      <c r="E353" s="12"/>
    </row>
    <row r="354" spans="1:5" ht="15" customHeight="1" x14ac:dyDescent="0.25">
      <c r="A354" s="9" t="s">
        <v>576</v>
      </c>
      <c r="B354" s="9" t="s">
        <v>577</v>
      </c>
      <c r="C354" s="10">
        <v>0</v>
      </c>
      <c r="D354" s="10">
        <v>272215481.13</v>
      </c>
      <c r="E354" s="10"/>
    </row>
    <row r="355" spans="1:5" ht="15" customHeight="1" x14ac:dyDescent="0.25">
      <c r="A355" s="11" t="s">
        <v>578</v>
      </c>
      <c r="B355" s="11" t="s">
        <v>579</v>
      </c>
      <c r="C355" s="12">
        <v>240987908</v>
      </c>
      <c r="D355" s="12">
        <v>47271593.890000001</v>
      </c>
      <c r="E355" s="12"/>
    </row>
    <row r="356" spans="1:5" ht="15" customHeight="1" x14ac:dyDescent="0.25">
      <c r="A356" s="9" t="s">
        <v>580</v>
      </c>
      <c r="B356" s="9" t="s">
        <v>581</v>
      </c>
      <c r="C356" s="10">
        <v>1587803.37</v>
      </c>
      <c r="D356" s="10">
        <v>195694106.09999999</v>
      </c>
      <c r="E356" s="10"/>
    </row>
    <row r="357" spans="1:5" ht="15" customHeight="1" x14ac:dyDescent="0.25">
      <c r="A357" s="11" t="s">
        <v>582</v>
      </c>
      <c r="B357" s="11" t="s">
        <v>583</v>
      </c>
      <c r="C357" s="12">
        <v>0</v>
      </c>
      <c r="D357" s="12">
        <v>101850066.84</v>
      </c>
      <c r="E357" s="12"/>
    </row>
    <row r="358" spans="1:5" ht="15" customHeight="1" x14ac:dyDescent="0.25">
      <c r="A358" s="9" t="s">
        <v>584</v>
      </c>
      <c r="B358" s="9" t="s">
        <v>585</v>
      </c>
      <c r="C358" s="10">
        <v>2128388.71</v>
      </c>
      <c r="D358" s="10">
        <v>171729609.66999999</v>
      </c>
      <c r="E358" s="10"/>
    </row>
    <row r="359" spans="1:5" ht="15" customHeight="1" x14ac:dyDescent="0.25">
      <c r="A359" s="11" t="s">
        <v>586</v>
      </c>
      <c r="B359" s="11" t="s">
        <v>191</v>
      </c>
      <c r="C359" s="12">
        <v>0</v>
      </c>
      <c r="D359" s="12">
        <v>323476931.92000002</v>
      </c>
      <c r="E359" s="12"/>
    </row>
    <row r="360" spans="1:5" ht="15" customHeight="1" x14ac:dyDescent="0.25">
      <c r="A360" s="9" t="s">
        <v>587</v>
      </c>
      <c r="B360" s="9" t="s">
        <v>588</v>
      </c>
      <c r="C360" s="10">
        <v>170581148.63999999</v>
      </c>
      <c r="D360" s="10">
        <v>372347934.56999999</v>
      </c>
      <c r="E360" s="10"/>
    </row>
    <row r="361" spans="1:5" ht="15" customHeight="1" x14ac:dyDescent="0.25">
      <c r="A361" s="11" t="s">
        <v>589</v>
      </c>
      <c r="B361" s="11" t="s">
        <v>590</v>
      </c>
      <c r="C361" s="12">
        <v>0</v>
      </c>
      <c r="D361" s="12">
        <v>29479469.02</v>
      </c>
      <c r="E361" s="12"/>
    </row>
    <row r="362" spans="1:5" ht="15" customHeight="1" x14ac:dyDescent="0.25">
      <c r="A362" s="9" t="s">
        <v>591</v>
      </c>
      <c r="B362" s="9" t="s">
        <v>193</v>
      </c>
      <c r="C362" s="10">
        <v>8031625.4800000004</v>
      </c>
      <c r="D362" s="10">
        <v>658828179.38</v>
      </c>
      <c r="E362" s="10"/>
    </row>
    <row r="363" spans="1:5" ht="15" customHeight="1" x14ac:dyDescent="0.25">
      <c r="A363" s="11" t="s">
        <v>592</v>
      </c>
      <c r="B363" s="11" t="s">
        <v>593</v>
      </c>
      <c r="C363" s="12">
        <v>78675138.519999996</v>
      </c>
      <c r="D363" s="12">
        <v>1667957070.3299999</v>
      </c>
      <c r="E363" s="12"/>
    </row>
    <row r="364" spans="1:5" ht="15" customHeight="1" x14ac:dyDescent="0.25">
      <c r="A364" s="9" t="s">
        <v>594</v>
      </c>
      <c r="B364" s="9" t="s">
        <v>595</v>
      </c>
      <c r="C364" s="10">
        <v>0</v>
      </c>
      <c r="D364" s="10">
        <v>153679390.08000001</v>
      </c>
      <c r="E364" s="10"/>
    </row>
    <row r="365" spans="1:5" ht="15" customHeight="1" x14ac:dyDescent="0.25">
      <c r="A365" s="11" t="s">
        <v>952</v>
      </c>
      <c r="B365" s="11" t="s">
        <v>953</v>
      </c>
      <c r="C365" s="12"/>
      <c r="D365" s="12">
        <v>9185508.5700000003</v>
      </c>
      <c r="E365" s="12"/>
    </row>
    <row r="366" spans="1:5" ht="15" customHeight="1" x14ac:dyDescent="0.25">
      <c r="A366" s="9" t="s">
        <v>596</v>
      </c>
      <c r="B366" s="9" t="s">
        <v>597</v>
      </c>
      <c r="C366" s="10">
        <v>0</v>
      </c>
      <c r="D366" s="10">
        <v>614962136.39999998</v>
      </c>
      <c r="E366" s="10">
        <v>96257627.5</v>
      </c>
    </row>
    <row r="367" spans="1:5" ht="15" customHeight="1" x14ac:dyDescent="0.25">
      <c r="A367" s="11" t="s">
        <v>598</v>
      </c>
      <c r="B367" s="11" t="s">
        <v>599</v>
      </c>
      <c r="C367" s="12">
        <v>13053209.24</v>
      </c>
      <c r="D367" s="12">
        <v>1411383126.6400001</v>
      </c>
      <c r="E367" s="12">
        <v>57342207.5</v>
      </c>
    </row>
    <row r="368" spans="1:5" ht="15" customHeight="1" x14ac:dyDescent="0.25">
      <c r="A368" s="9" t="s">
        <v>600</v>
      </c>
      <c r="B368" s="9" t="s">
        <v>601</v>
      </c>
      <c r="C368" s="10">
        <v>3345119.88</v>
      </c>
      <c r="D368" s="10">
        <v>2348462666.0700002</v>
      </c>
      <c r="E368" s="10">
        <v>27100000</v>
      </c>
    </row>
    <row r="369" spans="1:5" ht="15" customHeight="1" x14ac:dyDescent="0.25">
      <c r="A369" s="11" t="s">
        <v>602</v>
      </c>
      <c r="B369" s="11" t="s">
        <v>603</v>
      </c>
      <c r="C369" s="12">
        <v>0</v>
      </c>
      <c r="D369" s="12">
        <v>66869328.539999999</v>
      </c>
      <c r="E369" s="12"/>
    </row>
    <row r="370" spans="1:5" ht="15" customHeight="1" x14ac:dyDescent="0.25">
      <c r="A370" s="9" t="s">
        <v>604</v>
      </c>
      <c r="B370" s="9" t="s">
        <v>605</v>
      </c>
      <c r="C370" s="10">
        <v>0</v>
      </c>
      <c r="D370" s="10">
        <v>172116012.16</v>
      </c>
      <c r="E370" s="10"/>
    </row>
    <row r="371" spans="1:5" ht="15" customHeight="1" x14ac:dyDescent="0.25">
      <c r="A371" s="11" t="s">
        <v>606</v>
      </c>
      <c r="B371" s="11" t="s">
        <v>607</v>
      </c>
      <c r="C371" s="12">
        <v>88841081.310000002</v>
      </c>
      <c r="D371" s="12">
        <v>0</v>
      </c>
      <c r="E371" s="12">
        <v>1800000</v>
      </c>
    </row>
    <row r="372" spans="1:5" ht="15" customHeight="1" x14ac:dyDescent="0.25">
      <c r="A372" s="9" t="s">
        <v>608</v>
      </c>
      <c r="B372" s="9" t="s">
        <v>609</v>
      </c>
      <c r="C372" s="10">
        <v>7614655.71</v>
      </c>
      <c r="D372" s="10">
        <v>430394351.11000001</v>
      </c>
      <c r="E372" s="10"/>
    </row>
    <row r="373" spans="1:5" ht="15" customHeight="1" x14ac:dyDescent="0.25">
      <c r="A373" s="11" t="s">
        <v>610</v>
      </c>
      <c r="B373" s="11" t="s">
        <v>611</v>
      </c>
      <c r="C373" s="12">
        <v>0</v>
      </c>
      <c r="D373" s="12">
        <v>56014015.590000004</v>
      </c>
      <c r="E373" s="12"/>
    </row>
    <row r="374" spans="1:5" ht="15" customHeight="1" x14ac:dyDescent="0.25">
      <c r="A374" s="9" t="s">
        <v>612</v>
      </c>
      <c r="B374" s="9" t="s">
        <v>613</v>
      </c>
      <c r="C374" s="10">
        <v>47968500</v>
      </c>
      <c r="D374" s="10">
        <v>1037976347.34</v>
      </c>
      <c r="E374" s="10"/>
    </row>
    <row r="375" spans="1:5" ht="15" customHeight="1" x14ac:dyDescent="0.25">
      <c r="A375" s="11" t="s">
        <v>614</v>
      </c>
      <c r="B375" s="11" t="s">
        <v>615</v>
      </c>
      <c r="C375" s="12">
        <v>0</v>
      </c>
      <c r="D375" s="12"/>
      <c r="E375" s="12"/>
    </row>
    <row r="376" spans="1:5" ht="15" customHeight="1" x14ac:dyDescent="0.25">
      <c r="A376" s="9" t="s">
        <v>616</v>
      </c>
      <c r="B376" s="9" t="s">
        <v>617</v>
      </c>
      <c r="C376" s="10">
        <v>19640241.940000001</v>
      </c>
      <c r="D376" s="10">
        <v>4052866072.9400001</v>
      </c>
      <c r="E376" s="10"/>
    </row>
    <row r="377" spans="1:5" ht="15" customHeight="1" x14ac:dyDescent="0.25">
      <c r="A377" s="11" t="s">
        <v>618</v>
      </c>
      <c r="B377" s="11" t="s">
        <v>619</v>
      </c>
      <c r="C377" s="12">
        <v>143617326.63</v>
      </c>
      <c r="D377" s="12">
        <v>4411092534.3999996</v>
      </c>
      <c r="E377" s="12"/>
    </row>
    <row r="378" spans="1:5" ht="15" customHeight="1" x14ac:dyDescent="0.25">
      <c r="A378" s="9" t="s">
        <v>620</v>
      </c>
      <c r="B378" s="9" t="s">
        <v>621</v>
      </c>
      <c r="C378" s="10">
        <v>85824744.090000004</v>
      </c>
      <c r="D378" s="10">
        <v>163747613.08000001</v>
      </c>
      <c r="E378" s="10"/>
    </row>
    <row r="379" spans="1:5" ht="15" customHeight="1" x14ac:dyDescent="0.25">
      <c r="A379" s="11" t="s">
        <v>622</v>
      </c>
      <c r="B379" s="11" t="s">
        <v>623</v>
      </c>
      <c r="C379" s="12">
        <v>0</v>
      </c>
      <c r="D379" s="12"/>
      <c r="E379" s="12"/>
    </row>
    <row r="380" spans="1:5" ht="15" customHeight="1" x14ac:dyDescent="0.25">
      <c r="A380" s="9" t="s">
        <v>624</v>
      </c>
      <c r="B380" s="9" t="s">
        <v>625</v>
      </c>
      <c r="C380" s="10">
        <v>0</v>
      </c>
      <c r="D380" s="10">
        <v>0</v>
      </c>
      <c r="E380" s="10"/>
    </row>
    <row r="381" spans="1:5" ht="15" customHeight="1" x14ac:dyDescent="0.25">
      <c r="A381" s="11" t="s">
        <v>626</v>
      </c>
      <c r="B381" s="11" t="s">
        <v>627</v>
      </c>
      <c r="C381" s="12">
        <v>9794472.6999999993</v>
      </c>
      <c r="D381" s="12">
        <v>147698929.19</v>
      </c>
      <c r="E381" s="12">
        <v>150000</v>
      </c>
    </row>
    <row r="382" spans="1:5" ht="15" customHeight="1" x14ac:dyDescent="0.25">
      <c r="A382" s="9" t="s">
        <v>628</v>
      </c>
      <c r="B382" s="9" t="s">
        <v>629</v>
      </c>
      <c r="C382" s="10">
        <v>0</v>
      </c>
      <c r="D382" s="10">
        <v>426347222.88999999</v>
      </c>
      <c r="E382" s="10"/>
    </row>
    <row r="383" spans="1:5" ht="15" customHeight="1" x14ac:dyDescent="0.25">
      <c r="A383" s="11" t="s">
        <v>630</v>
      </c>
      <c r="B383" s="11" t="s">
        <v>631</v>
      </c>
      <c r="C383" s="12">
        <v>1480335688.73</v>
      </c>
      <c r="D383" s="12">
        <v>0</v>
      </c>
      <c r="E383" s="12"/>
    </row>
    <row r="384" spans="1:5" ht="15" customHeight="1" x14ac:dyDescent="0.25">
      <c r="A384" s="9" t="s">
        <v>632</v>
      </c>
      <c r="B384" s="9" t="s">
        <v>633</v>
      </c>
      <c r="C384" s="10">
        <v>0</v>
      </c>
      <c r="D384" s="10">
        <v>0</v>
      </c>
      <c r="E384" s="10"/>
    </row>
    <row r="385" spans="1:5" ht="15" customHeight="1" x14ac:dyDescent="0.25">
      <c r="A385" s="11" t="s">
        <v>634</v>
      </c>
      <c r="B385" s="11" t="s">
        <v>635</v>
      </c>
      <c r="C385" s="12">
        <v>3490572</v>
      </c>
      <c r="D385" s="12">
        <v>30916897.149999999</v>
      </c>
      <c r="E385" s="12"/>
    </row>
    <row r="386" spans="1:5" ht="15" customHeight="1" x14ac:dyDescent="0.25">
      <c r="A386" s="9" t="s">
        <v>954</v>
      </c>
      <c r="B386" s="9" t="s">
        <v>955</v>
      </c>
      <c r="C386" s="10"/>
      <c r="D386" s="10">
        <v>1078521612.4200001</v>
      </c>
      <c r="E386" s="10"/>
    </row>
    <row r="387" spans="1:5" ht="15" customHeight="1" x14ac:dyDescent="0.25">
      <c r="A387" s="11" t="s">
        <v>636</v>
      </c>
      <c r="B387" s="11" t="s">
        <v>637</v>
      </c>
      <c r="C387" s="12">
        <v>0</v>
      </c>
      <c r="D387" s="12">
        <v>4577173173.9300003</v>
      </c>
      <c r="E387" s="12"/>
    </row>
    <row r="388" spans="1:5" ht="15" customHeight="1" x14ac:dyDescent="0.25">
      <c r="A388" s="9" t="s">
        <v>638</v>
      </c>
      <c r="B388" s="9" t="s">
        <v>639</v>
      </c>
      <c r="C388" s="10">
        <v>39058627.200000003</v>
      </c>
      <c r="D388" s="10">
        <v>1072439817.3099999</v>
      </c>
      <c r="E388" s="10"/>
    </row>
    <row r="389" spans="1:5" ht="15" customHeight="1" x14ac:dyDescent="0.25">
      <c r="A389" s="11" t="s">
        <v>640</v>
      </c>
      <c r="B389" s="11" t="s">
        <v>641</v>
      </c>
      <c r="C389" s="12">
        <v>0</v>
      </c>
      <c r="D389" s="12">
        <v>35445275.490000002</v>
      </c>
      <c r="E389" s="12"/>
    </row>
    <row r="390" spans="1:5" ht="15" customHeight="1" x14ac:dyDescent="0.25">
      <c r="A390" s="9" t="s">
        <v>642</v>
      </c>
      <c r="B390" s="9" t="s">
        <v>643</v>
      </c>
      <c r="C390" s="10">
        <v>183156069</v>
      </c>
      <c r="D390" s="10">
        <v>0</v>
      </c>
      <c r="E390" s="10"/>
    </row>
    <row r="391" spans="1:5" ht="15" customHeight="1" x14ac:dyDescent="0.25">
      <c r="A391" s="11" t="s">
        <v>956</v>
      </c>
      <c r="B391" s="11" t="s">
        <v>957</v>
      </c>
      <c r="C391" s="12"/>
      <c r="D391" s="12">
        <v>0</v>
      </c>
      <c r="E391" s="12"/>
    </row>
    <row r="392" spans="1:5" ht="15" customHeight="1" x14ac:dyDescent="0.25">
      <c r="A392" s="9" t="s">
        <v>644</v>
      </c>
      <c r="B392" s="9" t="s">
        <v>645</v>
      </c>
      <c r="C392" s="10">
        <v>27689</v>
      </c>
      <c r="D392" s="10">
        <v>664339</v>
      </c>
      <c r="E392" s="10"/>
    </row>
    <row r="393" spans="1:5" ht="15" customHeight="1" x14ac:dyDescent="0.25">
      <c r="A393" s="11" t="s">
        <v>646</v>
      </c>
      <c r="B393" s="11" t="s">
        <v>647</v>
      </c>
      <c r="C393" s="12">
        <v>0</v>
      </c>
      <c r="D393" s="12">
        <v>20380333.550000001</v>
      </c>
      <c r="E393" s="12"/>
    </row>
    <row r="394" spans="1:5" ht="15" customHeight="1" x14ac:dyDescent="0.25">
      <c r="A394" s="9" t="s">
        <v>648</v>
      </c>
      <c r="B394" s="9" t="s">
        <v>649</v>
      </c>
      <c r="C394" s="10">
        <v>0</v>
      </c>
      <c r="D394" s="10">
        <v>0</v>
      </c>
      <c r="E394" s="10"/>
    </row>
    <row r="395" spans="1:5" ht="15" customHeight="1" x14ac:dyDescent="0.25">
      <c r="A395" s="11" t="s">
        <v>650</v>
      </c>
      <c r="B395" s="11" t="s">
        <v>651</v>
      </c>
      <c r="C395" s="12">
        <v>9291199.4000000004</v>
      </c>
      <c r="D395" s="12">
        <v>6593967.4100000001</v>
      </c>
      <c r="E395" s="12"/>
    </row>
    <row r="396" spans="1:5" ht="15" customHeight="1" x14ac:dyDescent="0.25">
      <c r="A396" s="9" t="s">
        <v>652</v>
      </c>
      <c r="B396" s="9" t="s">
        <v>653</v>
      </c>
      <c r="C396" s="10">
        <v>0</v>
      </c>
      <c r="D396" s="10">
        <v>582534.87</v>
      </c>
      <c r="E396" s="10"/>
    </row>
    <row r="397" spans="1:5" ht="15" customHeight="1" x14ac:dyDescent="0.25">
      <c r="A397" s="11" t="s">
        <v>654</v>
      </c>
      <c r="B397" s="11" t="s">
        <v>655</v>
      </c>
      <c r="C397" s="12">
        <v>0</v>
      </c>
      <c r="D397" s="12">
        <v>1902066.12</v>
      </c>
      <c r="E397" s="12"/>
    </row>
    <row r="398" spans="1:5" ht="15" customHeight="1" x14ac:dyDescent="0.25">
      <c r="A398" s="9" t="s">
        <v>656</v>
      </c>
      <c r="B398" s="9" t="s">
        <v>657</v>
      </c>
      <c r="C398" s="10">
        <v>0</v>
      </c>
      <c r="D398" s="10">
        <v>219120.5</v>
      </c>
      <c r="E398" s="10"/>
    </row>
    <row r="399" spans="1:5" ht="15" customHeight="1" x14ac:dyDescent="0.25">
      <c r="A399" s="11" t="s">
        <v>658</v>
      </c>
      <c r="B399" s="11" t="s">
        <v>659</v>
      </c>
      <c r="C399" s="12">
        <v>4604221.24</v>
      </c>
      <c r="D399" s="12">
        <v>509351.33</v>
      </c>
      <c r="E399" s="12">
        <v>68700</v>
      </c>
    </row>
    <row r="400" spans="1:5" ht="15" customHeight="1" x14ac:dyDescent="0.25">
      <c r="A400" s="9" t="s">
        <v>660</v>
      </c>
      <c r="B400" s="9" t="s">
        <v>661</v>
      </c>
      <c r="C400" s="10">
        <v>0</v>
      </c>
      <c r="D400" s="10">
        <v>18491334.640000001</v>
      </c>
      <c r="E400" s="10"/>
    </row>
    <row r="401" spans="1:5" ht="15" customHeight="1" x14ac:dyDescent="0.25">
      <c r="A401" s="11" t="s">
        <v>662</v>
      </c>
      <c r="B401" s="11" t="s">
        <v>663</v>
      </c>
      <c r="C401" s="12">
        <v>0</v>
      </c>
      <c r="D401" s="12">
        <v>18609222.02</v>
      </c>
      <c r="E401" s="12"/>
    </row>
    <row r="402" spans="1:5" ht="15" customHeight="1" x14ac:dyDescent="0.25">
      <c r="A402" s="9" t="s">
        <v>664</v>
      </c>
      <c r="B402" s="9" t="s">
        <v>665</v>
      </c>
      <c r="C402" s="10">
        <v>1035046.29</v>
      </c>
      <c r="D402" s="10">
        <v>9654097.2100000009</v>
      </c>
      <c r="E402" s="10"/>
    </row>
    <row r="403" spans="1:5" ht="15" customHeight="1" x14ac:dyDescent="0.25">
      <c r="A403" s="11" t="s">
        <v>666</v>
      </c>
      <c r="B403" s="11" t="s">
        <v>667</v>
      </c>
      <c r="C403" s="12">
        <v>0</v>
      </c>
      <c r="D403" s="12"/>
      <c r="E403" s="12"/>
    </row>
    <row r="404" spans="1:5" ht="15" customHeight="1" x14ac:dyDescent="0.25">
      <c r="A404" s="9" t="s">
        <v>668</v>
      </c>
      <c r="B404" s="9" t="s">
        <v>669</v>
      </c>
      <c r="C404" s="10">
        <v>18598692.41</v>
      </c>
      <c r="D404" s="10">
        <v>27727916.699999999</v>
      </c>
      <c r="E404" s="10"/>
    </row>
    <row r="405" spans="1:5" ht="15" customHeight="1" x14ac:dyDescent="0.25">
      <c r="A405" s="11" t="s">
        <v>670</v>
      </c>
      <c r="B405" s="11" t="s">
        <v>671</v>
      </c>
      <c r="C405" s="12">
        <v>46830850.960000001</v>
      </c>
      <c r="D405" s="12">
        <v>77871874.799999997</v>
      </c>
      <c r="E405" s="12"/>
    </row>
    <row r="406" spans="1:5" ht="15" customHeight="1" x14ac:dyDescent="0.25">
      <c r="A406" s="9" t="s">
        <v>672</v>
      </c>
      <c r="B406" s="9" t="s">
        <v>673</v>
      </c>
      <c r="C406" s="10">
        <v>0</v>
      </c>
      <c r="D406" s="10">
        <v>271485965.27999997</v>
      </c>
      <c r="E406" s="10"/>
    </row>
    <row r="407" spans="1:5" ht="15" customHeight="1" x14ac:dyDescent="0.25">
      <c r="A407" s="11" t="s">
        <v>674</v>
      </c>
      <c r="B407" s="11" t="s">
        <v>675</v>
      </c>
      <c r="C407" s="12">
        <v>1262342.99</v>
      </c>
      <c r="D407" s="12">
        <v>76443669.030000001</v>
      </c>
      <c r="E407" s="12"/>
    </row>
    <row r="408" spans="1:5" ht="15" customHeight="1" x14ac:dyDescent="0.25">
      <c r="A408" s="9" t="s">
        <v>676</v>
      </c>
      <c r="B408" s="9" t="s">
        <v>677</v>
      </c>
      <c r="C408" s="10">
        <v>0</v>
      </c>
      <c r="D408" s="10"/>
      <c r="E408" s="10"/>
    </row>
    <row r="409" spans="1:5" ht="15" customHeight="1" x14ac:dyDescent="0.25">
      <c r="A409" s="11" t="s">
        <v>678</v>
      </c>
      <c r="B409" s="11" t="s">
        <v>679</v>
      </c>
      <c r="C409" s="12">
        <v>0</v>
      </c>
      <c r="D409" s="12">
        <v>51123176.369999997</v>
      </c>
      <c r="E409" s="12"/>
    </row>
    <row r="410" spans="1:5" ht="15" customHeight="1" x14ac:dyDescent="0.25">
      <c r="A410" s="9" t="s">
        <v>680</v>
      </c>
      <c r="B410" s="9" t="s">
        <v>681</v>
      </c>
      <c r="C410" s="10">
        <v>348236513.58999997</v>
      </c>
      <c r="D410" s="10">
        <v>276974831.06999999</v>
      </c>
      <c r="E410" s="10">
        <v>34140868.100000001</v>
      </c>
    </row>
    <row r="411" spans="1:5" ht="15" customHeight="1" x14ac:dyDescent="0.25">
      <c r="A411" s="11" t="s">
        <v>682</v>
      </c>
      <c r="B411" s="11" t="s">
        <v>683</v>
      </c>
      <c r="C411" s="12">
        <v>0</v>
      </c>
      <c r="D411" s="12"/>
      <c r="E411" s="12"/>
    </row>
    <row r="412" spans="1:5" ht="15" customHeight="1" x14ac:dyDescent="0.25">
      <c r="A412" s="9" t="s">
        <v>684</v>
      </c>
      <c r="B412" s="9" t="s">
        <v>685</v>
      </c>
      <c r="C412" s="10">
        <v>94144470.680000007</v>
      </c>
      <c r="D412" s="10">
        <v>0</v>
      </c>
      <c r="E412" s="10"/>
    </row>
    <row r="413" spans="1:5" ht="15" customHeight="1" x14ac:dyDescent="0.25">
      <c r="A413" s="11" t="s">
        <v>686</v>
      </c>
      <c r="B413" s="11" t="s">
        <v>687</v>
      </c>
      <c r="C413" s="12">
        <v>10592000</v>
      </c>
      <c r="D413" s="12"/>
      <c r="E413" s="12"/>
    </row>
    <row r="414" spans="1:5" ht="15" customHeight="1" x14ac:dyDescent="0.25">
      <c r="A414" s="9" t="s">
        <v>688</v>
      </c>
      <c r="B414" s="9" t="s">
        <v>689</v>
      </c>
      <c r="C414" s="10">
        <v>0</v>
      </c>
      <c r="D414" s="10">
        <v>3008584.29</v>
      </c>
      <c r="E414" s="10"/>
    </row>
    <row r="415" spans="1:5" ht="15" customHeight="1" x14ac:dyDescent="0.25">
      <c r="A415" s="11" t="s">
        <v>690</v>
      </c>
      <c r="B415" s="11" t="s">
        <v>691</v>
      </c>
      <c r="C415" s="12">
        <v>36995245.75</v>
      </c>
      <c r="D415" s="12">
        <v>0</v>
      </c>
      <c r="E415" s="12"/>
    </row>
    <row r="416" spans="1:5" ht="15" customHeight="1" x14ac:dyDescent="0.25">
      <c r="A416" s="9" t="s">
        <v>692</v>
      </c>
      <c r="B416" s="9" t="s">
        <v>693</v>
      </c>
      <c r="C416" s="10">
        <v>2324562.12</v>
      </c>
      <c r="D416" s="10">
        <v>19086536.289999999</v>
      </c>
      <c r="E416" s="10">
        <v>5643026</v>
      </c>
    </row>
    <row r="417" spans="1:5" ht="15" customHeight="1" x14ac:dyDescent="0.25">
      <c r="A417" s="11" t="s">
        <v>694</v>
      </c>
      <c r="B417" s="11" t="s">
        <v>695</v>
      </c>
      <c r="C417" s="12">
        <v>0</v>
      </c>
      <c r="D417" s="12">
        <v>9004317.3300000001</v>
      </c>
      <c r="E417" s="12"/>
    </row>
    <row r="418" spans="1:5" ht="15" customHeight="1" x14ac:dyDescent="0.25">
      <c r="A418" s="9" t="s">
        <v>696</v>
      </c>
      <c r="B418" s="9" t="s">
        <v>697</v>
      </c>
      <c r="C418" s="10">
        <v>0</v>
      </c>
      <c r="D418" s="10">
        <v>743518.93</v>
      </c>
      <c r="E418" s="10"/>
    </row>
    <row r="419" spans="1:5" ht="15" customHeight="1" x14ac:dyDescent="0.25">
      <c r="A419" s="11" t="s">
        <v>698</v>
      </c>
      <c r="B419" s="11" t="s">
        <v>699</v>
      </c>
      <c r="C419" s="12">
        <v>2702672</v>
      </c>
      <c r="D419" s="12">
        <v>14275240.369999999</v>
      </c>
      <c r="E419" s="12"/>
    </row>
    <row r="420" spans="1:5" ht="15" customHeight="1" x14ac:dyDescent="0.25">
      <c r="A420" s="9" t="s">
        <v>700</v>
      </c>
      <c r="B420" s="9" t="s">
        <v>701</v>
      </c>
      <c r="C420" s="10">
        <v>28772000</v>
      </c>
      <c r="D420" s="10">
        <v>21978586.59</v>
      </c>
      <c r="E420" s="10"/>
    </row>
    <row r="421" spans="1:5" ht="15" customHeight="1" x14ac:dyDescent="0.25">
      <c r="A421" s="11" t="s">
        <v>702</v>
      </c>
      <c r="B421" s="11" t="s">
        <v>703</v>
      </c>
      <c r="C421" s="12">
        <v>91862254.569999993</v>
      </c>
      <c r="D421" s="12">
        <v>225545996.21000001</v>
      </c>
      <c r="E421" s="12"/>
    </row>
    <row r="422" spans="1:5" ht="15" customHeight="1" x14ac:dyDescent="0.25">
      <c r="A422" s="9" t="s">
        <v>704</v>
      </c>
      <c r="B422" s="9" t="s">
        <v>697</v>
      </c>
      <c r="C422" s="10">
        <v>0</v>
      </c>
      <c r="D422" s="10">
        <v>0</v>
      </c>
      <c r="E422" s="10"/>
    </row>
    <row r="423" spans="1:5" ht="15" customHeight="1" x14ac:dyDescent="0.25">
      <c r="A423" s="11" t="s">
        <v>705</v>
      </c>
      <c r="B423" s="11" t="s">
        <v>706</v>
      </c>
      <c r="C423" s="12">
        <v>200000</v>
      </c>
      <c r="D423" s="12">
        <v>6014699.25</v>
      </c>
      <c r="E423" s="12"/>
    </row>
    <row r="424" spans="1:5" ht="15" customHeight="1" x14ac:dyDescent="0.25">
      <c r="A424" s="9" t="s">
        <v>707</v>
      </c>
      <c r="B424" s="9" t="s">
        <v>708</v>
      </c>
      <c r="C424" s="10">
        <v>248603087.34999999</v>
      </c>
      <c r="D424" s="10">
        <v>241346327.05000001</v>
      </c>
      <c r="E424" s="10">
        <v>31172707.079999998</v>
      </c>
    </row>
    <row r="425" spans="1:5" ht="15" customHeight="1" x14ac:dyDescent="0.25">
      <c r="A425" s="11" t="s">
        <v>709</v>
      </c>
      <c r="B425" s="11" t="s">
        <v>710</v>
      </c>
      <c r="C425" s="12">
        <v>0</v>
      </c>
      <c r="D425" s="12"/>
      <c r="E425" s="12"/>
    </row>
    <row r="426" spans="1:5" ht="15" customHeight="1" x14ac:dyDescent="0.25">
      <c r="A426" s="9" t="s">
        <v>711</v>
      </c>
      <c r="B426" s="9" t="s">
        <v>712</v>
      </c>
      <c r="C426" s="10">
        <v>5559298.4400000004</v>
      </c>
      <c r="D426" s="10"/>
      <c r="E426" s="10"/>
    </row>
    <row r="427" spans="1:5" ht="15" customHeight="1" x14ac:dyDescent="0.25">
      <c r="A427" s="11" t="s">
        <v>713</v>
      </c>
      <c r="B427" s="11" t="s">
        <v>714</v>
      </c>
      <c r="C427" s="12">
        <v>1152752.96</v>
      </c>
      <c r="D427" s="12"/>
      <c r="E427" s="12"/>
    </row>
    <row r="428" spans="1:5" ht="15" customHeight="1" x14ac:dyDescent="0.25">
      <c r="A428" s="9" t="s">
        <v>715</v>
      </c>
      <c r="B428" s="9" t="s">
        <v>716</v>
      </c>
      <c r="C428" s="10">
        <v>15335938.630000001</v>
      </c>
      <c r="D428" s="10"/>
      <c r="E428" s="10"/>
    </row>
    <row r="429" spans="1:5" ht="15" customHeight="1" x14ac:dyDescent="0.25">
      <c r="A429" s="11" t="s">
        <v>717</v>
      </c>
      <c r="B429" s="11" t="s">
        <v>718</v>
      </c>
      <c r="C429" s="12">
        <v>6219160542.6999998</v>
      </c>
      <c r="D429" s="12">
        <v>4510746.01</v>
      </c>
      <c r="E429" s="12"/>
    </row>
    <row r="430" spans="1:5" ht="15" customHeight="1" x14ac:dyDescent="0.25">
      <c r="A430" s="9" t="s">
        <v>719</v>
      </c>
      <c r="B430" s="9" t="s">
        <v>720</v>
      </c>
      <c r="C430" s="10">
        <v>1997468481.3699999</v>
      </c>
      <c r="D430" s="10">
        <v>412570491.06999999</v>
      </c>
      <c r="E430" s="10"/>
    </row>
    <row r="431" spans="1:5" ht="15" customHeight="1" x14ac:dyDescent="0.25">
      <c r="A431" s="11" t="s">
        <v>721</v>
      </c>
      <c r="B431" s="11" t="s">
        <v>722</v>
      </c>
      <c r="C431" s="12">
        <v>70185081.219999999</v>
      </c>
      <c r="D431" s="12">
        <v>145565557.34999999</v>
      </c>
      <c r="E431" s="12"/>
    </row>
    <row r="432" spans="1:5" ht="15" customHeight="1" x14ac:dyDescent="0.25">
      <c r="A432" s="9" t="s">
        <v>723</v>
      </c>
      <c r="B432" s="9" t="s">
        <v>724</v>
      </c>
      <c r="C432" s="10">
        <v>23893192.609999999</v>
      </c>
      <c r="D432" s="10">
        <v>346524233.62</v>
      </c>
      <c r="E432" s="10"/>
    </row>
    <row r="433" spans="1:5" ht="15" customHeight="1" x14ac:dyDescent="0.25">
      <c r="A433" s="11" t="s">
        <v>725</v>
      </c>
      <c r="B433" s="11" t="s">
        <v>726</v>
      </c>
      <c r="C433" s="12">
        <v>50479094.130000003</v>
      </c>
      <c r="D433" s="12">
        <v>24187496.280000001</v>
      </c>
      <c r="E433" s="12"/>
    </row>
    <row r="434" spans="1:5" ht="15" customHeight="1" x14ac:dyDescent="0.25">
      <c r="A434" s="9" t="s">
        <v>727</v>
      </c>
      <c r="B434" s="9" t="s">
        <v>728</v>
      </c>
      <c r="C434" s="10">
        <v>87273546.849999994</v>
      </c>
      <c r="D434" s="10">
        <v>459679143.69</v>
      </c>
      <c r="E434" s="10"/>
    </row>
    <row r="435" spans="1:5" ht="15" customHeight="1" x14ac:dyDescent="0.25">
      <c r="A435" s="11" t="s">
        <v>729</v>
      </c>
      <c r="B435" s="11" t="s">
        <v>724</v>
      </c>
      <c r="C435" s="12">
        <v>0</v>
      </c>
      <c r="D435" s="12"/>
      <c r="E435" s="12"/>
    </row>
    <row r="436" spans="1:5" ht="15" customHeight="1" x14ac:dyDescent="0.25">
      <c r="A436" s="9" t="s">
        <v>730</v>
      </c>
      <c r="B436" s="9" t="s">
        <v>731</v>
      </c>
      <c r="C436" s="10">
        <v>404165746.97000003</v>
      </c>
      <c r="D436" s="10"/>
      <c r="E436" s="10"/>
    </row>
    <row r="437" spans="1:5" ht="15" customHeight="1" x14ac:dyDescent="0.25">
      <c r="A437" s="11" t="s">
        <v>732</v>
      </c>
      <c r="B437" s="11" t="s">
        <v>733</v>
      </c>
      <c r="C437" s="12">
        <v>936682570.66999996</v>
      </c>
      <c r="D437" s="12">
        <v>917883157.88999999</v>
      </c>
      <c r="E437" s="12"/>
    </row>
    <row r="438" spans="1:5" ht="15" customHeight="1" x14ac:dyDescent="0.25">
      <c r="A438" s="9" t="s">
        <v>734</v>
      </c>
      <c r="B438" s="9" t="s">
        <v>735</v>
      </c>
      <c r="C438" s="10">
        <v>228397624.72999999</v>
      </c>
      <c r="D438" s="10">
        <v>234430254.18000001</v>
      </c>
      <c r="E438" s="10"/>
    </row>
    <row r="439" spans="1:5" ht="15" customHeight="1" x14ac:dyDescent="0.25">
      <c r="A439" s="11" t="s">
        <v>736</v>
      </c>
      <c r="B439" s="11" t="s">
        <v>737</v>
      </c>
      <c r="C439" s="12">
        <v>66657056.729999997</v>
      </c>
      <c r="D439" s="12">
        <v>49258603.130000003</v>
      </c>
      <c r="E439" s="12"/>
    </row>
    <row r="440" spans="1:5" ht="15" customHeight="1" x14ac:dyDescent="0.25">
      <c r="A440" s="9" t="s">
        <v>738</v>
      </c>
      <c r="B440" s="9" t="s">
        <v>739</v>
      </c>
      <c r="C440" s="10">
        <v>89505741.769999996</v>
      </c>
      <c r="D440" s="10">
        <v>400530069.02999997</v>
      </c>
      <c r="E440" s="10"/>
    </row>
    <row r="441" spans="1:5" ht="15" customHeight="1" x14ac:dyDescent="0.25">
      <c r="A441" s="11" t="s">
        <v>958</v>
      </c>
      <c r="B441" s="11" t="s">
        <v>959</v>
      </c>
      <c r="C441" s="12"/>
      <c r="D441" s="12">
        <v>225670064.71000001</v>
      </c>
      <c r="E441" s="12"/>
    </row>
    <row r="442" spans="1:5" ht="15" customHeight="1" x14ac:dyDescent="0.25">
      <c r="A442" s="9" t="s">
        <v>740</v>
      </c>
      <c r="B442" s="9" t="s">
        <v>741</v>
      </c>
      <c r="C442" s="10">
        <v>574830235.16999996</v>
      </c>
      <c r="D442" s="10">
        <v>0</v>
      </c>
      <c r="E442" s="10"/>
    </row>
    <row r="443" spans="1:5" ht="15" customHeight="1" x14ac:dyDescent="0.25">
      <c r="A443" s="11" t="s">
        <v>742</v>
      </c>
      <c r="B443" s="11" t="s">
        <v>743</v>
      </c>
      <c r="C443" s="12">
        <v>0</v>
      </c>
      <c r="D443" s="12">
        <v>198199589.38</v>
      </c>
      <c r="E443" s="12"/>
    </row>
    <row r="444" spans="1:5" ht="15" customHeight="1" x14ac:dyDescent="0.25">
      <c r="A444" s="9" t="s">
        <v>744</v>
      </c>
      <c r="B444" s="9" t="s">
        <v>745</v>
      </c>
      <c r="C444" s="10">
        <v>8395212.4199999999</v>
      </c>
      <c r="D444" s="10">
        <v>74970938.420000002</v>
      </c>
      <c r="E444" s="10"/>
    </row>
    <row r="445" spans="1:5" ht="15" customHeight="1" x14ac:dyDescent="0.25">
      <c r="A445" s="11" t="s">
        <v>746</v>
      </c>
      <c r="B445" s="11" t="s">
        <v>747</v>
      </c>
      <c r="C445" s="12">
        <v>0</v>
      </c>
      <c r="D445" s="12">
        <v>1612232.82</v>
      </c>
      <c r="E445" s="12"/>
    </row>
    <row r="446" spans="1:5" ht="15" customHeight="1" x14ac:dyDescent="0.25">
      <c r="A446" s="9" t="s">
        <v>748</v>
      </c>
      <c r="B446" s="9" t="s">
        <v>749</v>
      </c>
      <c r="C446" s="10">
        <v>1036000</v>
      </c>
      <c r="D446" s="10">
        <v>4337296.3899999997</v>
      </c>
      <c r="E446" s="10"/>
    </row>
    <row r="447" spans="1:5" ht="15" customHeight="1" x14ac:dyDescent="0.25">
      <c r="A447" s="11" t="s">
        <v>750</v>
      </c>
      <c r="B447" s="11" t="s">
        <v>751</v>
      </c>
      <c r="C447" s="12">
        <v>0</v>
      </c>
      <c r="D447" s="12">
        <v>-787730251.39999998</v>
      </c>
      <c r="E447" s="12"/>
    </row>
    <row r="448" spans="1:5" ht="15" customHeight="1" x14ac:dyDescent="0.25">
      <c r="A448" s="9" t="s">
        <v>752</v>
      </c>
      <c r="B448" s="9" t="s">
        <v>753</v>
      </c>
      <c r="C448" s="10">
        <v>227498877.40000001</v>
      </c>
      <c r="D448" s="10">
        <v>263878283.44</v>
      </c>
      <c r="E448" s="10"/>
    </row>
    <row r="449" spans="1:5" ht="15" customHeight="1" x14ac:dyDescent="0.25">
      <c r="A449" s="11" t="s">
        <v>754</v>
      </c>
      <c r="B449" s="11" t="s">
        <v>755</v>
      </c>
      <c r="C449" s="12">
        <v>0</v>
      </c>
      <c r="D449" s="12">
        <v>0</v>
      </c>
      <c r="E449" s="12"/>
    </row>
    <row r="450" spans="1:5" ht="15" customHeight="1" x14ac:dyDescent="0.25">
      <c r="A450" s="9" t="s">
        <v>756</v>
      </c>
      <c r="B450" s="9" t="s">
        <v>757</v>
      </c>
      <c r="C450" s="10">
        <v>2854219.72</v>
      </c>
      <c r="D450" s="10">
        <v>239361076.77000001</v>
      </c>
      <c r="E450" s="10"/>
    </row>
    <row r="451" spans="1:5" ht="15" customHeight="1" x14ac:dyDescent="0.25">
      <c r="A451" s="11" t="s">
        <v>758</v>
      </c>
      <c r="B451" s="11" t="s">
        <v>759</v>
      </c>
      <c r="C451" s="12">
        <v>0</v>
      </c>
      <c r="D451" s="12">
        <v>0</v>
      </c>
      <c r="E451" s="12"/>
    </row>
    <row r="452" spans="1:5" ht="15" customHeight="1" x14ac:dyDescent="0.25">
      <c r="A452" s="9" t="s">
        <v>960</v>
      </c>
      <c r="B452" s="9" t="s">
        <v>961</v>
      </c>
      <c r="C452" s="10"/>
      <c r="D452" s="10">
        <v>0</v>
      </c>
      <c r="E452" s="10"/>
    </row>
    <row r="453" spans="1:5" ht="15" customHeight="1" x14ac:dyDescent="0.25">
      <c r="A453" s="11" t="s">
        <v>760</v>
      </c>
      <c r="B453" s="11" t="s">
        <v>761</v>
      </c>
      <c r="C453" s="12">
        <v>0</v>
      </c>
      <c r="D453" s="12">
        <v>228631213.16</v>
      </c>
      <c r="E453" s="12"/>
    </row>
    <row r="454" spans="1:5" ht="15" customHeight="1" x14ac:dyDescent="0.25">
      <c r="A454" s="9" t="s">
        <v>762</v>
      </c>
      <c r="B454" s="9" t="s">
        <v>763</v>
      </c>
      <c r="C454" s="10">
        <v>2143050.5099999998</v>
      </c>
      <c r="D454" s="10">
        <v>39396761.090000004</v>
      </c>
      <c r="E454" s="10"/>
    </row>
    <row r="455" spans="1:5" ht="15" customHeight="1" x14ac:dyDescent="0.25">
      <c r="A455" s="11" t="s">
        <v>764</v>
      </c>
      <c r="B455" s="11" t="s">
        <v>765</v>
      </c>
      <c r="C455" s="12">
        <v>280443214.31999999</v>
      </c>
      <c r="D455" s="12">
        <v>503337467.68000001</v>
      </c>
      <c r="E455" s="12"/>
    </row>
    <row r="456" spans="1:5" ht="15" customHeight="1" x14ac:dyDescent="0.25">
      <c r="A456" s="9" t="s">
        <v>962</v>
      </c>
      <c r="B456" s="9" t="s">
        <v>963</v>
      </c>
      <c r="C456" s="10"/>
      <c r="D456" s="10">
        <v>0</v>
      </c>
      <c r="E456" s="10"/>
    </row>
    <row r="457" spans="1:5" ht="15" customHeight="1" x14ac:dyDescent="0.25">
      <c r="A457" s="11" t="s">
        <v>766</v>
      </c>
      <c r="B457" s="11" t="s">
        <v>767</v>
      </c>
      <c r="C457" s="12">
        <v>0</v>
      </c>
      <c r="D457" s="12">
        <v>1871682.7</v>
      </c>
      <c r="E457" s="12">
        <v>252518.04</v>
      </c>
    </row>
    <row r="458" spans="1:5" ht="15" customHeight="1" x14ac:dyDescent="0.25">
      <c r="A458" s="9" t="s">
        <v>768</v>
      </c>
      <c r="B458" s="9" t="s">
        <v>769</v>
      </c>
      <c r="C458" s="10">
        <v>685266.53</v>
      </c>
      <c r="D458" s="10">
        <v>825121.68</v>
      </c>
      <c r="E458" s="10"/>
    </row>
    <row r="459" spans="1:5" ht="15" customHeight="1" x14ac:dyDescent="0.25">
      <c r="A459" s="11" t="s">
        <v>770</v>
      </c>
      <c r="B459" s="11" t="s">
        <v>771</v>
      </c>
      <c r="C459" s="12">
        <v>0</v>
      </c>
      <c r="D459" s="12"/>
      <c r="E459" s="12"/>
    </row>
    <row r="460" spans="1:5" ht="15" customHeight="1" x14ac:dyDescent="0.25">
      <c r="A460" s="9" t="s">
        <v>772</v>
      </c>
      <c r="B460" s="9" t="s">
        <v>773</v>
      </c>
      <c r="C460" s="10">
        <v>-4787532.1900000004</v>
      </c>
      <c r="D460" s="10">
        <v>11275020.460000001</v>
      </c>
      <c r="E460" s="10"/>
    </row>
    <row r="461" spans="1:5" ht="15" customHeight="1" x14ac:dyDescent="0.25">
      <c r="A461" s="11" t="s">
        <v>964</v>
      </c>
      <c r="B461" s="11" t="s">
        <v>965</v>
      </c>
      <c r="C461" s="12"/>
      <c r="D461" s="12">
        <v>38185445.079999998</v>
      </c>
      <c r="E461" s="12"/>
    </row>
    <row r="462" spans="1:5" ht="15" customHeight="1" x14ac:dyDescent="0.25">
      <c r="A462" s="9" t="s">
        <v>774</v>
      </c>
      <c r="B462" s="9" t="s">
        <v>775</v>
      </c>
      <c r="C462" s="10">
        <v>79236781.709999993</v>
      </c>
      <c r="D462" s="10">
        <v>121382480.92</v>
      </c>
      <c r="E462" s="10"/>
    </row>
    <row r="463" spans="1:5" ht="15" customHeight="1" x14ac:dyDescent="0.25">
      <c r="A463" s="11" t="s">
        <v>776</v>
      </c>
      <c r="B463" s="11" t="s">
        <v>777</v>
      </c>
      <c r="C463" s="12">
        <v>0</v>
      </c>
      <c r="D463" s="12">
        <v>2173023.61</v>
      </c>
      <c r="E463" s="12"/>
    </row>
    <row r="464" spans="1:5" ht="15" customHeight="1" x14ac:dyDescent="0.25">
      <c r="A464" s="9" t="s">
        <v>778</v>
      </c>
      <c r="B464" s="9" t="s">
        <v>779</v>
      </c>
      <c r="C464" s="10">
        <v>6900</v>
      </c>
      <c r="D464" s="10">
        <v>36557604.399999999</v>
      </c>
      <c r="E464" s="10"/>
    </row>
    <row r="465" spans="1:5" ht="15" customHeight="1" x14ac:dyDescent="0.25">
      <c r="A465" s="11" t="s">
        <v>780</v>
      </c>
      <c r="B465" s="11" t="s">
        <v>781</v>
      </c>
      <c r="C465" s="12">
        <v>3435841.61</v>
      </c>
      <c r="D465" s="12">
        <v>18493350.199999999</v>
      </c>
      <c r="E465" s="12"/>
    </row>
    <row r="466" spans="1:5" ht="15" customHeight="1" x14ac:dyDescent="0.25">
      <c r="A466" s="9" t="s">
        <v>782</v>
      </c>
      <c r="B466" s="9" t="s">
        <v>783</v>
      </c>
      <c r="C466" s="10">
        <v>0</v>
      </c>
      <c r="D466" s="10">
        <v>3197186.93</v>
      </c>
      <c r="E466" s="10"/>
    </row>
    <row r="467" spans="1:5" ht="15" customHeight="1" x14ac:dyDescent="0.25">
      <c r="A467" s="11" t="s">
        <v>784</v>
      </c>
      <c r="B467" s="11" t="s">
        <v>785</v>
      </c>
      <c r="C467" s="12">
        <v>25010940.120000001</v>
      </c>
      <c r="D467" s="12">
        <v>481613088.22000003</v>
      </c>
      <c r="E467" s="12"/>
    </row>
    <row r="468" spans="1:5" ht="15" customHeight="1" x14ac:dyDescent="0.25">
      <c r="A468" s="9" t="s">
        <v>966</v>
      </c>
      <c r="B468" s="9" t="s">
        <v>967</v>
      </c>
      <c r="C468" s="10"/>
      <c r="D468" s="10">
        <v>21022034.449999999</v>
      </c>
      <c r="E468" s="10"/>
    </row>
    <row r="469" spans="1:5" ht="15" customHeight="1" x14ac:dyDescent="0.25">
      <c r="A469" s="11" t="s">
        <v>786</v>
      </c>
      <c r="B469" s="11" t="s">
        <v>787</v>
      </c>
      <c r="C469" s="12">
        <v>0</v>
      </c>
      <c r="D469" s="12">
        <v>32729176.760000002</v>
      </c>
      <c r="E469" s="12"/>
    </row>
    <row r="470" spans="1:5" ht="15" customHeight="1" x14ac:dyDescent="0.25">
      <c r="A470" s="9" t="s">
        <v>788</v>
      </c>
      <c r="B470" s="9" t="s">
        <v>789</v>
      </c>
      <c r="C470" s="10">
        <v>0</v>
      </c>
      <c r="D470" s="10">
        <v>1515362.19</v>
      </c>
      <c r="E470" s="10"/>
    </row>
    <row r="471" spans="1:5" ht="15" customHeight="1" x14ac:dyDescent="0.25">
      <c r="A471" s="11" t="s">
        <v>790</v>
      </c>
      <c r="B471" s="11" t="s">
        <v>791</v>
      </c>
      <c r="C471" s="12">
        <v>0</v>
      </c>
      <c r="D471" s="12">
        <v>38895505.619999997</v>
      </c>
      <c r="E471" s="12"/>
    </row>
    <row r="472" spans="1:5" ht="15" customHeight="1" x14ac:dyDescent="0.25">
      <c r="A472" s="9" t="s">
        <v>792</v>
      </c>
      <c r="B472" s="9" t="s">
        <v>793</v>
      </c>
      <c r="C472" s="10">
        <v>0</v>
      </c>
      <c r="D472" s="10"/>
      <c r="E472" s="10"/>
    </row>
    <row r="473" spans="1:5" ht="15" customHeight="1" x14ac:dyDescent="0.25">
      <c r="A473" s="11" t="s">
        <v>794</v>
      </c>
      <c r="B473" s="11" t="s">
        <v>795</v>
      </c>
      <c r="C473" s="12">
        <v>0</v>
      </c>
      <c r="D473" s="12">
        <v>0</v>
      </c>
      <c r="E473" s="12"/>
    </row>
    <row r="474" spans="1:5" ht="15" customHeight="1" x14ac:dyDescent="0.25">
      <c r="A474" s="9" t="s">
        <v>968</v>
      </c>
      <c r="B474" s="9" t="s">
        <v>1004</v>
      </c>
      <c r="C474" s="10"/>
      <c r="D474" s="10">
        <v>0</v>
      </c>
      <c r="E474" s="10"/>
    </row>
    <row r="475" spans="1:5" ht="15" customHeight="1" x14ac:dyDescent="0.25">
      <c r="A475" s="11" t="s">
        <v>970</v>
      </c>
      <c r="B475" s="11" t="s">
        <v>971</v>
      </c>
      <c r="C475" s="12"/>
      <c r="D475" s="12">
        <v>186266512.91</v>
      </c>
      <c r="E475" s="12"/>
    </row>
    <row r="476" spans="1:5" ht="15" customHeight="1" x14ac:dyDescent="0.25">
      <c r="A476" s="9" t="s">
        <v>972</v>
      </c>
      <c r="B476" s="9" t="s">
        <v>973</v>
      </c>
      <c r="C476" s="10"/>
      <c r="D476" s="10">
        <v>109580692.77</v>
      </c>
      <c r="E476" s="10"/>
    </row>
    <row r="477" spans="1:5" ht="15" customHeight="1" x14ac:dyDescent="0.25">
      <c r="A477" s="11" t="s">
        <v>974</v>
      </c>
      <c r="B477" s="11" t="s">
        <v>975</v>
      </c>
      <c r="C477" s="12"/>
      <c r="D477" s="12">
        <v>10987255.880000001</v>
      </c>
      <c r="E477" s="12"/>
    </row>
    <row r="478" spans="1:5" ht="15" customHeight="1" x14ac:dyDescent="0.25">
      <c r="A478" s="9" t="s">
        <v>976</v>
      </c>
      <c r="B478" s="9" t="s">
        <v>1005</v>
      </c>
      <c r="C478" s="10"/>
      <c r="D478" s="10">
        <v>118309930.04000001</v>
      </c>
      <c r="E478" s="10"/>
    </row>
    <row r="479" spans="1:5" ht="15" customHeight="1" x14ac:dyDescent="0.25">
      <c r="A479" s="11" t="s">
        <v>978</v>
      </c>
      <c r="B479" s="11" t="s">
        <v>979</v>
      </c>
      <c r="C479" s="12"/>
      <c r="D479" s="12">
        <v>0</v>
      </c>
      <c r="E479" s="12"/>
    </row>
    <row r="480" spans="1:5" ht="15" customHeight="1" x14ac:dyDescent="0.25">
      <c r="A480" s="9" t="s">
        <v>796</v>
      </c>
      <c r="B480" s="9" t="s">
        <v>797</v>
      </c>
      <c r="C480" s="10">
        <v>0</v>
      </c>
      <c r="D480" s="10">
        <v>0</v>
      </c>
      <c r="E480" s="10"/>
    </row>
    <row r="481" spans="1:5" ht="15" customHeight="1" x14ac:dyDescent="0.25">
      <c r="A481" s="11" t="s">
        <v>798</v>
      </c>
      <c r="B481" s="11" t="s">
        <v>799</v>
      </c>
      <c r="C481" s="12">
        <v>18876000</v>
      </c>
      <c r="D481" s="12">
        <v>9107424.4000000004</v>
      </c>
      <c r="E481" s="12"/>
    </row>
    <row r="482" spans="1:5" ht="15" customHeight="1" x14ac:dyDescent="0.25">
      <c r="A482" s="9" t="s">
        <v>800</v>
      </c>
      <c r="B482" s="9" t="s">
        <v>801</v>
      </c>
      <c r="C482" s="10">
        <v>2313161.66</v>
      </c>
      <c r="D482" s="10">
        <v>7524841.1699999999</v>
      </c>
      <c r="E482" s="10"/>
    </row>
    <row r="483" spans="1:5" ht="15" customHeight="1" x14ac:dyDescent="0.25">
      <c r="A483" s="11" t="s">
        <v>802</v>
      </c>
      <c r="B483" s="11" t="s">
        <v>803</v>
      </c>
      <c r="C483" s="12">
        <v>0</v>
      </c>
      <c r="D483" s="12">
        <v>766887.86</v>
      </c>
      <c r="E483" s="12"/>
    </row>
    <row r="484" spans="1:5" ht="15" customHeight="1" x14ac:dyDescent="0.25">
      <c r="A484" s="9" t="s">
        <v>804</v>
      </c>
      <c r="B484" s="9" t="s">
        <v>805</v>
      </c>
      <c r="C484" s="10">
        <v>4855680</v>
      </c>
      <c r="D484" s="10">
        <v>1141750149.3199999</v>
      </c>
      <c r="E484" s="10"/>
    </row>
    <row r="485" spans="1:5" ht="15" customHeight="1" x14ac:dyDescent="0.25">
      <c r="A485" s="11" t="s">
        <v>806</v>
      </c>
      <c r="B485" s="11" t="s">
        <v>619</v>
      </c>
      <c r="C485" s="12">
        <v>0</v>
      </c>
      <c r="D485" s="12">
        <v>0</v>
      </c>
      <c r="E485" s="12"/>
    </row>
    <row r="486" spans="1:5" ht="15" customHeight="1" x14ac:dyDescent="0.25">
      <c r="A486" s="9" t="s">
        <v>980</v>
      </c>
      <c r="B486" s="9" t="s">
        <v>981</v>
      </c>
      <c r="C486" s="10">
        <v>0</v>
      </c>
      <c r="D486" s="10">
        <v>254185702.28</v>
      </c>
      <c r="E486" s="10"/>
    </row>
    <row r="487" spans="1:5" ht="15" customHeight="1" x14ac:dyDescent="0.25">
      <c r="A487" s="11" t="s">
        <v>807</v>
      </c>
      <c r="B487" s="11" t="s">
        <v>808</v>
      </c>
      <c r="C487" s="12">
        <v>0</v>
      </c>
      <c r="D487" s="12"/>
      <c r="E487" s="12"/>
    </row>
    <row r="488" spans="1:5" ht="15" customHeight="1" x14ac:dyDescent="0.25">
      <c r="A488" s="9" t="s">
        <v>809</v>
      </c>
      <c r="B488" s="9" t="s">
        <v>810</v>
      </c>
      <c r="C488" s="10">
        <v>0</v>
      </c>
      <c r="D488" s="10"/>
      <c r="E488" s="10"/>
    </row>
    <row r="489" spans="1:5" ht="15" customHeight="1" x14ac:dyDescent="0.25">
      <c r="A489" s="11" t="s">
        <v>811</v>
      </c>
      <c r="B489" s="11" t="s">
        <v>812</v>
      </c>
      <c r="C489" s="12">
        <v>0</v>
      </c>
      <c r="D489" s="12"/>
      <c r="E489" s="12"/>
    </row>
    <row r="490" spans="1:5" ht="15" customHeight="1" x14ac:dyDescent="0.25">
      <c r="A490" s="9" t="s">
        <v>813</v>
      </c>
      <c r="B490" s="9" t="s">
        <v>814</v>
      </c>
      <c r="C490" s="10">
        <v>0</v>
      </c>
      <c r="D490" s="10"/>
      <c r="E490" s="10"/>
    </row>
    <row r="491" spans="1:5" ht="15" customHeight="1" x14ac:dyDescent="0.25">
      <c r="A491" s="11" t="s">
        <v>815</v>
      </c>
      <c r="B491" s="11" t="s">
        <v>816</v>
      </c>
      <c r="C491" s="12">
        <v>0</v>
      </c>
      <c r="D491" s="12"/>
      <c r="E491" s="12"/>
    </row>
    <row r="492" spans="1:5" ht="15" customHeight="1" x14ac:dyDescent="0.25">
      <c r="A492" s="24" t="s">
        <v>817</v>
      </c>
      <c r="B492" s="24" t="s">
        <v>818</v>
      </c>
      <c r="C492" s="25">
        <v>-41631257.380000003</v>
      </c>
      <c r="D492" s="25">
        <v>-33911038.460000001</v>
      </c>
      <c r="E492" s="25"/>
    </row>
    <row r="493" spans="1:5" ht="15" customHeight="1" x14ac:dyDescent="0.25">
      <c r="A493" s="11" t="s">
        <v>819</v>
      </c>
      <c r="B493" s="11" t="s">
        <v>820</v>
      </c>
      <c r="C493" s="12">
        <v>0</v>
      </c>
      <c r="D493" s="12">
        <v>0</v>
      </c>
      <c r="E493" s="12"/>
    </row>
    <row r="494" spans="1:5" ht="15" customHeight="1" x14ac:dyDescent="0.25">
      <c r="A494" s="9" t="s">
        <v>821</v>
      </c>
      <c r="B494" s="9" t="s">
        <v>822</v>
      </c>
      <c r="C494" s="10">
        <v>0</v>
      </c>
      <c r="D494" s="10"/>
      <c r="E494" s="10"/>
    </row>
    <row r="495" spans="1:5" ht="15" customHeight="1" x14ac:dyDescent="0.25">
      <c r="A495" s="11" t="s">
        <v>823</v>
      </c>
      <c r="B495" s="11" t="s">
        <v>824</v>
      </c>
      <c r="C495" s="12">
        <v>1737973651.99</v>
      </c>
      <c r="D495" s="12">
        <v>15081161.91</v>
      </c>
      <c r="E495" s="12"/>
    </row>
    <row r="497" spans="3:5" x14ac:dyDescent="0.25">
      <c r="C497" s="8">
        <f>SUM(C3:C496)</f>
        <v>-0.22701048851013184</v>
      </c>
      <c r="D497" s="8">
        <f t="shared" ref="D497:E497" si="0">SUM(D3:D496)</f>
        <v>4.2729079723358154E-6</v>
      </c>
      <c r="E497" s="8">
        <f t="shared" si="0"/>
        <v>2.0951847545802593E-7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BLC</vt:lpstr>
      <vt:lpstr>SAS</vt:lpstr>
      <vt:lpstr>ING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Correa</dc:creator>
  <cp:lastModifiedBy>Mariano Correa</cp:lastModifiedBy>
  <dcterms:created xsi:type="dcterms:W3CDTF">2026-05-19T15:04:56Z</dcterms:created>
  <dcterms:modified xsi:type="dcterms:W3CDTF">2026-06-07T23:16:16Z</dcterms:modified>
</cp:coreProperties>
</file>