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0.10\cont_impuestos\F931\liquidaciones\01-26\"/>
    </mc:Choice>
  </mc:AlternateContent>
  <xr:revisionPtr revIDLastSave="0" documentId="13_ncr:1_{E62F51B2-C38B-44EB-BF49-3B49F5B2CF4D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1°Q 01 V1 CAMPO" sheetId="1" r:id="rId1"/>
    <sheet name="1°Q 01 V2 CAMPO" sheetId="4" r:id="rId2"/>
    <sheet name="Planilla de pago" sheetId="9" r:id="rId3"/>
    <sheet name="Etiquetas (2)" sheetId="8" r:id="rId4"/>
    <sheet name="Pensiones" sheetId="7" state="hidden" r:id="rId5"/>
    <sheet name="Etiquetas" sheetId="6" state="hidden" r:id="rId6"/>
  </sheets>
  <externalReferences>
    <externalReference r:id="rId7"/>
  </externalReferences>
  <definedNames>
    <definedName name="_1_Excel_BuiltIn__FilterDatabase_3_1_1_1_1_1_1_1">"$#REF!.#REF!#REF!:#REF!#REF!"</definedName>
    <definedName name="_2Excel_BuiltIn__FilterDatabase_3_1_1_1_1_1_1_1">"$#REF!.#REF!#REF!:#REF!#REF!"</definedName>
    <definedName name="_xlnm._FilterDatabase" localSheetId="0" hidden="1">'1°Q 01 V1 CAMPO'!$A$17:$EZ$114</definedName>
    <definedName name="_xlnm._FilterDatabase" localSheetId="1" hidden="1">'1°Q 01 V2 CAMPO'!$A$16:$EZ$114</definedName>
    <definedName name="_xlnm._FilterDatabase" localSheetId="2" hidden="1">'Planilla de pago'!$A$6:$N$103</definedName>
    <definedName name="Excel_BuiltIn__FilterDatabase_1_1" localSheetId="0">#REF!</definedName>
    <definedName name="Excel_BuiltIn__FilterDatabase_1_1" localSheetId="1">#REF!</definedName>
    <definedName name="Excel_BuiltIn__FilterDatabase_1_1" localSheetId="3">#REF!</definedName>
    <definedName name="Excel_BuiltIn__FilterDatabase_1_1" localSheetId="2">#REF!</definedName>
    <definedName name="Excel_BuiltIn__FilterDatabase_1_1">#REF!</definedName>
    <definedName name="Excel_BuiltIn__FilterDatabase_1_1_1">"$#REF!.$AI$1:$AI$65536"</definedName>
    <definedName name="Excel_BuiltIn__FilterDatabase_1_1_1_1">"$#REF!.$B$1:$AH$9"</definedName>
    <definedName name="Excel_BuiltIn__FilterDatabase_1_1_1_1_1">"$#REF!.$B$1:$P$1"</definedName>
    <definedName name="Excel_BuiltIn__FilterDatabase_1_1_1_1_1_1">"$#REF!.$B$1:$E$1"</definedName>
    <definedName name="Excel_BuiltIn__FilterDatabase_1_2">"$#REF!.$B$1:$P$1"</definedName>
    <definedName name="Excel_BuiltIn__FilterDatabase_2_1" localSheetId="0">#REF!</definedName>
    <definedName name="Excel_BuiltIn__FilterDatabase_2_1" localSheetId="1">#REF!</definedName>
    <definedName name="Excel_BuiltIn__FilterDatabase_2_1" localSheetId="3">#REF!</definedName>
    <definedName name="Excel_BuiltIn__FilterDatabase_2_1" localSheetId="2">#REF!</definedName>
    <definedName name="Excel_BuiltIn__FilterDatabase_2_1">#REF!</definedName>
    <definedName name="Excel_BuiltIn__FilterDatabase_2_1_1">"$#REF!.$N$1:$O$1"</definedName>
    <definedName name="Excel_BuiltIn__FilterDatabase_3_1" localSheetId="0">#REF!</definedName>
    <definedName name="Excel_BuiltIn__FilterDatabase_3_1" localSheetId="1">#REF!</definedName>
    <definedName name="Excel_BuiltIn__FilterDatabase_3_1" localSheetId="3">#REF!</definedName>
    <definedName name="Excel_BuiltIn__FilterDatabase_3_1" localSheetId="2">#REF!</definedName>
    <definedName name="Excel_BuiltIn__FilterDatabase_3_1">#REF!</definedName>
    <definedName name="Excel_BuiltIn__FilterDatabase_3_1_1">"$#REF!.$#REF!$#REF!:$#REF!$#REF!"</definedName>
    <definedName name="Excel_BuiltIn__FilterDatabase_3_1_1_1">"$#REF!.#REF!#REF!:#REF!#REF!"</definedName>
    <definedName name="Excel_BuiltIn__FilterDatabase_3_1_1_1_1">"$#REF!.$B$1:$P$1"</definedName>
    <definedName name="Excel_BuiltIn__FilterDatabase_3_1_1_1_1_1">"$#REF!.#REF!#REF!:#REF!#REF!"</definedName>
    <definedName name="Excel_BuiltIn__FilterDatabase_3_1_1_1_1_1_1">"$#REF!.$B$1:$P$1"</definedName>
    <definedName name="Excel_BuiltIn__FilterDatabase_4">"$#REF!.$B$1:$E$1"</definedName>
    <definedName name="Excel_BuiltIn_Print_Area_2_1" localSheetId="0">#REF!</definedName>
    <definedName name="Excel_BuiltIn_Print_Area_2_1" localSheetId="1">#REF!</definedName>
    <definedName name="Excel_BuiltIn_Print_Area_2_1" localSheetId="3">#REF!</definedName>
    <definedName name="Excel_BuiltIn_Print_Area_2_1" localSheetId="2">#REF!</definedName>
    <definedName name="Excel_BuiltIn_Print_Area_2_1">#REF!</definedName>
    <definedName name="Excel_BuiltIn_Print_Area_3">"$#REF!.$B$1:$P$1"</definedName>
    <definedName name="Excel_BuiltIn_Print_Area_7" localSheetId="0">#REF!</definedName>
    <definedName name="Excel_BuiltIn_Print_Area_7" localSheetId="1">#REF!</definedName>
    <definedName name="Excel_BuiltIn_Print_Area_7" localSheetId="3">#REF!</definedName>
    <definedName name="Excel_BuiltIn_Print_Area_7" localSheetId="2">#REF!</definedName>
    <definedName name="Excel_BuiltIn_Print_Area_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8" l="1"/>
  <c r="H2" i="8"/>
  <c r="I2" i="8"/>
  <c r="G3" i="8"/>
  <c r="H3" i="8"/>
  <c r="I3" i="8"/>
  <c r="G4" i="8"/>
  <c r="H4" i="8"/>
  <c r="I4" i="8"/>
  <c r="G5" i="8"/>
  <c r="H5" i="8"/>
  <c r="I5" i="8"/>
  <c r="G6" i="8"/>
  <c r="H6" i="8"/>
  <c r="I6" i="8"/>
  <c r="G7" i="8"/>
  <c r="H7" i="8"/>
  <c r="I7" i="8"/>
  <c r="G8" i="8"/>
  <c r="H8" i="8"/>
  <c r="I8" i="8"/>
  <c r="G9" i="8"/>
  <c r="H9" i="8"/>
  <c r="I9" i="8"/>
  <c r="G10" i="8"/>
  <c r="H10" i="8"/>
  <c r="I10" i="8"/>
  <c r="G11" i="8"/>
  <c r="H11" i="8"/>
  <c r="I11" i="8"/>
  <c r="G12" i="8"/>
  <c r="H12" i="8"/>
  <c r="I12" i="8"/>
  <c r="G13" i="8"/>
  <c r="H13" i="8"/>
  <c r="I13" i="8"/>
  <c r="G14" i="8"/>
  <c r="H14" i="8"/>
  <c r="I14" i="8"/>
  <c r="G15" i="8"/>
  <c r="H15" i="8"/>
  <c r="I15" i="8"/>
  <c r="G16" i="8"/>
  <c r="H16" i="8"/>
  <c r="I16" i="8"/>
  <c r="G17" i="8"/>
  <c r="H17" i="8"/>
  <c r="I17" i="8"/>
  <c r="G18" i="8"/>
  <c r="H18" i="8"/>
  <c r="I18" i="8"/>
  <c r="G19" i="8"/>
  <c r="H19" i="8"/>
  <c r="I19" i="8"/>
  <c r="I1" i="8"/>
  <c r="H1" i="8"/>
  <c r="G1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1" i="8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1" i="8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7" i="9"/>
  <c r="H8" i="9"/>
  <c r="H9" i="9"/>
  <c r="H10" i="9"/>
  <c r="H11" i="9"/>
  <c r="H12" i="9"/>
  <c r="H13" i="9"/>
  <c r="J13" i="9" s="1"/>
  <c r="L13" i="9" s="1"/>
  <c r="H14" i="9"/>
  <c r="H15" i="9"/>
  <c r="J15" i="9" s="1"/>
  <c r="L15" i="9" s="1"/>
  <c r="H16" i="9"/>
  <c r="H17" i="9"/>
  <c r="H18" i="9"/>
  <c r="H19" i="9"/>
  <c r="H20" i="9"/>
  <c r="H21" i="9"/>
  <c r="H22" i="9"/>
  <c r="H23" i="9"/>
  <c r="J23" i="9" s="1"/>
  <c r="L23" i="9" s="1"/>
  <c r="H24" i="9"/>
  <c r="H25" i="9"/>
  <c r="H26" i="9"/>
  <c r="H27" i="9"/>
  <c r="H28" i="9"/>
  <c r="H29" i="9"/>
  <c r="J29" i="9" s="1"/>
  <c r="L29" i="9" s="1"/>
  <c r="H30" i="9"/>
  <c r="H31" i="9"/>
  <c r="J31" i="9" s="1"/>
  <c r="L31" i="9" s="1"/>
  <c r="H32" i="9"/>
  <c r="H33" i="9"/>
  <c r="H34" i="9"/>
  <c r="H35" i="9"/>
  <c r="H36" i="9"/>
  <c r="H37" i="9"/>
  <c r="J37" i="9" s="1"/>
  <c r="L37" i="9" s="1"/>
  <c r="H38" i="9"/>
  <c r="H39" i="9"/>
  <c r="J39" i="9" s="1"/>
  <c r="L39" i="9" s="1"/>
  <c r="H40" i="9"/>
  <c r="H41" i="9"/>
  <c r="H42" i="9"/>
  <c r="H43" i="9"/>
  <c r="H44" i="9"/>
  <c r="H45" i="9"/>
  <c r="J45" i="9" s="1"/>
  <c r="L45" i="9" s="1"/>
  <c r="H46" i="9"/>
  <c r="H47" i="9"/>
  <c r="J47" i="9" s="1"/>
  <c r="L47" i="9" s="1"/>
  <c r="H48" i="9"/>
  <c r="H49" i="9"/>
  <c r="H50" i="9"/>
  <c r="H51" i="9"/>
  <c r="H52" i="9"/>
  <c r="H53" i="9"/>
  <c r="J53" i="9" s="1"/>
  <c r="L53" i="9" s="1"/>
  <c r="H54" i="9"/>
  <c r="H55" i="9"/>
  <c r="J55" i="9" s="1"/>
  <c r="L55" i="9" s="1"/>
  <c r="H56" i="9"/>
  <c r="H57" i="9"/>
  <c r="H58" i="9"/>
  <c r="H59" i="9"/>
  <c r="H60" i="9"/>
  <c r="H61" i="9"/>
  <c r="J61" i="9" s="1"/>
  <c r="L61" i="9" s="1"/>
  <c r="H62" i="9"/>
  <c r="H63" i="9"/>
  <c r="J63" i="9" s="1"/>
  <c r="L63" i="9" s="1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J77" i="9" s="1"/>
  <c r="L77" i="9" s="1"/>
  <c r="H78" i="9"/>
  <c r="H79" i="9"/>
  <c r="J79" i="9" s="1"/>
  <c r="L79" i="9" s="1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J93" i="9" s="1"/>
  <c r="L93" i="9" s="1"/>
  <c r="H94" i="9"/>
  <c r="J94" i="9" s="1"/>
  <c r="L94" i="9" s="1"/>
  <c r="H95" i="9"/>
  <c r="J95" i="9" s="1"/>
  <c r="L95" i="9" s="1"/>
  <c r="H96" i="9"/>
  <c r="H97" i="9"/>
  <c r="H98" i="9"/>
  <c r="H99" i="9"/>
  <c r="H100" i="9"/>
  <c r="H101" i="9"/>
  <c r="J101" i="9" s="1"/>
  <c r="L101" i="9" s="1"/>
  <c r="H102" i="9"/>
  <c r="J102" i="9" s="1"/>
  <c r="L102" i="9" s="1"/>
  <c r="H7" i="9"/>
  <c r="G102" i="9"/>
  <c r="F102" i="9"/>
  <c r="E102" i="9"/>
  <c r="D102" i="9"/>
  <c r="G101" i="9"/>
  <c r="F101" i="9"/>
  <c r="E101" i="9"/>
  <c r="D101" i="9"/>
  <c r="G100" i="9"/>
  <c r="F100" i="9"/>
  <c r="E100" i="9"/>
  <c r="D100" i="9"/>
  <c r="J99" i="9"/>
  <c r="L99" i="9" s="1"/>
  <c r="G99" i="9"/>
  <c r="F99" i="9"/>
  <c r="E99" i="9"/>
  <c r="D99" i="9"/>
  <c r="J98" i="9"/>
  <c r="L98" i="9" s="1"/>
  <c r="G98" i="9"/>
  <c r="F98" i="9"/>
  <c r="E98" i="9"/>
  <c r="D98" i="9"/>
  <c r="J97" i="9"/>
  <c r="L97" i="9" s="1"/>
  <c r="G97" i="9"/>
  <c r="F97" i="9"/>
  <c r="E97" i="9"/>
  <c r="D97" i="9"/>
  <c r="J96" i="9"/>
  <c r="L96" i="9" s="1"/>
  <c r="G96" i="9"/>
  <c r="F96" i="9"/>
  <c r="D96" i="9"/>
  <c r="G95" i="9"/>
  <c r="F95" i="9"/>
  <c r="E95" i="9"/>
  <c r="D95" i="9"/>
  <c r="G94" i="9"/>
  <c r="F94" i="9"/>
  <c r="E94" i="9"/>
  <c r="D94" i="9"/>
  <c r="G93" i="9"/>
  <c r="F93" i="9"/>
  <c r="E93" i="9"/>
  <c r="D93" i="9"/>
  <c r="J92" i="9"/>
  <c r="L92" i="9" s="1"/>
  <c r="G92" i="9"/>
  <c r="F92" i="9"/>
  <c r="E92" i="9"/>
  <c r="D92" i="9"/>
  <c r="J91" i="9"/>
  <c r="L91" i="9" s="1"/>
  <c r="G91" i="9"/>
  <c r="F91" i="9"/>
  <c r="E91" i="9"/>
  <c r="D91" i="9"/>
  <c r="J90" i="9"/>
  <c r="L90" i="9" s="1"/>
  <c r="G90" i="9"/>
  <c r="F90" i="9"/>
  <c r="D90" i="9"/>
  <c r="J89" i="9"/>
  <c r="L89" i="9" s="1"/>
  <c r="G89" i="9"/>
  <c r="F89" i="9"/>
  <c r="D89" i="9"/>
  <c r="J88" i="9"/>
  <c r="L88" i="9" s="1"/>
  <c r="G88" i="9"/>
  <c r="F88" i="9"/>
  <c r="E88" i="9"/>
  <c r="D88" i="9"/>
  <c r="G87" i="9"/>
  <c r="F87" i="9"/>
  <c r="E87" i="9"/>
  <c r="D87" i="9"/>
  <c r="G86" i="9"/>
  <c r="F86" i="9"/>
  <c r="E86" i="9"/>
  <c r="D86" i="9"/>
  <c r="G85" i="9"/>
  <c r="F85" i="9"/>
  <c r="D85" i="9"/>
  <c r="J84" i="9"/>
  <c r="L84" i="9" s="1"/>
  <c r="G84" i="9"/>
  <c r="F84" i="9"/>
  <c r="E84" i="9"/>
  <c r="D84" i="9"/>
  <c r="J83" i="9"/>
  <c r="L83" i="9" s="1"/>
  <c r="G83" i="9"/>
  <c r="F83" i="9"/>
  <c r="D83" i="9"/>
  <c r="J82" i="9"/>
  <c r="L82" i="9" s="1"/>
  <c r="G82" i="9"/>
  <c r="F82" i="9"/>
  <c r="E82" i="9"/>
  <c r="D82" i="9"/>
  <c r="J81" i="9"/>
  <c r="L81" i="9" s="1"/>
  <c r="G81" i="9"/>
  <c r="F81" i="9"/>
  <c r="E81" i="9"/>
  <c r="D81" i="9"/>
  <c r="J80" i="9"/>
  <c r="L80" i="9" s="1"/>
  <c r="G80" i="9"/>
  <c r="F80" i="9"/>
  <c r="E80" i="9"/>
  <c r="D80" i="9"/>
  <c r="G79" i="9"/>
  <c r="F79" i="9"/>
  <c r="E79" i="9"/>
  <c r="D79" i="9"/>
  <c r="J78" i="9"/>
  <c r="L78" i="9" s="1"/>
  <c r="G78" i="9"/>
  <c r="F78" i="9"/>
  <c r="E78" i="9"/>
  <c r="D78" i="9"/>
  <c r="G77" i="9"/>
  <c r="F77" i="9"/>
  <c r="D77" i="9"/>
  <c r="J76" i="9"/>
  <c r="L76" i="9" s="1"/>
  <c r="G76" i="9"/>
  <c r="E76" i="9"/>
  <c r="D76" i="9"/>
  <c r="J75" i="9"/>
  <c r="L75" i="9" s="1"/>
  <c r="G75" i="9"/>
  <c r="F75" i="9"/>
  <c r="E75" i="9"/>
  <c r="D75" i="9"/>
  <c r="J74" i="9"/>
  <c r="L74" i="9" s="1"/>
  <c r="G74" i="9"/>
  <c r="F74" i="9"/>
  <c r="E74" i="9"/>
  <c r="D74" i="9"/>
  <c r="J73" i="9"/>
  <c r="L73" i="9" s="1"/>
  <c r="G73" i="9"/>
  <c r="F73" i="9"/>
  <c r="E73" i="9"/>
  <c r="D73" i="9"/>
  <c r="J72" i="9"/>
  <c r="L72" i="9" s="1"/>
  <c r="G72" i="9"/>
  <c r="F72" i="9"/>
  <c r="E72" i="9"/>
  <c r="D72" i="9"/>
  <c r="G71" i="9"/>
  <c r="F71" i="9"/>
  <c r="E71" i="9"/>
  <c r="D71" i="9"/>
  <c r="J70" i="9"/>
  <c r="L70" i="9" s="1"/>
  <c r="G70" i="9"/>
  <c r="F70" i="9"/>
  <c r="E70" i="9"/>
  <c r="D70" i="9"/>
  <c r="G69" i="9"/>
  <c r="F69" i="9"/>
  <c r="E69" i="9"/>
  <c r="D69" i="9"/>
  <c r="J68" i="9"/>
  <c r="L68" i="9" s="1"/>
  <c r="G68" i="9"/>
  <c r="F68" i="9"/>
  <c r="E68" i="9"/>
  <c r="D68" i="9"/>
  <c r="J67" i="9"/>
  <c r="L67" i="9" s="1"/>
  <c r="G67" i="9"/>
  <c r="F67" i="9"/>
  <c r="E67" i="9"/>
  <c r="D67" i="9"/>
  <c r="J66" i="9"/>
  <c r="L66" i="9" s="1"/>
  <c r="G66" i="9"/>
  <c r="F66" i="9"/>
  <c r="D66" i="9"/>
  <c r="J65" i="9"/>
  <c r="L65" i="9" s="1"/>
  <c r="G65" i="9"/>
  <c r="F65" i="9"/>
  <c r="D65" i="9"/>
  <c r="J64" i="9"/>
  <c r="L64" i="9" s="1"/>
  <c r="G64" i="9"/>
  <c r="F64" i="9"/>
  <c r="E64" i="9"/>
  <c r="D64" i="9"/>
  <c r="D63" i="9"/>
  <c r="J62" i="9"/>
  <c r="L62" i="9" s="1"/>
  <c r="G62" i="9"/>
  <c r="F62" i="9"/>
  <c r="E62" i="9"/>
  <c r="D62" i="9"/>
  <c r="G61" i="9"/>
  <c r="F61" i="9"/>
  <c r="E61" i="9"/>
  <c r="D61" i="9"/>
  <c r="J60" i="9"/>
  <c r="L60" i="9" s="1"/>
  <c r="G60" i="9"/>
  <c r="F60" i="9"/>
  <c r="E60" i="9"/>
  <c r="D60" i="9"/>
  <c r="J59" i="9"/>
  <c r="L59" i="9" s="1"/>
  <c r="G59" i="9"/>
  <c r="F59" i="9"/>
  <c r="D59" i="9"/>
  <c r="J58" i="9"/>
  <c r="L58" i="9" s="1"/>
  <c r="G58" i="9"/>
  <c r="F58" i="9"/>
  <c r="E58" i="9"/>
  <c r="D58" i="9"/>
  <c r="J57" i="9"/>
  <c r="L57" i="9" s="1"/>
  <c r="G57" i="9"/>
  <c r="F57" i="9"/>
  <c r="E57" i="9"/>
  <c r="D57" i="9"/>
  <c r="J56" i="9"/>
  <c r="L56" i="9" s="1"/>
  <c r="G56" i="9"/>
  <c r="F56" i="9"/>
  <c r="E56" i="9"/>
  <c r="D56" i="9"/>
  <c r="G55" i="9"/>
  <c r="F55" i="9"/>
  <c r="E55" i="9"/>
  <c r="D55" i="9"/>
  <c r="J54" i="9"/>
  <c r="L54" i="9" s="1"/>
  <c r="G54" i="9"/>
  <c r="F54" i="9"/>
  <c r="E54" i="9"/>
  <c r="D54" i="9"/>
  <c r="G53" i="9"/>
  <c r="F53" i="9"/>
  <c r="E53" i="9"/>
  <c r="D53" i="9"/>
  <c r="J52" i="9"/>
  <c r="L52" i="9" s="1"/>
  <c r="G52" i="9"/>
  <c r="F52" i="9"/>
  <c r="E52" i="9"/>
  <c r="D52" i="9"/>
  <c r="J51" i="9"/>
  <c r="L51" i="9" s="1"/>
  <c r="G51" i="9"/>
  <c r="F51" i="9"/>
  <c r="E51" i="9"/>
  <c r="D51" i="9"/>
  <c r="J50" i="9"/>
  <c r="L50" i="9" s="1"/>
  <c r="G50" i="9"/>
  <c r="F50" i="9"/>
  <c r="E50" i="9"/>
  <c r="D50" i="9"/>
  <c r="J49" i="9"/>
  <c r="L49" i="9" s="1"/>
  <c r="G49" i="9"/>
  <c r="F49" i="9"/>
  <c r="E49" i="9"/>
  <c r="D49" i="9"/>
  <c r="J48" i="9"/>
  <c r="L48" i="9" s="1"/>
  <c r="G48" i="9"/>
  <c r="F48" i="9"/>
  <c r="E48" i="9"/>
  <c r="D48" i="9"/>
  <c r="G47" i="9"/>
  <c r="F47" i="9"/>
  <c r="E47" i="9"/>
  <c r="D47" i="9"/>
  <c r="J46" i="9"/>
  <c r="L46" i="9" s="1"/>
  <c r="G46" i="9"/>
  <c r="F46" i="9"/>
  <c r="E46" i="9"/>
  <c r="D46" i="9"/>
  <c r="G45" i="9"/>
  <c r="F45" i="9"/>
  <c r="E45" i="9"/>
  <c r="J44" i="9"/>
  <c r="L44" i="9" s="1"/>
  <c r="G44" i="9"/>
  <c r="F44" i="9"/>
  <c r="E44" i="9"/>
  <c r="D44" i="9"/>
  <c r="J43" i="9"/>
  <c r="L43" i="9" s="1"/>
  <c r="G43" i="9"/>
  <c r="F43" i="9"/>
  <c r="E43" i="9"/>
  <c r="D43" i="9"/>
  <c r="J42" i="9"/>
  <c r="L42" i="9" s="1"/>
  <c r="G42" i="9"/>
  <c r="F42" i="9"/>
  <c r="E42" i="9"/>
  <c r="D42" i="9"/>
  <c r="J41" i="9"/>
  <c r="L41" i="9" s="1"/>
  <c r="G41" i="9"/>
  <c r="F41" i="9"/>
  <c r="E41" i="9"/>
  <c r="D41" i="9"/>
  <c r="J40" i="9"/>
  <c r="L40" i="9" s="1"/>
  <c r="G40" i="9"/>
  <c r="F40" i="9"/>
  <c r="E40" i="9"/>
  <c r="D40" i="9"/>
  <c r="G39" i="9"/>
  <c r="F39" i="9"/>
  <c r="E39" i="9"/>
  <c r="D39" i="9"/>
  <c r="J38" i="9"/>
  <c r="L38" i="9" s="1"/>
  <c r="G38" i="9"/>
  <c r="F38" i="9"/>
  <c r="E38" i="9"/>
  <c r="D38" i="9"/>
  <c r="G37" i="9"/>
  <c r="F37" i="9"/>
  <c r="D37" i="9"/>
  <c r="J36" i="9"/>
  <c r="L36" i="9" s="1"/>
  <c r="G36" i="9"/>
  <c r="F36" i="9"/>
  <c r="E36" i="9"/>
  <c r="D36" i="9"/>
  <c r="J35" i="9"/>
  <c r="L35" i="9" s="1"/>
  <c r="G35" i="9"/>
  <c r="F35" i="9"/>
  <c r="E35" i="9"/>
  <c r="D35" i="9"/>
  <c r="J34" i="9"/>
  <c r="L34" i="9" s="1"/>
  <c r="G34" i="9"/>
  <c r="F34" i="9"/>
  <c r="E34" i="9"/>
  <c r="D34" i="9"/>
  <c r="J33" i="9"/>
  <c r="L33" i="9" s="1"/>
  <c r="G33" i="9"/>
  <c r="F33" i="9"/>
  <c r="E33" i="9"/>
  <c r="D33" i="9"/>
  <c r="J32" i="9"/>
  <c r="L32" i="9" s="1"/>
  <c r="G32" i="9"/>
  <c r="F32" i="9"/>
  <c r="D32" i="9"/>
  <c r="G31" i="9"/>
  <c r="F31" i="9"/>
  <c r="E31" i="9"/>
  <c r="D31" i="9"/>
  <c r="J30" i="9"/>
  <c r="L30" i="9" s="1"/>
  <c r="G30" i="9"/>
  <c r="F30" i="9"/>
  <c r="E30" i="9"/>
  <c r="D30" i="9"/>
  <c r="G29" i="9"/>
  <c r="F29" i="9"/>
  <c r="D29" i="9"/>
  <c r="J28" i="9"/>
  <c r="L28" i="9" s="1"/>
  <c r="G28" i="9"/>
  <c r="F28" i="9"/>
  <c r="E28" i="9"/>
  <c r="D28" i="9"/>
  <c r="J27" i="9"/>
  <c r="L27" i="9" s="1"/>
  <c r="G27" i="9"/>
  <c r="F27" i="9"/>
  <c r="E27" i="9"/>
  <c r="D27" i="9"/>
  <c r="J26" i="9"/>
  <c r="L26" i="9" s="1"/>
  <c r="G26" i="9"/>
  <c r="F26" i="9"/>
  <c r="E26" i="9"/>
  <c r="D26" i="9"/>
  <c r="J25" i="9"/>
  <c r="L25" i="9" s="1"/>
  <c r="D25" i="9"/>
  <c r="J24" i="9"/>
  <c r="L24" i="9" s="1"/>
  <c r="G24" i="9"/>
  <c r="F24" i="9"/>
  <c r="D24" i="9"/>
  <c r="G23" i="9"/>
  <c r="F23" i="9"/>
  <c r="D23" i="9"/>
  <c r="J22" i="9"/>
  <c r="L22" i="9" s="1"/>
  <c r="G22" i="9"/>
  <c r="F22" i="9"/>
  <c r="E22" i="9"/>
  <c r="D22" i="9"/>
  <c r="J21" i="9"/>
  <c r="L21" i="9" s="1"/>
  <c r="G21" i="9"/>
  <c r="F21" i="9"/>
  <c r="E21" i="9"/>
  <c r="D21" i="9"/>
  <c r="J20" i="9"/>
  <c r="L20" i="9" s="1"/>
  <c r="G20" i="9"/>
  <c r="F20" i="9"/>
  <c r="E20" i="9"/>
  <c r="D20" i="9"/>
  <c r="J19" i="9"/>
  <c r="L19" i="9" s="1"/>
  <c r="G19" i="9"/>
  <c r="F19" i="9"/>
  <c r="E19" i="9"/>
  <c r="D19" i="9"/>
  <c r="J18" i="9"/>
  <c r="L18" i="9" s="1"/>
  <c r="G18" i="9"/>
  <c r="F18" i="9"/>
  <c r="E18" i="9"/>
  <c r="D18" i="9"/>
  <c r="J17" i="9"/>
  <c r="L17" i="9" s="1"/>
  <c r="G17" i="9"/>
  <c r="F17" i="9"/>
  <c r="E17" i="9"/>
  <c r="D17" i="9"/>
  <c r="J16" i="9"/>
  <c r="L16" i="9" s="1"/>
  <c r="G16" i="9"/>
  <c r="F16" i="9"/>
  <c r="D16" i="9"/>
  <c r="G15" i="9"/>
  <c r="F15" i="9"/>
  <c r="E15" i="9"/>
  <c r="D15" i="9"/>
  <c r="J14" i="9"/>
  <c r="L14" i="9" s="1"/>
  <c r="G14" i="9"/>
  <c r="F14" i="9"/>
  <c r="D14" i="9"/>
  <c r="G13" i="9"/>
  <c r="F13" i="9"/>
  <c r="E13" i="9"/>
  <c r="D13" i="9"/>
  <c r="J12" i="9"/>
  <c r="L12" i="9" s="1"/>
  <c r="G12" i="9"/>
  <c r="F12" i="9"/>
  <c r="D12" i="9"/>
  <c r="J11" i="9"/>
  <c r="L11" i="9" s="1"/>
  <c r="G11" i="9"/>
  <c r="F11" i="9"/>
  <c r="D11" i="9"/>
  <c r="J10" i="9"/>
  <c r="L10" i="9" s="1"/>
  <c r="G10" i="9"/>
  <c r="F10" i="9"/>
  <c r="E10" i="9"/>
  <c r="D10" i="9"/>
  <c r="J9" i="9"/>
  <c r="L9" i="9" s="1"/>
  <c r="G9" i="9"/>
  <c r="F9" i="9"/>
  <c r="E9" i="9"/>
  <c r="D9" i="9"/>
  <c r="J8" i="9"/>
  <c r="L8" i="9" s="1"/>
  <c r="G8" i="9"/>
  <c r="F8" i="9"/>
  <c r="E8" i="9"/>
  <c r="D8" i="9"/>
  <c r="G7" i="9"/>
  <c r="F7" i="9"/>
  <c r="E7" i="9"/>
  <c r="D7" i="9"/>
  <c r="K5" i="9"/>
  <c r="J71" i="9" l="1"/>
  <c r="L71" i="9" s="1"/>
  <c r="I5" i="9"/>
  <c r="J86" i="9"/>
  <c r="L86" i="9" s="1"/>
  <c r="J100" i="9"/>
  <c r="L100" i="9" s="1"/>
  <c r="I103" i="9"/>
  <c r="H103" i="9"/>
  <c r="J87" i="9"/>
  <c r="L87" i="9" s="1"/>
  <c r="J69" i="9"/>
  <c r="L69" i="9" s="1"/>
  <c r="J85" i="9"/>
  <c r="L85" i="9" s="1"/>
  <c r="H5" i="9"/>
  <c r="J7" i="9"/>
  <c r="L7" i="9" s="1"/>
  <c r="M58" i="4"/>
  <c r="M58" i="1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DA116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L5" i="9" l="1"/>
  <c r="K4" i="9" s="1"/>
  <c r="J5" i="9"/>
  <c r="D29" i="6"/>
  <c r="I29" i="6"/>
  <c r="BM112" i="4" l="1"/>
  <c r="BM111" i="4"/>
  <c r="BM108" i="4"/>
  <c r="BM107" i="4"/>
  <c r="BM106" i="4"/>
  <c r="BM105" i="4"/>
  <c r="AU101" i="4"/>
  <c r="BM98" i="4"/>
  <c r="AU97" i="4"/>
  <c r="BP97" i="4" s="1"/>
  <c r="AU96" i="4"/>
  <c r="BP96" i="4" s="1"/>
  <c r="AU93" i="4"/>
  <c r="BM92" i="4"/>
  <c r="BM91" i="4"/>
  <c r="BM90" i="4"/>
  <c r="BM89" i="4"/>
  <c r="BM88" i="4"/>
  <c r="AU85" i="4"/>
  <c r="AU81" i="4"/>
  <c r="BP81" i="4" s="1"/>
  <c r="AU80" i="4"/>
  <c r="BP80" i="4" s="1"/>
  <c r="BM77" i="4"/>
  <c r="AU75" i="4"/>
  <c r="BM73" i="4"/>
  <c r="AU72" i="4"/>
  <c r="BP72" i="4" s="1"/>
  <c r="BM68" i="4"/>
  <c r="BM67" i="4"/>
  <c r="BM66" i="4"/>
  <c r="BM65" i="4"/>
  <c r="BM64" i="4"/>
  <c r="BM61" i="4"/>
  <c r="AU60" i="4"/>
  <c r="BP60" i="4" s="1"/>
  <c r="BM59" i="4"/>
  <c r="BM58" i="4"/>
  <c r="AU55" i="4"/>
  <c r="BP55" i="4" s="1"/>
  <c r="AU51" i="4"/>
  <c r="BM50" i="4"/>
  <c r="BM49" i="4"/>
  <c r="BM48" i="4"/>
  <c r="AU45" i="4"/>
  <c r="BM44" i="4"/>
  <c r="BM40" i="4"/>
  <c r="BM39" i="4"/>
  <c r="BM36" i="4"/>
  <c r="AU35" i="4"/>
  <c r="AU34" i="4"/>
  <c r="AU32" i="4"/>
  <c r="BP32" i="4" s="1"/>
  <c r="BM31" i="4"/>
  <c r="AU29" i="4"/>
  <c r="AU27" i="4"/>
  <c r="BM26" i="4"/>
  <c r="AU25" i="4"/>
  <c r="BP25" i="4" s="1"/>
  <c r="AU24" i="4"/>
  <c r="BP24" i="4" s="1"/>
  <c r="BM23" i="4"/>
  <c r="BM21" i="4"/>
  <c r="AU18" i="4"/>
  <c r="BM113" i="4"/>
  <c r="AI114" i="4"/>
  <c r="BM22" i="4"/>
  <c r="J114" i="1"/>
  <c r="I114" i="1"/>
  <c r="J114" i="4"/>
  <c r="I114" i="4"/>
  <c r="BH106" i="4"/>
  <c r="AX98" i="4"/>
  <c r="BH82" i="4"/>
  <c r="BG60" i="4"/>
  <c r="BH42" i="4"/>
  <c r="DD114" i="4"/>
  <c r="CY114" i="4"/>
  <c r="CX114" i="4"/>
  <c r="CW114" i="4"/>
  <c r="CV114" i="4"/>
  <c r="CU114" i="4"/>
  <c r="CT114" i="4"/>
  <c r="CS114" i="4"/>
  <c r="CR114" i="4"/>
  <c r="CQ114" i="4"/>
  <c r="CP114" i="4"/>
  <c r="CO114" i="4"/>
  <c r="CN114" i="4"/>
  <c r="CM114" i="4"/>
  <c r="CL114" i="4"/>
  <c r="CH114" i="4"/>
  <c r="CG114" i="4"/>
  <c r="BZ114" i="4"/>
  <c r="BY114" i="4"/>
  <c r="BX114" i="4"/>
  <c r="BW114" i="4"/>
  <c r="BR114" i="4"/>
  <c r="BQ114" i="4"/>
  <c r="BO114" i="4"/>
  <c r="BN114" i="4"/>
  <c r="AT114" i="4"/>
  <c r="AS114" i="4"/>
  <c r="AR114" i="4"/>
  <c r="AQ114" i="4"/>
  <c r="AP114" i="4"/>
  <c r="AO114" i="4"/>
  <c r="AN114" i="4"/>
  <c r="AM114" i="4"/>
  <c r="AL114" i="4"/>
  <c r="AK114" i="4"/>
  <c r="AJ114" i="4"/>
  <c r="AH114" i="4"/>
  <c r="AG114" i="4"/>
  <c r="AF114" i="4"/>
  <c r="AE114" i="4"/>
  <c r="AD114" i="4"/>
  <c r="AC114" i="4"/>
  <c r="AB114" i="4"/>
  <c r="AA114" i="4"/>
  <c r="Y114" i="4"/>
  <c r="X114" i="4"/>
  <c r="W114" i="4"/>
  <c r="V114" i="4"/>
  <c r="T114" i="4"/>
  <c r="S114" i="4"/>
  <c r="H114" i="4"/>
  <c r="B114" i="4"/>
  <c r="CA113" i="4"/>
  <c r="BV113" i="4"/>
  <c r="BU113" i="4"/>
  <c r="BT113" i="4"/>
  <c r="BS113" i="4"/>
  <c r="BK113" i="4"/>
  <c r="A113" i="4"/>
  <c r="CA112" i="4"/>
  <c r="BV112" i="4"/>
  <c r="BU112" i="4"/>
  <c r="BT112" i="4"/>
  <c r="BS112" i="4"/>
  <c r="A112" i="4"/>
  <c r="CA111" i="4"/>
  <c r="BV111" i="4"/>
  <c r="BU111" i="4"/>
  <c r="BT111" i="4"/>
  <c r="BS111" i="4"/>
  <c r="BD111" i="4"/>
  <c r="A111" i="4"/>
  <c r="CA110" i="4"/>
  <c r="BV110" i="4"/>
  <c r="BU110" i="4"/>
  <c r="BT110" i="4"/>
  <c r="BS110" i="4"/>
  <c r="AU110" i="4"/>
  <c r="BP110" i="4" s="1"/>
  <c r="BK110" i="4"/>
  <c r="A110" i="4"/>
  <c r="CA109" i="4"/>
  <c r="BV109" i="4"/>
  <c r="BU109" i="4"/>
  <c r="BT109" i="4"/>
  <c r="BS109" i="4"/>
  <c r="A109" i="4"/>
  <c r="CA108" i="4"/>
  <c r="BV108" i="4"/>
  <c r="BU108" i="4"/>
  <c r="BT108" i="4"/>
  <c r="BS108" i="4"/>
  <c r="BK108" i="4"/>
  <c r="A108" i="4"/>
  <c r="CA107" i="4"/>
  <c r="BV107" i="4"/>
  <c r="BU107" i="4"/>
  <c r="BT107" i="4"/>
  <c r="BS107" i="4"/>
  <c r="A107" i="4"/>
  <c r="CA106" i="4"/>
  <c r="BV106" i="4"/>
  <c r="BU106" i="4"/>
  <c r="BT106" i="4"/>
  <c r="BS106" i="4"/>
  <c r="A106" i="4"/>
  <c r="CA105" i="4"/>
  <c r="BV105" i="4"/>
  <c r="BU105" i="4"/>
  <c r="BT105" i="4"/>
  <c r="BS105" i="4"/>
  <c r="BJ105" i="4"/>
  <c r="A105" i="4"/>
  <c r="CA104" i="4"/>
  <c r="BV104" i="4"/>
  <c r="BU104" i="4"/>
  <c r="BT104" i="4"/>
  <c r="BS104" i="4"/>
  <c r="A104" i="4"/>
  <c r="CA103" i="4"/>
  <c r="BV103" i="4"/>
  <c r="BU103" i="4"/>
  <c r="BT103" i="4"/>
  <c r="BS103" i="4"/>
  <c r="BH103" i="4"/>
  <c r="A103" i="4"/>
  <c r="CA102" i="4"/>
  <c r="BV102" i="4"/>
  <c r="BU102" i="4"/>
  <c r="BT102" i="4"/>
  <c r="BS102" i="4"/>
  <c r="AU102" i="4"/>
  <c r="BK102" i="4"/>
  <c r="A102" i="4"/>
  <c r="CA101" i="4"/>
  <c r="BV101" i="4"/>
  <c r="BU101" i="4"/>
  <c r="BT101" i="4"/>
  <c r="BS101" i="4"/>
  <c r="BG101" i="4"/>
  <c r="A101" i="4"/>
  <c r="CA100" i="4"/>
  <c r="BV100" i="4"/>
  <c r="BU100" i="4"/>
  <c r="BT100" i="4"/>
  <c r="BS100" i="4"/>
  <c r="BJ100" i="4"/>
  <c r="A100" i="4"/>
  <c r="CA99" i="4"/>
  <c r="BV99" i="4"/>
  <c r="BU99" i="4"/>
  <c r="BT99" i="4"/>
  <c r="BS99" i="4"/>
  <c r="A99" i="4"/>
  <c r="CI98" i="4"/>
  <c r="BV98" i="4"/>
  <c r="BU98" i="4"/>
  <c r="BT98" i="4"/>
  <c r="BS98" i="4"/>
  <c r="A98" i="4"/>
  <c r="CA97" i="4"/>
  <c r="BV97" i="4"/>
  <c r="BU97" i="4"/>
  <c r="BT97" i="4"/>
  <c r="BS97" i="4"/>
  <c r="BA97" i="4"/>
  <c r="A97" i="4"/>
  <c r="CA96" i="4"/>
  <c r="BV96" i="4"/>
  <c r="BU96" i="4"/>
  <c r="BT96" i="4"/>
  <c r="BS96" i="4"/>
  <c r="BD96" i="4"/>
  <c r="A96" i="4"/>
  <c r="CA95" i="4"/>
  <c r="BV95" i="4"/>
  <c r="BU95" i="4"/>
  <c r="BT95" i="4"/>
  <c r="BS95" i="4"/>
  <c r="AU95" i="4"/>
  <c r="BP95" i="4" s="1"/>
  <c r="A95" i="4"/>
  <c r="CA94" i="4"/>
  <c r="BV94" i="4"/>
  <c r="BU94" i="4"/>
  <c r="BT94" i="4"/>
  <c r="BS94" i="4"/>
  <c r="BM94" i="4"/>
  <c r="AU94" i="4"/>
  <c r="BP94" i="4" s="1"/>
  <c r="BJ94" i="4"/>
  <c r="A94" i="4"/>
  <c r="CA93" i="4"/>
  <c r="BV93" i="4"/>
  <c r="BU93" i="4"/>
  <c r="BT93" i="4"/>
  <c r="BS93" i="4"/>
  <c r="BJ93" i="4"/>
  <c r="A93" i="4"/>
  <c r="CA92" i="4"/>
  <c r="BV92" i="4"/>
  <c r="BU92" i="4"/>
  <c r="BT92" i="4"/>
  <c r="BS92" i="4"/>
  <c r="A92" i="4"/>
  <c r="CI91" i="4"/>
  <c r="BV91" i="4"/>
  <c r="BU91" i="4"/>
  <c r="BT91" i="4"/>
  <c r="BS91" i="4"/>
  <c r="A91" i="4"/>
  <c r="CA90" i="4"/>
  <c r="BV90" i="4"/>
  <c r="BU90" i="4"/>
  <c r="BT90" i="4"/>
  <c r="BS90" i="4"/>
  <c r="A90" i="4"/>
  <c r="CA89" i="4"/>
  <c r="BV89" i="4"/>
  <c r="BU89" i="4"/>
  <c r="BT89" i="4"/>
  <c r="BS89" i="4"/>
  <c r="BC89" i="4"/>
  <c r="A89" i="4"/>
  <c r="CA88" i="4"/>
  <c r="BV88" i="4"/>
  <c r="BU88" i="4"/>
  <c r="BT88" i="4"/>
  <c r="BS88" i="4"/>
  <c r="A88" i="4"/>
  <c r="CI87" i="4"/>
  <c r="BV87" i="4"/>
  <c r="BU87" i="4"/>
  <c r="BT87" i="4"/>
  <c r="BS87" i="4"/>
  <c r="BH87" i="4"/>
  <c r="A87" i="4"/>
  <c r="CA86" i="4"/>
  <c r="BV86" i="4"/>
  <c r="BU86" i="4"/>
  <c r="BT86" i="4"/>
  <c r="BS86" i="4"/>
  <c r="BD86" i="4"/>
  <c r="A86" i="4"/>
  <c r="CA85" i="4"/>
  <c r="BV85" i="4"/>
  <c r="BU85" i="4"/>
  <c r="BT85" i="4"/>
  <c r="BS85" i="4"/>
  <c r="BG85" i="4"/>
  <c r="A85" i="4"/>
  <c r="CA84" i="4"/>
  <c r="BV84" i="4"/>
  <c r="BU84" i="4"/>
  <c r="BT84" i="4"/>
  <c r="BS84" i="4"/>
  <c r="A84" i="4"/>
  <c r="CA83" i="4"/>
  <c r="BV83" i="4"/>
  <c r="BU83" i="4"/>
  <c r="BT83" i="4"/>
  <c r="BS83" i="4"/>
  <c r="A83" i="4"/>
  <c r="CA82" i="4"/>
  <c r="BV82" i="4"/>
  <c r="BU82" i="4"/>
  <c r="BT82" i="4"/>
  <c r="BS82" i="4"/>
  <c r="A82" i="4"/>
  <c r="CA81" i="4"/>
  <c r="BV81" i="4"/>
  <c r="BU81" i="4"/>
  <c r="BT81" i="4"/>
  <c r="BS81" i="4"/>
  <c r="BH81" i="4"/>
  <c r="A81" i="4"/>
  <c r="CA80" i="4"/>
  <c r="BV80" i="4"/>
  <c r="BU80" i="4"/>
  <c r="BT80" i="4"/>
  <c r="BS80" i="4"/>
  <c r="A80" i="4"/>
  <c r="CA79" i="4"/>
  <c r="BV79" i="4"/>
  <c r="BU79" i="4"/>
  <c r="BT79" i="4"/>
  <c r="BS79" i="4"/>
  <c r="BM79" i="4"/>
  <c r="BC79" i="4"/>
  <c r="A79" i="4"/>
  <c r="CA78" i="4"/>
  <c r="BV78" i="4"/>
  <c r="BU78" i="4"/>
  <c r="BT78" i="4"/>
  <c r="BS78" i="4"/>
  <c r="BM78" i="4"/>
  <c r="A78" i="4"/>
  <c r="CA77" i="4"/>
  <c r="BV77" i="4"/>
  <c r="BU77" i="4"/>
  <c r="BT77" i="4"/>
  <c r="BS77" i="4"/>
  <c r="A77" i="4"/>
  <c r="CA76" i="4"/>
  <c r="BV76" i="4"/>
  <c r="BU76" i="4"/>
  <c r="BT76" i="4"/>
  <c r="BS76" i="4"/>
  <c r="A76" i="4"/>
  <c r="CA75" i="4"/>
  <c r="BV75" i="4"/>
  <c r="BU75" i="4"/>
  <c r="BT75" i="4"/>
  <c r="BS75" i="4"/>
  <c r="AW75" i="4"/>
  <c r="A75" i="4"/>
  <c r="CI74" i="4"/>
  <c r="BV74" i="4"/>
  <c r="BU74" i="4"/>
  <c r="BT74" i="4"/>
  <c r="BS74" i="4"/>
  <c r="A74" i="4"/>
  <c r="CA73" i="4"/>
  <c r="BV73" i="4"/>
  <c r="BU73" i="4"/>
  <c r="BT73" i="4"/>
  <c r="BS73" i="4"/>
  <c r="BI73" i="4"/>
  <c r="A73" i="4"/>
  <c r="CA72" i="4"/>
  <c r="BV72" i="4"/>
  <c r="BU72" i="4"/>
  <c r="BT72" i="4"/>
  <c r="BS72" i="4"/>
  <c r="BI72" i="4"/>
  <c r="A72" i="4"/>
  <c r="CA71" i="4"/>
  <c r="BV71" i="4"/>
  <c r="BU71" i="4"/>
  <c r="BT71" i="4"/>
  <c r="BS71" i="4"/>
  <c r="A71" i="4"/>
  <c r="CA70" i="4"/>
  <c r="BV70" i="4"/>
  <c r="BU70" i="4"/>
  <c r="BT70" i="4"/>
  <c r="BS70" i="4"/>
  <c r="A70" i="4"/>
  <c r="CA69" i="4"/>
  <c r="BV69" i="4"/>
  <c r="BU69" i="4"/>
  <c r="BT69" i="4"/>
  <c r="BS69" i="4"/>
  <c r="A69" i="4"/>
  <c r="CA68" i="4"/>
  <c r="BV68" i="4"/>
  <c r="BU68" i="4"/>
  <c r="BT68" i="4"/>
  <c r="BS68" i="4"/>
  <c r="AY68" i="4"/>
  <c r="A68" i="4"/>
  <c r="CA67" i="4"/>
  <c r="BV67" i="4"/>
  <c r="BU67" i="4"/>
  <c r="BT67" i="4"/>
  <c r="BS67" i="4"/>
  <c r="A67" i="4"/>
  <c r="CA66" i="4"/>
  <c r="BV66" i="4"/>
  <c r="BU66" i="4"/>
  <c r="BT66" i="4"/>
  <c r="BS66" i="4"/>
  <c r="A66" i="4"/>
  <c r="CI65" i="4"/>
  <c r="BV65" i="4"/>
  <c r="BU65" i="4"/>
  <c r="BT65" i="4"/>
  <c r="BS65" i="4"/>
  <c r="AY65" i="4"/>
  <c r="A65" i="4"/>
  <c r="CA64" i="4"/>
  <c r="BV64" i="4"/>
  <c r="BU64" i="4"/>
  <c r="BT64" i="4"/>
  <c r="BS64" i="4"/>
  <c r="BH64" i="4"/>
  <c r="A64" i="4"/>
  <c r="CI63" i="4"/>
  <c r="BV63" i="4"/>
  <c r="BU63" i="4"/>
  <c r="BT63" i="4"/>
  <c r="BS63" i="4"/>
  <c r="BE63" i="4"/>
  <c r="A63" i="4"/>
  <c r="CA62" i="4"/>
  <c r="BV62" i="4"/>
  <c r="BU62" i="4"/>
  <c r="BT62" i="4"/>
  <c r="BS62" i="4"/>
  <c r="BK62" i="4"/>
  <c r="A62" i="4"/>
  <c r="CA61" i="4"/>
  <c r="BV61" i="4"/>
  <c r="BU61" i="4"/>
  <c r="BT61" i="4"/>
  <c r="BS61" i="4"/>
  <c r="A61" i="4"/>
  <c r="CA60" i="4"/>
  <c r="BV60" i="4"/>
  <c r="BU60" i="4"/>
  <c r="BT60" i="4"/>
  <c r="BS60" i="4"/>
  <c r="A60" i="4"/>
  <c r="CA59" i="4"/>
  <c r="BV59" i="4"/>
  <c r="BU59" i="4"/>
  <c r="BT59" i="4"/>
  <c r="BS59" i="4"/>
  <c r="A59" i="4"/>
  <c r="CA58" i="4"/>
  <c r="BV58" i="4"/>
  <c r="BU58" i="4"/>
  <c r="BT58" i="4"/>
  <c r="BS58" i="4"/>
  <c r="A58" i="4"/>
  <c r="CA57" i="4"/>
  <c r="BV57" i="4"/>
  <c r="BU57" i="4"/>
  <c r="BT57" i="4"/>
  <c r="BS57" i="4"/>
  <c r="BG57" i="4"/>
  <c r="A57" i="4"/>
  <c r="CA56" i="4"/>
  <c r="BV56" i="4"/>
  <c r="BU56" i="4"/>
  <c r="BT56" i="4"/>
  <c r="BS56" i="4"/>
  <c r="AX56" i="4"/>
  <c r="A56" i="4"/>
  <c r="CA55" i="4"/>
  <c r="BV55" i="4"/>
  <c r="BU55" i="4"/>
  <c r="BT55" i="4"/>
  <c r="BS55" i="4"/>
  <c r="BB55" i="4"/>
  <c r="A55" i="4"/>
  <c r="CA54" i="4"/>
  <c r="BV54" i="4"/>
  <c r="BU54" i="4"/>
  <c r="BT54" i="4"/>
  <c r="BS54" i="4"/>
  <c r="BM54" i="4"/>
  <c r="BC54" i="4"/>
  <c r="A54" i="4"/>
  <c r="CA53" i="4"/>
  <c r="BV53" i="4"/>
  <c r="BU53" i="4"/>
  <c r="BT53" i="4"/>
  <c r="BS53" i="4"/>
  <c r="A53" i="4"/>
  <c r="CI52" i="4"/>
  <c r="BV52" i="4"/>
  <c r="BU52" i="4"/>
  <c r="BT52" i="4"/>
  <c r="BS52" i="4"/>
  <c r="A52" i="4"/>
  <c r="CA51" i="4"/>
  <c r="BV51" i="4"/>
  <c r="BU51" i="4"/>
  <c r="BT51" i="4"/>
  <c r="BS51" i="4"/>
  <c r="A51" i="4"/>
  <c r="CA50" i="4"/>
  <c r="BV50" i="4"/>
  <c r="BU50" i="4"/>
  <c r="BT50" i="4"/>
  <c r="BS50" i="4"/>
  <c r="A50" i="4"/>
  <c r="CA49" i="4"/>
  <c r="BV49" i="4"/>
  <c r="BU49" i="4"/>
  <c r="BT49" i="4"/>
  <c r="BS49" i="4"/>
  <c r="BF49" i="4"/>
  <c r="A49" i="4"/>
  <c r="CA48" i="4"/>
  <c r="BV48" i="4"/>
  <c r="BU48" i="4"/>
  <c r="BT48" i="4"/>
  <c r="BS48" i="4"/>
  <c r="BA48" i="4"/>
  <c r="A48" i="4"/>
  <c r="CA47" i="4"/>
  <c r="BV47" i="4"/>
  <c r="BU47" i="4"/>
  <c r="BT47" i="4"/>
  <c r="BS47" i="4"/>
  <c r="BH47" i="4"/>
  <c r="A47" i="4"/>
  <c r="CA46" i="4"/>
  <c r="BV46" i="4"/>
  <c r="BU46" i="4"/>
  <c r="BT46" i="4"/>
  <c r="BS46" i="4"/>
  <c r="BI46" i="4"/>
  <c r="A46" i="4"/>
  <c r="CA45" i="4"/>
  <c r="BV45" i="4"/>
  <c r="BU45" i="4"/>
  <c r="BT45" i="4"/>
  <c r="BS45" i="4"/>
  <c r="A45" i="4"/>
  <c r="CA44" i="4"/>
  <c r="BV44" i="4"/>
  <c r="BU44" i="4"/>
  <c r="BT44" i="4"/>
  <c r="BS44" i="4"/>
  <c r="A44" i="4"/>
  <c r="CA43" i="4"/>
  <c r="BV43" i="4"/>
  <c r="BU43" i="4"/>
  <c r="BT43" i="4"/>
  <c r="BS43" i="4"/>
  <c r="BK43" i="4"/>
  <c r="A43" i="4"/>
  <c r="CA42" i="4"/>
  <c r="BV42" i="4"/>
  <c r="BU42" i="4"/>
  <c r="BT42" i="4"/>
  <c r="BS42" i="4"/>
  <c r="A42" i="4"/>
  <c r="CA41" i="4"/>
  <c r="BV41" i="4"/>
  <c r="BU41" i="4"/>
  <c r="BT41" i="4"/>
  <c r="BS41" i="4"/>
  <c r="AX41" i="4"/>
  <c r="A41" i="4"/>
  <c r="CA40" i="4"/>
  <c r="BV40" i="4"/>
  <c r="BU40" i="4"/>
  <c r="BT40" i="4"/>
  <c r="BS40" i="4"/>
  <c r="A40" i="4"/>
  <c r="CA39" i="4"/>
  <c r="BV39" i="4"/>
  <c r="BU39" i="4"/>
  <c r="BT39" i="4"/>
  <c r="BS39" i="4"/>
  <c r="BF39" i="4"/>
  <c r="A39" i="4"/>
  <c r="CI38" i="4"/>
  <c r="BV38" i="4"/>
  <c r="BU38" i="4"/>
  <c r="BT38" i="4"/>
  <c r="BS38" i="4"/>
  <c r="BI38" i="4"/>
  <c r="A38" i="4"/>
  <c r="CA37" i="4"/>
  <c r="BV37" i="4"/>
  <c r="BU37" i="4"/>
  <c r="BT37" i="4"/>
  <c r="BS37" i="4"/>
  <c r="BA37" i="4"/>
  <c r="A37" i="4"/>
  <c r="CI36" i="4"/>
  <c r="BV36" i="4"/>
  <c r="BU36" i="4"/>
  <c r="BT36" i="4"/>
  <c r="BS36" i="4"/>
  <c r="A36" i="4"/>
  <c r="CA35" i="4"/>
  <c r="BV35" i="4"/>
  <c r="BU35" i="4"/>
  <c r="BT35" i="4"/>
  <c r="BS35" i="4"/>
  <c r="A35" i="4"/>
  <c r="CA34" i="4"/>
  <c r="BV34" i="4"/>
  <c r="BU34" i="4"/>
  <c r="BT34" i="4"/>
  <c r="BS34" i="4"/>
  <c r="A34" i="4"/>
  <c r="CA33" i="4"/>
  <c r="BV33" i="4"/>
  <c r="BU33" i="4"/>
  <c r="BT33" i="4"/>
  <c r="BS33" i="4"/>
  <c r="BI33" i="4"/>
  <c r="A33" i="4"/>
  <c r="CA32" i="4"/>
  <c r="BV32" i="4"/>
  <c r="BU32" i="4"/>
  <c r="BT32" i="4"/>
  <c r="BS32" i="4"/>
  <c r="BG32" i="4"/>
  <c r="A32" i="4"/>
  <c r="CA31" i="4"/>
  <c r="BV31" i="4"/>
  <c r="BU31" i="4"/>
  <c r="BT31" i="4"/>
  <c r="BS31" i="4"/>
  <c r="BB31" i="4"/>
  <c r="A31" i="4"/>
  <c r="CA30" i="4"/>
  <c r="BV30" i="4"/>
  <c r="BU30" i="4"/>
  <c r="BT30" i="4"/>
  <c r="BS30" i="4"/>
  <c r="AU30" i="4"/>
  <c r="BP30" i="4" s="1"/>
  <c r="A30" i="4"/>
  <c r="CA29" i="4"/>
  <c r="BV29" i="4"/>
  <c r="BU29" i="4"/>
  <c r="BT29" i="4"/>
  <c r="BS29" i="4"/>
  <c r="BE29" i="4"/>
  <c r="A29" i="4"/>
  <c r="CA28" i="4"/>
  <c r="BV28" i="4"/>
  <c r="BU28" i="4"/>
  <c r="BT28" i="4"/>
  <c r="BS28" i="4"/>
  <c r="A28" i="4"/>
  <c r="CA27" i="4"/>
  <c r="BV27" i="4"/>
  <c r="BU27" i="4"/>
  <c r="BT27" i="4"/>
  <c r="BS27" i="4"/>
  <c r="A27" i="4"/>
  <c r="CA26" i="4"/>
  <c r="BV26" i="4"/>
  <c r="BU26" i="4"/>
  <c r="BT26" i="4"/>
  <c r="BS26" i="4"/>
  <c r="A26" i="4"/>
  <c r="CA25" i="4"/>
  <c r="BV25" i="4"/>
  <c r="BU25" i="4"/>
  <c r="BT25" i="4"/>
  <c r="BS25" i="4"/>
  <c r="BK25" i="4"/>
  <c r="A25" i="4"/>
  <c r="CA24" i="4"/>
  <c r="BV24" i="4"/>
  <c r="BU24" i="4"/>
  <c r="BT24" i="4"/>
  <c r="BS24" i="4"/>
  <c r="BD24" i="4"/>
  <c r="A24" i="4"/>
  <c r="CA23" i="4"/>
  <c r="BV23" i="4"/>
  <c r="BU23" i="4"/>
  <c r="BT23" i="4"/>
  <c r="BS23" i="4"/>
  <c r="BH23" i="4"/>
  <c r="A23" i="4"/>
  <c r="CA22" i="4"/>
  <c r="BV22" i="4"/>
  <c r="BU22" i="4"/>
  <c r="BT22" i="4"/>
  <c r="BS22" i="4"/>
  <c r="BK22" i="4"/>
  <c r="A22" i="4"/>
  <c r="CA21" i="4"/>
  <c r="BV21" i="4"/>
  <c r="BU21" i="4"/>
  <c r="BT21" i="4"/>
  <c r="BS21" i="4"/>
  <c r="BG21" i="4"/>
  <c r="A21" i="4"/>
  <c r="CI20" i="4"/>
  <c r="BV20" i="4"/>
  <c r="BU20" i="4"/>
  <c r="BT20" i="4"/>
  <c r="BS20" i="4"/>
  <c r="A20" i="4"/>
  <c r="CA19" i="4"/>
  <c r="BV19" i="4"/>
  <c r="BU19" i="4"/>
  <c r="BT19" i="4"/>
  <c r="BS19" i="4"/>
  <c r="AU19" i="4"/>
  <c r="A19" i="4"/>
  <c r="CA18" i="4"/>
  <c r="BV18" i="4"/>
  <c r="BU18" i="4"/>
  <c r="BT18" i="4"/>
  <c r="BS18" i="4"/>
  <c r="Q18" i="4"/>
  <c r="A18" i="4"/>
  <c r="CC12" i="4"/>
  <c r="AA11" i="4"/>
  <c r="Y11" i="4"/>
  <c r="AB11" i="4" s="1"/>
  <c r="AA10" i="4"/>
  <c r="Y10" i="4"/>
  <c r="AB10" i="4" s="1"/>
  <c r="AA9" i="4"/>
  <c r="Y9" i="4"/>
  <c r="AA8" i="4"/>
  <c r="Y8" i="4"/>
  <c r="AB8" i="4" s="1"/>
  <c r="AA7" i="4"/>
  <c r="Y7" i="4"/>
  <c r="AA6" i="4"/>
  <c r="Y6" i="4"/>
  <c r="AB6" i="4" s="1"/>
  <c r="AA5" i="4"/>
  <c r="Y5" i="4"/>
  <c r="AA4" i="4"/>
  <c r="Y4" i="4"/>
  <c r="V4" i="4" s="1"/>
  <c r="Q4" i="4"/>
  <c r="U5" i="4" s="1"/>
  <c r="B114" i="1"/>
  <c r="R101" i="4" l="1"/>
  <c r="R93" i="4"/>
  <c r="R77" i="4"/>
  <c r="R69" i="4"/>
  <c r="R53" i="4"/>
  <c r="R45" i="4"/>
  <c r="R29" i="4"/>
  <c r="R21" i="4"/>
  <c r="R79" i="4"/>
  <c r="R98" i="4"/>
  <c r="R90" i="4"/>
  <c r="R82" i="4"/>
  <c r="R74" i="4"/>
  <c r="R50" i="4"/>
  <c r="R42" i="4"/>
  <c r="R34" i="4"/>
  <c r="R71" i="4"/>
  <c r="R63" i="4"/>
  <c r="R55" i="4"/>
  <c r="R39" i="4"/>
  <c r="R113" i="4"/>
  <c r="R97" i="4"/>
  <c r="R89" i="4"/>
  <c r="R81" i="4"/>
  <c r="R57" i="4"/>
  <c r="R41" i="4"/>
  <c r="R33" i="4"/>
  <c r="R110" i="4"/>
  <c r="R102" i="4"/>
  <c r="R94" i="4"/>
  <c r="R70" i="4"/>
  <c r="R62" i="4"/>
  <c r="R54" i="4"/>
  <c r="R46" i="4"/>
  <c r="R99" i="4"/>
  <c r="R83" i="4"/>
  <c r="R75" i="4"/>
  <c r="R67" i="4"/>
  <c r="R43" i="4"/>
  <c r="R35" i="4"/>
  <c r="R100" i="4"/>
  <c r="R68" i="4"/>
  <c r="R28" i="4"/>
  <c r="R32" i="4"/>
  <c r="R36" i="4"/>
  <c r="R31" i="4"/>
  <c r="R23" i="4"/>
  <c r="R104" i="4"/>
  <c r="R88" i="4"/>
  <c r="R72" i="4"/>
  <c r="R56" i="4"/>
  <c r="R40" i="4"/>
  <c r="R30" i="4"/>
  <c r="R22" i="4"/>
  <c r="R96" i="4"/>
  <c r="R64" i="4"/>
  <c r="R24" i="4"/>
  <c r="R92" i="4"/>
  <c r="R60" i="4"/>
  <c r="R44" i="4"/>
  <c r="R48" i="4"/>
  <c r="P87" i="4"/>
  <c r="BL87" i="4" s="1"/>
  <c r="P20" i="4"/>
  <c r="BL20" i="4" s="1"/>
  <c r="P107" i="4"/>
  <c r="BL107" i="4" s="1"/>
  <c r="P91" i="4"/>
  <c r="P59" i="4"/>
  <c r="P51" i="4"/>
  <c r="P27" i="4"/>
  <c r="P19" i="4"/>
  <c r="P61" i="4"/>
  <c r="BL61" i="4" s="1"/>
  <c r="P112" i="4"/>
  <c r="BL112" i="4" s="1"/>
  <c r="P80" i="4"/>
  <c r="BL80" i="4" s="1"/>
  <c r="P109" i="4"/>
  <c r="P85" i="4"/>
  <c r="P111" i="4"/>
  <c r="BL111" i="4" s="1"/>
  <c r="P103" i="4"/>
  <c r="P95" i="4"/>
  <c r="BL95" i="4" s="1"/>
  <c r="P47" i="4"/>
  <c r="BL47" i="4" s="1"/>
  <c r="P108" i="4"/>
  <c r="BL108" i="4" s="1"/>
  <c r="P84" i="4"/>
  <c r="P76" i="4"/>
  <c r="P52" i="4"/>
  <c r="P105" i="4"/>
  <c r="BL105" i="4" s="1"/>
  <c r="P73" i="4"/>
  <c r="P65" i="4"/>
  <c r="P49" i="4"/>
  <c r="BL49" i="4" s="1"/>
  <c r="P25" i="4"/>
  <c r="BL25" i="4" s="1"/>
  <c r="P106" i="4"/>
  <c r="BL106" i="4" s="1"/>
  <c r="P58" i="4"/>
  <c r="P37" i="4"/>
  <c r="P86" i="4"/>
  <c r="BL86" i="4" s="1"/>
  <c r="P38" i="4"/>
  <c r="P78" i="4"/>
  <c r="BL78" i="4" s="1"/>
  <c r="P66" i="4"/>
  <c r="BL66" i="4" s="1"/>
  <c r="P26" i="4"/>
  <c r="P99" i="4"/>
  <c r="P83" i="4"/>
  <c r="P75" i="4"/>
  <c r="P67" i="4"/>
  <c r="P43" i="4"/>
  <c r="P35" i="4"/>
  <c r="P93" i="4"/>
  <c r="BL93" i="4" s="1"/>
  <c r="P53" i="4"/>
  <c r="BL53" i="4" s="1"/>
  <c r="P104" i="4"/>
  <c r="BL104" i="4" s="1"/>
  <c r="P96" i="4"/>
  <c r="P88" i="4"/>
  <c r="P72" i="4"/>
  <c r="P64" i="4"/>
  <c r="P56" i="4"/>
  <c r="BL56" i="4" s="1"/>
  <c r="P48" i="4"/>
  <c r="BL48" i="4" s="1"/>
  <c r="P40" i="4"/>
  <c r="BL40" i="4" s="1"/>
  <c r="P32" i="4"/>
  <c r="BL32" i="4" s="1"/>
  <c r="P24" i="4"/>
  <c r="P101" i="4"/>
  <c r="P77" i="4"/>
  <c r="P69" i="4"/>
  <c r="P45" i="4"/>
  <c r="BL45" i="4" s="1"/>
  <c r="P79" i="4"/>
  <c r="BL79" i="4" s="1"/>
  <c r="P71" i="4"/>
  <c r="BL71" i="4" s="1"/>
  <c r="P63" i="4"/>
  <c r="BL63" i="4" s="1"/>
  <c r="P55" i="4"/>
  <c r="P39" i="4"/>
  <c r="P31" i="4"/>
  <c r="P23" i="4"/>
  <c r="P100" i="4"/>
  <c r="P92" i="4"/>
  <c r="P68" i="4"/>
  <c r="P60" i="4"/>
  <c r="AZ60" i="4" s="1"/>
  <c r="P44" i="4"/>
  <c r="P36" i="4"/>
  <c r="P113" i="4"/>
  <c r="P97" i="4"/>
  <c r="P89" i="4"/>
  <c r="BL89" i="4" s="1"/>
  <c r="P81" i="4"/>
  <c r="BL81" i="4" s="1"/>
  <c r="P57" i="4"/>
  <c r="P41" i="4"/>
  <c r="P33" i="4"/>
  <c r="P90" i="4"/>
  <c r="P74" i="4"/>
  <c r="P42" i="4"/>
  <c r="P102" i="4"/>
  <c r="BL102" i="4" s="1"/>
  <c r="P70" i="4"/>
  <c r="BL70" i="4" s="1"/>
  <c r="P54" i="4"/>
  <c r="P21" i="4"/>
  <c r="AZ21" i="4" s="1"/>
  <c r="P110" i="4"/>
  <c r="P94" i="4"/>
  <c r="P62" i="4"/>
  <c r="BL62" i="4" s="1"/>
  <c r="P46" i="4"/>
  <c r="P28" i="4"/>
  <c r="P98" i="4"/>
  <c r="BL98" i="4" s="1"/>
  <c r="P82" i="4"/>
  <c r="P50" i="4"/>
  <c r="P34" i="4"/>
  <c r="P30" i="4"/>
  <c r="P22" i="4"/>
  <c r="P29" i="4"/>
  <c r="R109" i="4"/>
  <c r="R85" i="4"/>
  <c r="R61" i="4"/>
  <c r="R37" i="4"/>
  <c r="R111" i="4"/>
  <c r="R103" i="4"/>
  <c r="R47" i="4"/>
  <c r="R106" i="4"/>
  <c r="R66" i="4"/>
  <c r="R58" i="4"/>
  <c r="R26" i="4"/>
  <c r="R95" i="4"/>
  <c r="R105" i="4"/>
  <c r="R73" i="4"/>
  <c r="R65" i="4"/>
  <c r="R49" i="4"/>
  <c r="R25" i="4"/>
  <c r="R86" i="4"/>
  <c r="R78" i="4"/>
  <c r="R38" i="4"/>
  <c r="R107" i="4"/>
  <c r="R91" i="4"/>
  <c r="R59" i="4"/>
  <c r="R51" i="4"/>
  <c r="R27" i="4"/>
  <c r="R19" i="4"/>
  <c r="R84" i="4"/>
  <c r="R52" i="4"/>
  <c r="R112" i="4"/>
  <c r="R80" i="4"/>
  <c r="R108" i="4"/>
  <c r="R76" i="4"/>
  <c r="R87" i="4"/>
  <c r="R20" i="4"/>
  <c r="BF18" i="4"/>
  <c r="BB18" i="4"/>
  <c r="AU21" i="4"/>
  <c r="BM29" i="4"/>
  <c r="AC10" i="4"/>
  <c r="R4" i="4"/>
  <c r="T4" i="4" s="1"/>
  <c r="R6" i="4" s="1"/>
  <c r="BL39" i="4"/>
  <c r="AC8" i="4"/>
  <c r="AB5" i="4"/>
  <c r="AC5" i="4" s="1"/>
  <c r="R18" i="4"/>
  <c r="BL37" i="4"/>
  <c r="CJ38" i="4"/>
  <c r="BL23" i="4"/>
  <c r="AC6" i="4"/>
  <c r="CJ98" i="4"/>
  <c r="BM80" i="4"/>
  <c r="BM32" i="4"/>
  <c r="BM72" i="4"/>
  <c r="AV80" i="4"/>
  <c r="BM96" i="4"/>
  <c r="BL29" i="4"/>
  <c r="AU107" i="4"/>
  <c r="BP107" i="4" s="1"/>
  <c r="AU58" i="4"/>
  <c r="BP58" i="4" s="1"/>
  <c r="AU44" i="4"/>
  <c r="BP44" i="4" s="1"/>
  <c r="AU49" i="4"/>
  <c r="BP49" i="4" s="1"/>
  <c r="AU66" i="4"/>
  <c r="BP66" i="4" s="1"/>
  <c r="AU89" i="4"/>
  <c r="BP89" i="4" s="1"/>
  <c r="BP29" i="4"/>
  <c r="BP27" i="4"/>
  <c r="BP93" i="4"/>
  <c r="BP45" i="4"/>
  <c r="BC39" i="4"/>
  <c r="BD39" i="4"/>
  <c r="BJ39" i="4"/>
  <c r="BD49" i="4"/>
  <c r="AX47" i="4"/>
  <c r="BA41" i="4"/>
  <c r="AY47" i="4"/>
  <c r="AW55" i="4"/>
  <c r="AX24" i="4"/>
  <c r="AY24" i="4"/>
  <c r="BG64" i="4"/>
  <c r="AW47" i="4"/>
  <c r="BG54" i="4"/>
  <c r="AW24" i="4"/>
  <c r="BD47" i="4"/>
  <c r="AX55" i="4"/>
  <c r="BI47" i="4"/>
  <c r="BA31" i="4"/>
  <c r="BF105" i="4"/>
  <c r="BP75" i="4"/>
  <c r="BP19" i="4"/>
  <c r="BP85" i="4"/>
  <c r="BP51" i="4"/>
  <c r="BI69" i="4"/>
  <c r="BP101" i="4"/>
  <c r="BP102" i="4"/>
  <c r="BP21" i="4"/>
  <c r="BP34" i="4"/>
  <c r="BP35" i="4"/>
  <c r="BI70" i="4"/>
  <c r="BP18" i="4"/>
  <c r="BB35" i="4"/>
  <c r="BB34" i="4"/>
  <c r="BI85" i="4"/>
  <c r="AX72" i="4"/>
  <c r="BE86" i="4"/>
  <c r="BF33" i="4"/>
  <c r="AY72" i="4"/>
  <c r="BF86" i="4"/>
  <c r="BJ102" i="4"/>
  <c r="BG86" i="4"/>
  <c r="BA72" i="4"/>
  <c r="BC41" i="4"/>
  <c r="AW31" i="4"/>
  <c r="BB39" i="4"/>
  <c r="BE41" i="4"/>
  <c r="BI110" i="4"/>
  <c r="BB50" i="4"/>
  <c r="BK50" i="4"/>
  <c r="BI74" i="4"/>
  <c r="BD74" i="4"/>
  <c r="BF74" i="4"/>
  <c r="AY74" i="4"/>
  <c r="BJ74" i="4"/>
  <c r="BE74" i="4"/>
  <c r="CK74" i="4" s="1"/>
  <c r="AX74" i="4"/>
  <c r="BE83" i="4"/>
  <c r="AX83" i="4"/>
  <c r="AY83" i="4"/>
  <c r="BI83" i="4"/>
  <c r="BB28" i="4"/>
  <c r="BA28" i="4"/>
  <c r="BH28" i="4"/>
  <c r="BI28" i="4"/>
  <c r="AV61" i="4"/>
  <c r="AX61" i="4"/>
  <c r="BH61" i="4"/>
  <c r="BE61" i="4"/>
  <c r="AW61" i="4"/>
  <c r="BG58" i="4"/>
  <c r="BI58" i="4"/>
  <c r="AV66" i="4"/>
  <c r="BG66" i="4"/>
  <c r="BH51" i="4"/>
  <c r="BC51" i="4"/>
  <c r="BB99" i="4"/>
  <c r="BE99" i="4"/>
  <c r="BK99" i="4"/>
  <c r="BH99" i="4"/>
  <c r="AY99" i="4"/>
  <c r="BG99" i="4"/>
  <c r="BK92" i="4"/>
  <c r="BH92" i="4"/>
  <c r="BC92" i="4"/>
  <c r="BB77" i="4"/>
  <c r="BJ77" i="4"/>
  <c r="BD77" i="4"/>
  <c r="BC77" i="4"/>
  <c r="BH91" i="4"/>
  <c r="BK91" i="4"/>
  <c r="AW113" i="4"/>
  <c r="BH26" i="4"/>
  <c r="AY75" i="4"/>
  <c r="AV102" i="4"/>
  <c r="BE27" i="4"/>
  <c r="AV32" i="4"/>
  <c r="BB37" i="4"/>
  <c r="BG45" i="4"/>
  <c r="BF47" i="4"/>
  <c r="BG56" i="4"/>
  <c r="BB69" i="4"/>
  <c r="BG72" i="4"/>
  <c r="BB75" i="4"/>
  <c r="BA80" i="4"/>
  <c r="AY85" i="4"/>
  <c r="BI87" i="4"/>
  <c r="AW102" i="4"/>
  <c r="BA103" i="4"/>
  <c r="AW110" i="4"/>
  <c r="BE113" i="4"/>
  <c r="BK34" i="4"/>
  <c r="AY103" i="4"/>
  <c r="AV110" i="4"/>
  <c r="BD113" i="4"/>
  <c r="AY32" i="4"/>
  <c r="AX38" i="4"/>
  <c r="BG47" i="4"/>
  <c r="AW52" i="4"/>
  <c r="BB63" i="4"/>
  <c r="BC69" i="4"/>
  <c r="BC75" i="4"/>
  <c r="BD80" i="4"/>
  <c r="AZ82" i="4"/>
  <c r="BA85" i="4"/>
  <c r="BD89" i="4"/>
  <c r="AX96" i="4"/>
  <c r="AX102" i="4"/>
  <c r="BI103" i="4"/>
  <c r="AX110" i="4"/>
  <c r="BJ110" i="4"/>
  <c r="BF21" i="4"/>
  <c r="BF56" i="4"/>
  <c r="AW19" i="4"/>
  <c r="BH32" i="4"/>
  <c r="BD63" i="4"/>
  <c r="BD69" i="4"/>
  <c r="BE75" i="4"/>
  <c r="AZ76" i="4"/>
  <c r="BD85" i="4"/>
  <c r="BF89" i="4"/>
  <c r="AY102" i="4"/>
  <c r="BJ103" i="4"/>
  <c r="AY110" i="4"/>
  <c r="AX103" i="4"/>
  <c r="AY38" i="4"/>
  <c r="BI32" i="4"/>
  <c r="BE38" i="4"/>
  <c r="CK38" i="4" s="1"/>
  <c r="BJ47" i="4"/>
  <c r="BE69" i="4"/>
  <c r="BI75" i="4"/>
  <c r="AV83" i="4"/>
  <c r="BH85" i="4"/>
  <c r="BB102" i="4"/>
  <c r="BK103" i="4"/>
  <c r="BB110" i="4"/>
  <c r="AY18" i="4"/>
  <c r="BI64" i="4"/>
  <c r="AU92" i="4"/>
  <c r="BP92" i="4" s="1"/>
  <c r="BM34" i="4"/>
  <c r="BD22" i="4"/>
  <c r="AX64" i="4"/>
  <c r="BK77" i="4"/>
  <c r="AX81" i="4"/>
  <c r="AY87" i="4"/>
  <c r="CJ52" i="4"/>
  <c r="BE22" i="4"/>
  <c r="BB24" i="4"/>
  <c r="BC31" i="4"/>
  <c r="BJ35" i="4"/>
  <c r="BJ38" i="4"/>
  <c r="AW43" i="4"/>
  <c r="AV46" i="4"/>
  <c r="BA47" i="4"/>
  <c r="BD48" i="4"/>
  <c r="AX50" i="4"/>
  <c r="AY55" i="4"/>
  <c r="AW58" i="4"/>
  <c r="AY64" i="4"/>
  <c r="AW68" i="4"/>
  <c r="BB70" i="4"/>
  <c r="BG74" i="4"/>
  <c r="AU79" i="4"/>
  <c r="BP79" i="4" s="1"/>
  <c r="AY81" i="4"/>
  <c r="AY82" i="4"/>
  <c r="BM83" i="4"/>
  <c r="BJ85" i="4"/>
  <c r="BA87" i="4"/>
  <c r="AW91" i="4"/>
  <c r="BM97" i="4"/>
  <c r="AW100" i="4"/>
  <c r="BF102" i="4"/>
  <c r="BB103" i="4"/>
  <c r="AV105" i="4"/>
  <c r="BE110" i="4"/>
  <c r="BF113" i="4"/>
  <c r="BI81" i="4"/>
  <c r="BJ87" i="4"/>
  <c r="BI105" i="4"/>
  <c r="AU59" i="4"/>
  <c r="BP59" i="4" s="1"/>
  <c r="AW81" i="4"/>
  <c r="BK87" i="4"/>
  <c r="BK105" i="4"/>
  <c r="AV58" i="4"/>
  <c r="BK64" i="4"/>
  <c r="AU105" i="4"/>
  <c r="BP105" i="4" s="1"/>
  <c r="AW21" i="4"/>
  <c r="BJ22" i="4"/>
  <c r="BE24" i="4"/>
  <c r="BD31" i="4"/>
  <c r="BC33" i="4"/>
  <c r="BK35" i="4"/>
  <c r="BF43" i="4"/>
  <c r="AX46" i="4"/>
  <c r="BF48" i="4"/>
  <c r="BH50" i="4"/>
  <c r="AW54" i="4"/>
  <c r="BF55" i="4"/>
  <c r="BC58" i="4"/>
  <c r="AX60" i="4"/>
  <c r="BC62" i="4"/>
  <c r="BA64" i="4"/>
  <c r="BG70" i="4"/>
  <c r="AW77" i="4"/>
  <c r="BA81" i="4"/>
  <c r="AW86" i="4"/>
  <c r="BB87" i="4"/>
  <c r="AX89" i="4"/>
  <c r="AY91" i="4"/>
  <c r="BA101" i="4"/>
  <c r="BG102" i="4"/>
  <c r="BD103" i="4"/>
  <c r="AW105" i="4"/>
  <c r="BF110" i="4"/>
  <c r="BG81" i="4"/>
  <c r="BB22" i="4"/>
  <c r="AU67" i="4"/>
  <c r="BP67" i="4" s="1"/>
  <c r="BJ81" i="4"/>
  <c r="AU48" i="4"/>
  <c r="BP48" i="4" s="1"/>
  <c r="AU88" i="4"/>
  <c r="BP88" i="4" s="1"/>
  <c r="AX21" i="4"/>
  <c r="BM24" i="4"/>
  <c r="BG29" i="4"/>
  <c r="BL31" i="4"/>
  <c r="BJ31" i="4"/>
  <c r="BD33" i="4"/>
  <c r="BM35" i="4"/>
  <c r="AW41" i="4"/>
  <c r="BH43" i="4"/>
  <c r="BB46" i="4"/>
  <c r="BE47" i="4"/>
  <c r="BI50" i="4"/>
  <c r="AY54" i="4"/>
  <c r="BG55" i="4"/>
  <c r="BF58" i="4"/>
  <c r="BE60" i="4"/>
  <c r="BE62" i="4"/>
  <c r="BB64" i="4"/>
  <c r="AX66" i="4"/>
  <c r="BH70" i="4"/>
  <c r="AW74" i="4"/>
  <c r="BA77" i="4"/>
  <c r="BC81" i="4"/>
  <c r="AU83" i="4"/>
  <c r="BP83" i="4" s="1"/>
  <c r="AW85" i="4"/>
  <c r="AY86" i="4"/>
  <c r="BC87" i="4"/>
  <c r="BA89" i="4"/>
  <c r="BG91" i="4"/>
  <c r="AW99" i="4"/>
  <c r="BI102" i="4"/>
  <c r="BF103" i="4"/>
  <c r="AX105" i="4"/>
  <c r="BG110" i="4"/>
  <c r="AV55" i="4"/>
  <c r="BM51" i="4"/>
  <c r="BJ64" i="4"/>
  <c r="AU68" i="4"/>
  <c r="BP68" i="4" s="1"/>
  <c r="BE21" i="4"/>
  <c r="BE33" i="4"/>
  <c r="BF46" i="4"/>
  <c r="BJ50" i="4"/>
  <c r="BM55" i="4"/>
  <c r="BD64" i="4"/>
  <c r="BF66" i="4"/>
  <c r="AW69" i="4"/>
  <c r="BF81" i="4"/>
  <c r="BE87" i="4"/>
  <c r="CK87" i="4" s="1"/>
  <c r="BG103" i="4"/>
  <c r="BC105" i="4"/>
  <c r="BF30" i="4"/>
  <c r="AX30" i="4"/>
  <c r="AU41" i="4"/>
  <c r="BP41" i="4" s="1"/>
  <c r="BM41" i="4"/>
  <c r="AV74" i="4"/>
  <c r="AU74" i="4"/>
  <c r="BP74" i="4" s="1"/>
  <c r="BH95" i="4"/>
  <c r="BK95" i="4"/>
  <c r="BB95" i="4"/>
  <c r="BJ95" i="4"/>
  <c r="BA95" i="4"/>
  <c r="BG95" i="4"/>
  <c r="AX95" i="4"/>
  <c r="AY95" i="4"/>
  <c r="AW95" i="4"/>
  <c r="BF25" i="4"/>
  <c r="BE36" i="4"/>
  <c r="CK36" i="4" s="1"/>
  <c r="BC36" i="4"/>
  <c r="AW36" i="4"/>
  <c r="BH36" i="4"/>
  <c r="BB36" i="4"/>
  <c r="AY57" i="4"/>
  <c r="BK71" i="4"/>
  <c r="AY71" i="4"/>
  <c r="AX71" i="4"/>
  <c r="AV71" i="4"/>
  <c r="BE71" i="4"/>
  <c r="BD71" i="4"/>
  <c r="BK94" i="4"/>
  <c r="BI94" i="4"/>
  <c r="AX94" i="4"/>
  <c r="BG94" i="4"/>
  <c r="AW94" i="4"/>
  <c r="BE94" i="4"/>
  <c r="BA94" i="4"/>
  <c r="AY94" i="4"/>
  <c r="BG25" i="4"/>
  <c r="AY30" i="4"/>
  <c r="BD57" i="4"/>
  <c r="BI66" i="4"/>
  <c r="BM103" i="4"/>
  <c r="AV103" i="4"/>
  <c r="AU103" i="4"/>
  <c r="BP103" i="4" s="1"/>
  <c r="AU108" i="4"/>
  <c r="BP108" i="4" s="1"/>
  <c r="BC111" i="4"/>
  <c r="BM19" i="4"/>
  <c r="AZ23" i="4"/>
  <c r="AX25" i="4"/>
  <c r="BI25" i="4"/>
  <c r="AW29" i="4"/>
  <c r="BD30" i="4"/>
  <c r="AU36" i="4"/>
  <c r="BP36" i="4" s="1"/>
  <c r="BJ58" i="4"/>
  <c r="BE58" i="4"/>
  <c r="BD58" i="4"/>
  <c r="BA58" i="4"/>
  <c r="AY58" i="4"/>
  <c r="AX58" i="4"/>
  <c r="BK58" i="4"/>
  <c r="BK59" i="4"/>
  <c r="BB59" i="4"/>
  <c r="BA59" i="4"/>
  <c r="BC59" i="4"/>
  <c r="BK66" i="4"/>
  <c r="BC67" i="4"/>
  <c r="BB67" i="4"/>
  <c r="BA67" i="4"/>
  <c r="BK67" i="4"/>
  <c r="BI67" i="4"/>
  <c r="AW71" i="4"/>
  <c r="AV94" i="4"/>
  <c r="BD95" i="4"/>
  <c r="BH104" i="4"/>
  <c r="BF104" i="4"/>
  <c r="BG104" i="4"/>
  <c r="BE108" i="4"/>
  <c r="BD25" i="4"/>
  <c r="BA57" i="4"/>
  <c r="AV57" i="4"/>
  <c r="BJ57" i="4"/>
  <c r="BH57" i="4"/>
  <c r="AX57" i="4"/>
  <c r="BK78" i="4"/>
  <c r="BG78" i="4"/>
  <c r="BH111" i="4"/>
  <c r="BJ111" i="4"/>
  <c r="AY111" i="4"/>
  <c r="BI111" i="4"/>
  <c r="AX111" i="4"/>
  <c r="BF111" i="4"/>
  <c r="BA111" i="4"/>
  <c r="AV111" i="4"/>
  <c r="BM74" i="4"/>
  <c r="AU77" i="4"/>
  <c r="BP77" i="4" s="1"/>
  <c r="AU91" i="4"/>
  <c r="BP91" i="4" s="1"/>
  <c r="BH56" i="4"/>
  <c r="BC56" i="4"/>
  <c r="BK56" i="4"/>
  <c r="BB56" i="4"/>
  <c r="BI56" i="4"/>
  <c r="AY56" i="4"/>
  <c r="AW56" i="4"/>
  <c r="BJ56" i="4"/>
  <c r="AV85" i="4"/>
  <c r="BB111" i="4"/>
  <c r="AW25" i="4"/>
  <c r="BI22" i="4"/>
  <c r="BC22" i="4"/>
  <c r="AY25" i="4"/>
  <c r="BM27" i="4"/>
  <c r="AY29" i="4"/>
  <c r="BG30" i="4"/>
  <c r="AX33" i="4"/>
  <c r="BK33" i="4"/>
  <c r="AW33" i="4"/>
  <c r="BH33" i="4"/>
  <c r="AV33" i="4"/>
  <c r="BH35" i="4"/>
  <c r="BF35" i="4"/>
  <c r="AY35" i="4"/>
  <c r="BK36" i="4"/>
  <c r="BA56" i="4"/>
  <c r="BI57" i="4"/>
  <c r="BM60" i="4"/>
  <c r="BK63" i="4"/>
  <c r="AY63" i="4"/>
  <c r="AX63" i="4"/>
  <c r="BG63" i="4"/>
  <c r="BJ63" i="4"/>
  <c r="BF63" i="4"/>
  <c r="BF71" i="4"/>
  <c r="BH72" i="4"/>
  <c r="BF72" i="4"/>
  <c r="AW72" i="4"/>
  <c r="BE72" i="4"/>
  <c r="AV72" i="4"/>
  <c r="BC72" i="4"/>
  <c r="BD72" i="4"/>
  <c r="BB72" i="4"/>
  <c r="BJ72" i="4"/>
  <c r="BH73" i="4"/>
  <c r="BF73" i="4"/>
  <c r="AY73" i="4"/>
  <c r="BM81" i="4"/>
  <c r="AV82" i="4"/>
  <c r="BI82" i="4"/>
  <c r="BG82" i="4"/>
  <c r="BF82" i="4"/>
  <c r="BC82" i="4"/>
  <c r="BB94" i="4"/>
  <c r="BE95" i="4"/>
  <c r="BM104" i="4"/>
  <c r="AU104" i="4"/>
  <c r="BP104" i="4" s="1"/>
  <c r="BJ108" i="4"/>
  <c r="BG109" i="4"/>
  <c r="BI109" i="4"/>
  <c r="BB109" i="4"/>
  <c r="AY109" i="4"/>
  <c r="BG111" i="4"/>
  <c r="BH25" i="4"/>
  <c r="BJ25" i="4"/>
  <c r="BA25" i="4"/>
  <c r="BE25" i="4"/>
  <c r="AW30" i="4"/>
  <c r="BC44" i="4"/>
  <c r="BB44" i="4"/>
  <c r="BB79" i="4"/>
  <c r="BA79" i="4"/>
  <c r="AU71" i="4"/>
  <c r="BP71" i="4" s="1"/>
  <c r="BM71" i="4"/>
  <c r="BD21" i="4"/>
  <c r="AY21" i="4"/>
  <c r="BK24" i="4"/>
  <c r="BG24" i="4"/>
  <c r="AV24" i="4"/>
  <c r="BB25" i="4"/>
  <c r="BH30" i="4"/>
  <c r="BH39" i="4"/>
  <c r="BI39" i="4"/>
  <c r="AY39" i="4"/>
  <c r="BG39" i="4"/>
  <c r="AX39" i="4"/>
  <c r="BE39" i="4"/>
  <c r="BA39" i="4"/>
  <c r="AW39" i="4"/>
  <c r="BK39" i="4"/>
  <c r="BC43" i="4"/>
  <c r="AY43" i="4"/>
  <c r="AX43" i="4"/>
  <c r="BK46" i="4"/>
  <c r="BA46" i="4"/>
  <c r="BJ46" i="4"/>
  <c r="AY46" i="4"/>
  <c r="BG46" i="4"/>
  <c r="AW46" i="4"/>
  <c r="BE46" i="4"/>
  <c r="BD46" i="4"/>
  <c r="BK54" i="4"/>
  <c r="BJ54" i="4"/>
  <c r="BH54" i="4"/>
  <c r="BI54" i="4"/>
  <c r="BD56" i="4"/>
  <c r="BG71" i="4"/>
  <c r="BK72" i="4"/>
  <c r="BD79" i="4"/>
  <c r="AX80" i="4"/>
  <c r="AW80" i="4"/>
  <c r="BJ80" i="4"/>
  <c r="BG80" i="4"/>
  <c r="BE80" i="4"/>
  <c r="BD94" i="4"/>
  <c r="BF95" i="4"/>
  <c r="AU98" i="4"/>
  <c r="BP98" i="4" s="1"/>
  <c r="AU100" i="4"/>
  <c r="BP100" i="4" s="1"/>
  <c r="BM100" i="4"/>
  <c r="BJ101" i="4"/>
  <c r="BH101" i="4"/>
  <c r="BB101" i="4"/>
  <c r="AY101" i="4"/>
  <c r="BK111" i="4"/>
  <c r="BJ113" i="4"/>
  <c r="BC113" i="4"/>
  <c r="AX113" i="4"/>
  <c r="AV113" i="4"/>
  <c r="BD29" i="4"/>
  <c r="AX29" i="4"/>
  <c r="BI108" i="4"/>
  <c r="BC108" i="4"/>
  <c r="BB108" i="4"/>
  <c r="AV108" i="4"/>
  <c r="BD108" i="4"/>
  <c r="AW108" i="4"/>
  <c r="BD78" i="4"/>
  <c r="BJ49" i="4"/>
  <c r="BK49" i="4"/>
  <c r="AW49" i="4"/>
  <c r="BI49" i="4"/>
  <c r="AV49" i="4"/>
  <c r="BE49" i="4"/>
  <c r="BC49" i="4"/>
  <c r="BA49" i="4"/>
  <c r="BM52" i="4"/>
  <c r="AU52" i="4"/>
  <c r="BP52" i="4" s="1"/>
  <c r="BJ66" i="4"/>
  <c r="BE66" i="4"/>
  <c r="BD66" i="4"/>
  <c r="BA66" i="4"/>
  <c r="BC66" i="4"/>
  <c r="AY66" i="4"/>
  <c r="BJ78" i="4"/>
  <c r="BC95" i="4"/>
  <c r="BF24" i="4"/>
  <c r="AX18" i="4"/>
  <c r="AW22" i="4"/>
  <c r="BJ24" i="4"/>
  <c r="BC25" i="4"/>
  <c r="BF29" i="4"/>
  <c r="BI30" i="4"/>
  <c r="BH31" i="4"/>
  <c r="BI31" i="4"/>
  <c r="AY31" i="4"/>
  <c r="BG31" i="4"/>
  <c r="AX31" i="4"/>
  <c r="BE31" i="4"/>
  <c r="BK31" i="4"/>
  <c r="BF31" i="4"/>
  <c r="BK32" i="4"/>
  <c r="BF32" i="4"/>
  <c r="BC32" i="4"/>
  <c r="AX32" i="4"/>
  <c r="BM33" i="4"/>
  <c r="AU33" i="4"/>
  <c r="BP33" i="4" s="1"/>
  <c r="AX35" i="4"/>
  <c r="AU37" i="4"/>
  <c r="BP37" i="4" s="1"/>
  <c r="BM37" i="4"/>
  <c r="BK38" i="4"/>
  <c r="BG38" i="4"/>
  <c r="AW38" i="4"/>
  <c r="BF38" i="4"/>
  <c r="BD38" i="4"/>
  <c r="BB38" i="4"/>
  <c r="BA38" i="4"/>
  <c r="AU43" i="4"/>
  <c r="BP43" i="4" s="1"/>
  <c r="BM43" i="4"/>
  <c r="AU46" i="4"/>
  <c r="BP46" i="4" s="1"/>
  <c r="BM46" i="4"/>
  <c r="AX49" i="4"/>
  <c r="AU53" i="4"/>
  <c r="BP53" i="4" s="1"/>
  <c r="BM53" i="4"/>
  <c r="BE56" i="4"/>
  <c r="BC60" i="4"/>
  <c r="AY60" i="4"/>
  <c r="BK60" i="4"/>
  <c r="AW60" i="4"/>
  <c r="BI60" i="4"/>
  <c r="BH60" i="4"/>
  <c r="AW63" i="4"/>
  <c r="CK63" i="4"/>
  <c r="AW66" i="4"/>
  <c r="BA73" i="4"/>
  <c r="AX82" i="4"/>
  <c r="BF94" i="4"/>
  <c r="BI95" i="4"/>
  <c r="BA109" i="4"/>
  <c r="AU112" i="4"/>
  <c r="BP112" i="4" s="1"/>
  <c r="BJ41" i="4"/>
  <c r="BI41" i="4"/>
  <c r="AV41" i="4"/>
  <c r="BF41" i="4"/>
  <c r="BD41" i="4"/>
  <c r="BK41" i="4"/>
  <c r="AU62" i="4"/>
  <c r="BP62" i="4" s="1"/>
  <c r="BM62" i="4"/>
  <c r="BE68" i="4"/>
  <c r="BG68" i="4"/>
  <c r="AX68" i="4"/>
  <c r="BB92" i="4"/>
  <c r="AW92" i="4"/>
  <c r="BD97" i="4"/>
  <c r="BC97" i="4"/>
  <c r="AX97" i="4"/>
  <c r="BL26" i="4"/>
  <c r="AU40" i="4"/>
  <c r="BP40" i="4" s="1"/>
  <c r="BB61" i="4"/>
  <c r="BJ61" i="4"/>
  <c r="BF61" i="4"/>
  <c r="BF65" i="4"/>
  <c r="BI65" i="4"/>
  <c r="AX65" i="4"/>
  <c r="BH75" i="4"/>
  <c r="AV75" i="4"/>
  <c r="BG75" i="4"/>
  <c r="BD75" i="4"/>
  <c r="BK75" i="4"/>
  <c r="BH77" i="4"/>
  <c r="BI77" i="4"/>
  <c r="AY77" i="4"/>
  <c r="BG77" i="4"/>
  <c r="AX77" i="4"/>
  <c r="BE77" i="4"/>
  <c r="AV77" i="4"/>
  <c r="BF77" i="4"/>
  <c r="BK83" i="4"/>
  <c r="BH83" i="4"/>
  <c r="BK86" i="4"/>
  <c r="BB86" i="4"/>
  <c r="BA86" i="4"/>
  <c r="BI86" i="4"/>
  <c r="AX86" i="4"/>
  <c r="BJ86" i="4"/>
  <c r="BJ89" i="4"/>
  <c r="BK89" i="4"/>
  <c r="AW89" i="4"/>
  <c r="BI89" i="4"/>
  <c r="AV89" i="4"/>
  <c r="BE89" i="4"/>
  <c r="BF91" i="4"/>
  <c r="BC91" i="4"/>
  <c r="AX91" i="4"/>
  <c r="BJ106" i="4"/>
  <c r="BK106" i="4"/>
  <c r="BI106" i="4"/>
  <c r="AU113" i="4"/>
  <c r="BP113" i="4" s="1"/>
  <c r="BC64" i="4"/>
  <c r="BB81" i="4"/>
  <c r="BK81" i="4"/>
  <c r="BD87" i="4"/>
  <c r="BJ99" i="4"/>
  <c r="BA102" i="4"/>
  <c r="BM102" i="4"/>
  <c r="BC103" i="4"/>
  <c r="BA105" i="4"/>
  <c r="BA110" i="4"/>
  <c r="BM110" i="4"/>
  <c r="AV38" i="4"/>
  <c r="BB47" i="4"/>
  <c r="BK47" i="4"/>
  <c r="BH55" i="4"/>
  <c r="AV64" i="4"/>
  <c r="BE64" i="4"/>
  <c r="BJ69" i="4"/>
  <c r="BA74" i="4"/>
  <c r="BD81" i="4"/>
  <c r="BE85" i="4"/>
  <c r="AW87" i="4"/>
  <c r="BF87" i="4"/>
  <c r="BD102" i="4"/>
  <c r="BD105" i="4"/>
  <c r="BD110" i="4"/>
  <c r="BC47" i="4"/>
  <c r="AY51" i="4"/>
  <c r="AU54" i="4"/>
  <c r="BP54" i="4" s="1"/>
  <c r="BJ55" i="4"/>
  <c r="AU61" i="4"/>
  <c r="BP61" i="4" s="1"/>
  <c r="AW64" i="4"/>
  <c r="BF64" i="4"/>
  <c r="BK69" i="4"/>
  <c r="BC74" i="4"/>
  <c r="AV81" i="4"/>
  <c r="BE81" i="4"/>
  <c r="AX87" i="4"/>
  <c r="BG87" i="4"/>
  <c r="AX99" i="4"/>
  <c r="AV100" i="4"/>
  <c r="BE102" i="4"/>
  <c r="BE105" i="4"/>
  <c r="BG20" i="4"/>
  <c r="AY20" i="4"/>
  <c r="AX20" i="4"/>
  <c r="BF20" i="4"/>
  <c r="BK20" i="4"/>
  <c r="BE20" i="4"/>
  <c r="CK20" i="4" s="1"/>
  <c r="AW20" i="4"/>
  <c r="BC20" i="4"/>
  <c r="BD20" i="4"/>
  <c r="AV20" i="4"/>
  <c r="BI23" i="4"/>
  <c r="BE88" i="4"/>
  <c r="AW88" i="4"/>
  <c r="BK88" i="4"/>
  <c r="BC88" i="4"/>
  <c r="BJ88" i="4"/>
  <c r="BB88" i="4"/>
  <c r="BI88" i="4"/>
  <c r="AX88" i="4"/>
  <c r="BG88" i="4"/>
  <c r="BF88" i="4"/>
  <c r="BA88" i="4"/>
  <c r="AY88" i="4"/>
  <c r="AV88" i="4"/>
  <c r="BH88" i="4"/>
  <c r="BD88" i="4"/>
  <c r="BG42" i="4"/>
  <c r="AY42" i="4"/>
  <c r="BE42" i="4"/>
  <c r="AW42" i="4"/>
  <c r="BD42" i="4"/>
  <c r="AV42" i="4"/>
  <c r="BB42" i="4"/>
  <c r="BA42" i="4"/>
  <c r="BI42" i="4"/>
  <c r="BK42" i="4"/>
  <c r="BJ42" i="4"/>
  <c r="AX42" i="4"/>
  <c r="BM47" i="4"/>
  <c r="AV47" i="4"/>
  <c r="A114" i="4"/>
  <c r="BA20" i="4"/>
  <c r="AU22" i="4"/>
  <c r="BP22" i="4" s="1"/>
  <c r="AY23" i="4"/>
  <c r="BG28" i="4"/>
  <c r="AY28" i="4"/>
  <c r="BF28" i="4"/>
  <c r="AX28" i="4"/>
  <c r="BK28" i="4"/>
  <c r="BE28" i="4"/>
  <c r="AW28" i="4"/>
  <c r="BC28" i="4"/>
  <c r="BD28" i="4"/>
  <c r="AV28" i="4"/>
  <c r="BJ28" i="4"/>
  <c r="AY40" i="4"/>
  <c r="AU47" i="4"/>
  <c r="BP47" i="4" s="1"/>
  <c r="BE48" i="4"/>
  <c r="AW48" i="4"/>
  <c r="BK48" i="4"/>
  <c r="BC48" i="4"/>
  <c r="BJ48" i="4"/>
  <c r="BB48" i="4"/>
  <c r="AY48" i="4"/>
  <c r="BI48" i="4"/>
  <c r="AX48" i="4"/>
  <c r="BG48" i="4"/>
  <c r="BH48" i="4"/>
  <c r="AV48" i="4"/>
  <c r="X14" i="4"/>
  <c r="AB4" i="4"/>
  <c r="AC4" i="4" s="1"/>
  <c r="AC11" i="4"/>
  <c r="AU20" i="4"/>
  <c r="BP20" i="4" s="1"/>
  <c r="BM20" i="4"/>
  <c r="BM69" i="4"/>
  <c r="AV69" i="4"/>
  <c r="AU69" i="4"/>
  <c r="BP69" i="4" s="1"/>
  <c r="BI53" i="4"/>
  <c r="BA53" i="4"/>
  <c r="BG53" i="4"/>
  <c r="AY53" i="4"/>
  <c r="BJ53" i="4"/>
  <c r="AX53" i="4"/>
  <c r="BH53" i="4"/>
  <c r="AW53" i="4"/>
  <c r="BF53" i="4"/>
  <c r="AV53" i="4"/>
  <c r="BE53" i="4"/>
  <c r="BB53" i="4"/>
  <c r="BK53" i="4"/>
  <c r="BD53" i="4"/>
  <c r="BC53" i="4"/>
  <c r="BL84" i="4"/>
  <c r="BL103" i="4"/>
  <c r="BL59" i="4"/>
  <c r="BL58" i="4"/>
  <c r="BL52" i="4"/>
  <c r="BL38" i="4"/>
  <c r="BL27" i="4"/>
  <c r="BL19" i="4"/>
  <c r="AB7" i="4"/>
  <c r="AC7" i="4" s="1"/>
  <c r="P18" i="4"/>
  <c r="BL18" i="4" s="1"/>
  <c r="BB20" i="4"/>
  <c r="AV22" i="4"/>
  <c r="BA34" i="4"/>
  <c r="BM42" i="4"/>
  <c r="AU42" i="4"/>
  <c r="BP42" i="4" s="1"/>
  <c r="BI84" i="4"/>
  <c r="BA84" i="4"/>
  <c r="BJ84" i="4"/>
  <c r="BG84" i="4"/>
  <c r="AX84" i="4"/>
  <c r="BF84" i="4"/>
  <c r="AW84" i="4"/>
  <c r="BD84" i="4"/>
  <c r="BC84" i="4"/>
  <c r="BB84" i="4"/>
  <c r="AY84" i="4"/>
  <c r="BH84" i="4"/>
  <c r="BE84" i="4"/>
  <c r="AV84" i="4"/>
  <c r="BK84" i="4"/>
  <c r="BJ20" i="4"/>
  <c r="BE40" i="4"/>
  <c r="AW40" i="4"/>
  <c r="BK40" i="4"/>
  <c r="BC40" i="4"/>
  <c r="BJ40" i="4"/>
  <c r="BB40" i="4"/>
  <c r="BI40" i="4"/>
  <c r="AX40" i="4"/>
  <c r="BH40" i="4"/>
  <c r="BD40" i="4"/>
  <c r="AV40" i="4"/>
  <c r="BG40" i="4"/>
  <c r="BF40" i="4"/>
  <c r="BT114" i="4"/>
  <c r="AV25" i="4"/>
  <c r="BM25" i="4"/>
  <c r="BE76" i="4"/>
  <c r="AW76" i="4"/>
  <c r="BK76" i="4"/>
  <c r="BC76" i="4"/>
  <c r="BH76" i="4"/>
  <c r="AX76" i="4"/>
  <c r="BG76" i="4"/>
  <c r="AV76" i="4"/>
  <c r="BF76" i="4"/>
  <c r="BD76" i="4"/>
  <c r="BI76" i="4"/>
  <c r="BB76" i="4"/>
  <c r="BA76" i="4"/>
  <c r="AY76" i="4"/>
  <c r="BJ76" i="4"/>
  <c r="BE18" i="4"/>
  <c r="AW18" i="4"/>
  <c r="BD18" i="4"/>
  <c r="AV18" i="4"/>
  <c r="BK18" i="4"/>
  <c r="BC18" i="4"/>
  <c r="BA18" i="4"/>
  <c r="BJ18" i="4"/>
  <c r="BI18" i="4"/>
  <c r="BG18" i="4"/>
  <c r="BH20" i="4"/>
  <c r="AU28" i="4"/>
  <c r="BP28" i="4" s="1"/>
  <c r="BM28" i="4"/>
  <c r="BA40" i="4"/>
  <c r="BC42" i="4"/>
  <c r="BM84" i="4"/>
  <c r="AU84" i="4"/>
  <c r="BP84" i="4" s="1"/>
  <c r="BS114" i="4"/>
  <c r="BF23" i="4"/>
  <c r="AX23" i="4"/>
  <c r="AW23" i="4"/>
  <c r="BE23" i="4"/>
  <c r="BD23" i="4"/>
  <c r="AV23" i="4"/>
  <c r="BB23" i="4"/>
  <c r="BK23" i="4"/>
  <c r="BC23" i="4"/>
  <c r="BJ23" i="4"/>
  <c r="AU38" i="4"/>
  <c r="BP38" i="4" s="1"/>
  <c r="BM38" i="4"/>
  <c r="AU63" i="4"/>
  <c r="BP63" i="4" s="1"/>
  <c r="BM63" i="4"/>
  <c r="AV63" i="4"/>
  <c r="BG34" i="4"/>
  <c r="AY34" i="4"/>
  <c r="BD34" i="4"/>
  <c r="AV34" i="4"/>
  <c r="BI34" i="4"/>
  <c r="AX34" i="4"/>
  <c r="BH34" i="4"/>
  <c r="AW34" i="4"/>
  <c r="BF34" i="4"/>
  <c r="BE34" i="4"/>
  <c r="BC34" i="4"/>
  <c r="AU86" i="4"/>
  <c r="BP86" i="4" s="1"/>
  <c r="BM86" i="4"/>
  <c r="AV86" i="4"/>
  <c r="AB9" i="4"/>
  <c r="AC9" i="4" s="1"/>
  <c r="BA23" i="4"/>
  <c r="BH18" i="4"/>
  <c r="BI20" i="4"/>
  <c r="CJ20" i="4"/>
  <c r="BG23" i="4"/>
  <c r="BJ34" i="4"/>
  <c r="BF42" i="4"/>
  <c r="AU50" i="4"/>
  <c r="BP50" i="4" s="1"/>
  <c r="BH21" i="4"/>
  <c r="BF37" i="4"/>
  <c r="AX37" i="4"/>
  <c r="BD37" i="4"/>
  <c r="AV37" i="4"/>
  <c r="BK37" i="4"/>
  <c r="BC37" i="4"/>
  <c r="BI44" i="4"/>
  <c r="BA44" i="4"/>
  <c r="BG44" i="4"/>
  <c r="AY44" i="4"/>
  <c r="BF44" i="4"/>
  <c r="AX44" i="4"/>
  <c r="BE51" i="4"/>
  <c r="BF62" i="4"/>
  <c r="AX62" i="4"/>
  <c r="BD62" i="4"/>
  <c r="AV62" i="4"/>
  <c r="BJ62" i="4"/>
  <c r="BI62" i="4"/>
  <c r="AY62" i="4"/>
  <c r="BH62" i="4"/>
  <c r="AW62" i="4"/>
  <c r="BG62" i="4"/>
  <c r="BG90" i="4"/>
  <c r="AY90" i="4"/>
  <c r="BE90" i="4"/>
  <c r="AW90" i="4"/>
  <c r="BD90" i="4"/>
  <c r="AV90" i="4"/>
  <c r="BB90" i="4"/>
  <c r="BK90" i="4"/>
  <c r="BJ90" i="4"/>
  <c r="AX90" i="4"/>
  <c r="BC90" i="4"/>
  <c r="BA90" i="4"/>
  <c r="BI90" i="4"/>
  <c r="BH90" i="4"/>
  <c r="BF90" i="4"/>
  <c r="U114" i="4"/>
  <c r="U4" i="4" s="1"/>
  <c r="BV114" i="4"/>
  <c r="BA21" i="4"/>
  <c r="BI21" i="4"/>
  <c r="AX22" i="4"/>
  <c r="BF22" i="4"/>
  <c r="AU23" i="4"/>
  <c r="BP23" i="4" s="1"/>
  <c r="BH24" i="4"/>
  <c r="BA29" i="4"/>
  <c r="BI29" i="4"/>
  <c r="BK30" i="4"/>
  <c r="BC30" i="4"/>
  <c r="BA30" i="4"/>
  <c r="BJ30" i="4"/>
  <c r="AU31" i="4"/>
  <c r="BP31" i="4" s="1"/>
  <c r="BD35" i="4"/>
  <c r="AV35" i="4"/>
  <c r="BI35" i="4"/>
  <c r="BA35" i="4"/>
  <c r="BC35" i="4"/>
  <c r="BI36" i="4"/>
  <c r="BA36" i="4"/>
  <c r="BG36" i="4"/>
  <c r="AY36" i="4"/>
  <c r="BF36" i="4"/>
  <c r="AX36" i="4"/>
  <c r="BD36" i="4"/>
  <c r="CJ36" i="4"/>
  <c r="BG37" i="4"/>
  <c r="AU39" i="4"/>
  <c r="BP39" i="4" s="1"/>
  <c r="BE44" i="4"/>
  <c r="BA50" i="4"/>
  <c r="BF51" i="4"/>
  <c r="AU106" i="4"/>
  <c r="BP106" i="4" s="1"/>
  <c r="BL113" i="4"/>
  <c r="BL97" i="4"/>
  <c r="BL90" i="4"/>
  <c r="BL110" i="4"/>
  <c r="BL88" i="4"/>
  <c r="BL72" i="4"/>
  <c r="BL64" i="4"/>
  <c r="BL94" i="4"/>
  <c r="BL69" i="4"/>
  <c r="BL77" i="4"/>
  <c r="BL74" i="4"/>
  <c r="BL42" i="4"/>
  <c r="BL34" i="4"/>
  <c r="BL55" i="4"/>
  <c r="BL41" i="4"/>
  <c r="BG59" i="4"/>
  <c r="AY59" i="4"/>
  <c r="BE59" i="4"/>
  <c r="AW59" i="4"/>
  <c r="BI59" i="4"/>
  <c r="AX59" i="4"/>
  <c r="BH59" i="4"/>
  <c r="AV59" i="4"/>
  <c r="BF59" i="4"/>
  <c r="BD59" i="4"/>
  <c r="BJ59" i="4"/>
  <c r="BB21" i="4"/>
  <c r="BJ21" i="4"/>
  <c r="BL22" i="4"/>
  <c r="AY22" i="4"/>
  <c r="BG22" i="4"/>
  <c r="BA24" i="4"/>
  <c r="BI24" i="4"/>
  <c r="AU26" i="4"/>
  <c r="BP26" i="4" s="1"/>
  <c r="BB29" i="4"/>
  <c r="BJ29" i="4"/>
  <c r="BB30" i="4"/>
  <c r="AV31" i="4"/>
  <c r="BE32" i="4"/>
  <c r="AW32" i="4"/>
  <c r="BJ32" i="4"/>
  <c r="BB32" i="4"/>
  <c r="BA32" i="4"/>
  <c r="BE35" i="4"/>
  <c r="BH37" i="4"/>
  <c r="AV39" i="4"/>
  <c r="BD43" i="4"/>
  <c r="AV43" i="4"/>
  <c r="BJ43" i="4"/>
  <c r="BB43" i="4"/>
  <c r="BI43" i="4"/>
  <c r="BA43" i="4"/>
  <c r="BE43" i="4"/>
  <c r="BH44" i="4"/>
  <c r="BL46" i="4"/>
  <c r="BG51" i="4"/>
  <c r="CJ65" i="4"/>
  <c r="BF70" i="4"/>
  <c r="AX70" i="4"/>
  <c r="BE70" i="4"/>
  <c r="AW70" i="4"/>
  <c r="BD70" i="4"/>
  <c r="AV70" i="4"/>
  <c r="BK70" i="4"/>
  <c r="BC70" i="4"/>
  <c r="BA70" i="4"/>
  <c r="AY70" i="4"/>
  <c r="BJ70" i="4"/>
  <c r="BU114" i="4"/>
  <c r="BH29" i="4"/>
  <c r="BD44" i="4"/>
  <c r="BC21" i="4"/>
  <c r="BK21" i="4"/>
  <c r="BH22" i="4"/>
  <c r="BC29" i="4"/>
  <c r="AV44" i="4"/>
  <c r="BJ44" i="4"/>
  <c r="BM45" i="4"/>
  <c r="BG50" i="4"/>
  <c r="AY50" i="4"/>
  <c r="BE50" i="4"/>
  <c r="AW50" i="4"/>
  <c r="BD50" i="4"/>
  <c r="AV50" i="4"/>
  <c r="BC50" i="4"/>
  <c r="AW51" i="4"/>
  <c r="AV56" i="4"/>
  <c r="BM56" i="4"/>
  <c r="AU56" i="4"/>
  <c r="BP56" i="4" s="1"/>
  <c r="BA62" i="4"/>
  <c r="BD107" i="4"/>
  <c r="AV107" i="4"/>
  <c r="BK107" i="4"/>
  <c r="BC107" i="4"/>
  <c r="BJ107" i="4"/>
  <c r="BB107" i="4"/>
  <c r="BI107" i="4"/>
  <c r="BA107" i="4"/>
  <c r="BE107" i="4"/>
  <c r="AY107" i="4"/>
  <c r="AX107" i="4"/>
  <c r="BH107" i="4"/>
  <c r="BG107" i="4"/>
  <c r="BF107" i="4"/>
  <c r="AW107" i="4"/>
  <c r="BL24" i="4"/>
  <c r="AZ29" i="4"/>
  <c r="BE37" i="4"/>
  <c r="BD51" i="4"/>
  <c r="AV51" i="4"/>
  <c r="BJ51" i="4"/>
  <c r="BB51" i="4"/>
  <c r="BI51" i="4"/>
  <c r="BA51" i="4"/>
  <c r="CJ91" i="4"/>
  <c r="CJ74" i="4"/>
  <c r="CJ63" i="4"/>
  <c r="BK29" i="4"/>
  <c r="BM30" i="4"/>
  <c r="AW37" i="4"/>
  <c r="BI37" i="4"/>
  <c r="BM18" i="4"/>
  <c r="AV21" i="4"/>
  <c r="BA22" i="4"/>
  <c r="BC24" i="4"/>
  <c r="BL28" i="4"/>
  <c r="AV29" i="4"/>
  <c r="AV30" i="4"/>
  <c r="BE30" i="4"/>
  <c r="BD32" i="4"/>
  <c r="BJ33" i="4"/>
  <c r="BB33" i="4"/>
  <c r="BG33" i="4"/>
  <c r="AY33" i="4"/>
  <c r="BA33" i="4"/>
  <c r="AW35" i="4"/>
  <c r="BG35" i="4"/>
  <c r="AV36" i="4"/>
  <c r="BJ36" i="4"/>
  <c r="AY37" i="4"/>
  <c r="BJ37" i="4"/>
  <c r="BG43" i="4"/>
  <c r="AW44" i="4"/>
  <c r="BK44" i="4"/>
  <c r="BF50" i="4"/>
  <c r="AX51" i="4"/>
  <c r="BK51" i="4"/>
  <c r="BB62" i="4"/>
  <c r="AU64" i="4"/>
  <c r="BP64" i="4" s="1"/>
  <c r="BH38" i="4"/>
  <c r="AY41" i="4"/>
  <c r="BG41" i="4"/>
  <c r="BH46" i="4"/>
  <c r="AY49" i="4"/>
  <c r="BG49" i="4"/>
  <c r="BA54" i="4"/>
  <c r="BD60" i="4"/>
  <c r="AV60" i="4"/>
  <c r="BJ60" i="4"/>
  <c r="BB60" i="4"/>
  <c r="BA60" i="4"/>
  <c r="BK61" i="4"/>
  <c r="BA65" i="4"/>
  <c r="BM70" i="4"/>
  <c r="AU70" i="4"/>
  <c r="BP70" i="4" s="1"/>
  <c r="BE73" i="4"/>
  <c r="AW73" i="4"/>
  <c r="BD73" i="4"/>
  <c r="AV73" i="4"/>
  <c r="BK73" i="4"/>
  <c r="BC73" i="4"/>
  <c r="BJ73" i="4"/>
  <c r="BB73" i="4"/>
  <c r="BG73" i="4"/>
  <c r="BM75" i="4"/>
  <c r="BI78" i="4"/>
  <c r="BA78" i="4"/>
  <c r="BH78" i="4"/>
  <c r="AY78" i="4"/>
  <c r="BF78" i="4"/>
  <c r="AW78" i="4"/>
  <c r="BE78" i="4"/>
  <c r="AV78" i="4"/>
  <c r="BC78" i="4"/>
  <c r="BB78" i="4"/>
  <c r="AX78" i="4"/>
  <c r="BF93" i="4"/>
  <c r="AX93" i="4"/>
  <c r="BD93" i="4"/>
  <c r="AV93" i="4"/>
  <c r="BK93" i="4"/>
  <c r="BC93" i="4"/>
  <c r="BI93" i="4"/>
  <c r="AW93" i="4"/>
  <c r="BH93" i="4"/>
  <c r="BE93" i="4"/>
  <c r="BB93" i="4"/>
  <c r="BA93" i="4"/>
  <c r="AY93" i="4"/>
  <c r="BM95" i="4"/>
  <c r="AV95" i="4"/>
  <c r="BH41" i="4"/>
  <c r="BH49" i="4"/>
  <c r="BF54" i="4"/>
  <c r="AX54" i="4"/>
  <c r="BD54" i="4"/>
  <c r="AV54" i="4"/>
  <c r="BB54" i="4"/>
  <c r="BE57" i="4"/>
  <c r="AW57" i="4"/>
  <c r="BK57" i="4"/>
  <c r="BC57" i="4"/>
  <c r="BB57" i="4"/>
  <c r="BG67" i="4"/>
  <c r="AY67" i="4"/>
  <c r="BF67" i="4"/>
  <c r="AX67" i="4"/>
  <c r="BE67" i="4"/>
  <c r="AW67" i="4"/>
  <c r="BD67" i="4"/>
  <c r="AV67" i="4"/>
  <c r="BH67" i="4"/>
  <c r="BD68" i="4"/>
  <c r="AV68" i="4"/>
  <c r="BK68" i="4"/>
  <c r="BC68" i="4"/>
  <c r="BJ68" i="4"/>
  <c r="BB68" i="4"/>
  <c r="BI68" i="4"/>
  <c r="BA68" i="4"/>
  <c r="BF68" i="4"/>
  <c r="BF79" i="4"/>
  <c r="AX79" i="4"/>
  <c r="BI79" i="4"/>
  <c r="BG79" i="4"/>
  <c r="AW79" i="4"/>
  <c r="BE79" i="4"/>
  <c r="AV79" i="4"/>
  <c r="AY79" i="4"/>
  <c r="BK79" i="4"/>
  <c r="BJ79" i="4"/>
  <c r="BH79" i="4"/>
  <c r="BE112" i="4"/>
  <c r="AW112" i="4"/>
  <c r="BD112" i="4"/>
  <c r="AV112" i="4"/>
  <c r="BK112" i="4"/>
  <c r="BC112" i="4"/>
  <c r="BJ112" i="4"/>
  <c r="BB112" i="4"/>
  <c r="AY112" i="4"/>
  <c r="AX112" i="4"/>
  <c r="BI112" i="4"/>
  <c r="BH112" i="4"/>
  <c r="BG112" i="4"/>
  <c r="BF112" i="4"/>
  <c r="BA112" i="4"/>
  <c r="BK55" i="4"/>
  <c r="BC55" i="4"/>
  <c r="BI55" i="4"/>
  <c r="BA55" i="4"/>
  <c r="BD55" i="4"/>
  <c r="BI61" i="4"/>
  <c r="BA61" i="4"/>
  <c r="BG61" i="4"/>
  <c r="AY61" i="4"/>
  <c r="BC61" i="4"/>
  <c r="BE65" i="4"/>
  <c r="CK65" i="4" s="1"/>
  <c r="AW65" i="4"/>
  <c r="BD65" i="4"/>
  <c r="AV65" i="4"/>
  <c r="BK65" i="4"/>
  <c r="BC65" i="4"/>
  <c r="BJ65" i="4"/>
  <c r="BB65" i="4"/>
  <c r="BG65" i="4"/>
  <c r="BG98" i="4"/>
  <c r="AY98" i="4"/>
  <c r="BD98" i="4"/>
  <c r="AV98" i="4"/>
  <c r="BH98" i="4"/>
  <c r="AW98" i="4"/>
  <c r="BE98" i="4"/>
  <c r="CK98" i="4" s="1"/>
  <c r="BC98" i="4"/>
  <c r="BJ98" i="4"/>
  <c r="BF98" i="4"/>
  <c r="BB98" i="4"/>
  <c r="BK98" i="4"/>
  <c r="BI98" i="4"/>
  <c r="BA98" i="4"/>
  <c r="AZ31" i="4"/>
  <c r="BC38" i="4"/>
  <c r="BB41" i="4"/>
  <c r="BC46" i="4"/>
  <c r="BB49" i="4"/>
  <c r="BE54" i="4"/>
  <c r="BE55" i="4"/>
  <c r="BM57" i="4"/>
  <c r="AU57" i="4"/>
  <c r="BP57" i="4" s="1"/>
  <c r="BF57" i="4"/>
  <c r="BF60" i="4"/>
  <c r="BD61" i="4"/>
  <c r="BH65" i="4"/>
  <c r="BJ67" i="4"/>
  <c r="BH68" i="4"/>
  <c r="AX73" i="4"/>
  <c r="AU78" i="4"/>
  <c r="BP78" i="4" s="1"/>
  <c r="BG93" i="4"/>
  <c r="BH63" i="4"/>
  <c r="AX69" i="4"/>
  <c r="BF69" i="4"/>
  <c r="BH71" i="4"/>
  <c r="CJ87" i="4"/>
  <c r="BA96" i="4"/>
  <c r="AU99" i="4"/>
  <c r="BP99" i="4" s="1"/>
  <c r="BM99" i="4"/>
  <c r="BH58" i="4"/>
  <c r="BA63" i="4"/>
  <c r="BI63" i="4"/>
  <c r="AU65" i="4"/>
  <c r="BP65" i="4" s="1"/>
  <c r="BH66" i="4"/>
  <c r="AY69" i="4"/>
  <c r="BG69" i="4"/>
  <c r="BA71" i="4"/>
  <c r="BI71" i="4"/>
  <c r="AU73" i="4"/>
  <c r="BP73" i="4" s="1"/>
  <c r="BH74" i="4"/>
  <c r="BM76" i="4"/>
  <c r="AU76" i="4"/>
  <c r="BP76" i="4" s="1"/>
  <c r="BM82" i="4"/>
  <c r="AU82" i="4"/>
  <c r="BP82" i="4" s="1"/>
  <c r="BJ83" i="4"/>
  <c r="BB83" i="4"/>
  <c r="BF83" i="4"/>
  <c r="AW83" i="4"/>
  <c r="BD83" i="4"/>
  <c r="BC83" i="4"/>
  <c r="BA83" i="4"/>
  <c r="AU90" i="4"/>
  <c r="BP90" i="4" s="1"/>
  <c r="BH69" i="4"/>
  <c r="BB71" i="4"/>
  <c r="BJ71" i="4"/>
  <c r="BM87" i="4"/>
  <c r="AV87" i="4"/>
  <c r="AU87" i="4"/>
  <c r="BP87" i="4" s="1"/>
  <c r="BE96" i="4"/>
  <c r="BF96" i="4"/>
  <c r="AW96" i="4"/>
  <c r="BC96" i="4"/>
  <c r="BK96" i="4"/>
  <c r="BB96" i="4"/>
  <c r="AY96" i="4"/>
  <c r="BI96" i="4"/>
  <c r="AV96" i="4"/>
  <c r="BH96" i="4"/>
  <c r="BG96" i="4"/>
  <c r="BE104" i="4"/>
  <c r="AW104" i="4"/>
  <c r="BD104" i="4"/>
  <c r="AV104" i="4"/>
  <c r="BK104" i="4"/>
  <c r="BC104" i="4"/>
  <c r="BJ104" i="4"/>
  <c r="BB104" i="4"/>
  <c r="AY104" i="4"/>
  <c r="AX104" i="4"/>
  <c r="BI104" i="4"/>
  <c r="BA104" i="4"/>
  <c r="BB58" i="4"/>
  <c r="BC63" i="4"/>
  <c r="BB66" i="4"/>
  <c r="BA69" i="4"/>
  <c r="BC71" i="4"/>
  <c r="BB74" i="4"/>
  <c r="BK74" i="4"/>
  <c r="BF75" i="4"/>
  <c r="AX75" i="4"/>
  <c r="BA75" i="4"/>
  <c r="BJ75" i="4"/>
  <c r="BK80" i="4"/>
  <c r="BC80" i="4"/>
  <c r="BB80" i="4"/>
  <c r="BI80" i="4"/>
  <c r="BH80" i="4"/>
  <c r="AY80" i="4"/>
  <c r="BF80" i="4"/>
  <c r="BG83" i="4"/>
  <c r="BJ96" i="4"/>
  <c r="BI100" i="4"/>
  <c r="BA100" i="4"/>
  <c r="BG100" i="4"/>
  <c r="AY100" i="4"/>
  <c r="BF100" i="4"/>
  <c r="AX100" i="4"/>
  <c r="BE100" i="4"/>
  <c r="BC100" i="4"/>
  <c r="BB100" i="4"/>
  <c r="BK100" i="4"/>
  <c r="BH100" i="4"/>
  <c r="BD100" i="4"/>
  <c r="BE82" i="4"/>
  <c r="AW82" i="4"/>
  <c r="BA82" i="4"/>
  <c r="BJ82" i="4"/>
  <c r="BI92" i="4"/>
  <c r="BA92" i="4"/>
  <c r="BG92" i="4"/>
  <c r="AY92" i="4"/>
  <c r="BF92" i="4"/>
  <c r="AX92" i="4"/>
  <c r="BD92" i="4"/>
  <c r="BJ97" i="4"/>
  <c r="BB97" i="4"/>
  <c r="BG97" i="4"/>
  <c r="AY97" i="4"/>
  <c r="BK97" i="4"/>
  <c r="BH97" i="4"/>
  <c r="AW97" i="4"/>
  <c r="BF97" i="4"/>
  <c r="AV97" i="4"/>
  <c r="BE97" i="4"/>
  <c r="BB82" i="4"/>
  <c r="BK82" i="4"/>
  <c r="BF85" i="4"/>
  <c r="AX85" i="4"/>
  <c r="BK85" i="4"/>
  <c r="BC85" i="4"/>
  <c r="BB85" i="4"/>
  <c r="BM85" i="4"/>
  <c r="BD91" i="4"/>
  <c r="AV91" i="4"/>
  <c r="BJ91" i="4"/>
  <c r="BB91" i="4"/>
  <c r="BI91" i="4"/>
  <c r="BA91" i="4"/>
  <c r="BE91" i="4"/>
  <c r="CK91" i="4" s="1"/>
  <c r="BE92" i="4"/>
  <c r="BI97" i="4"/>
  <c r="BD82" i="4"/>
  <c r="AV92" i="4"/>
  <c r="BJ92" i="4"/>
  <c r="BM93" i="4"/>
  <c r="BM101" i="4"/>
  <c r="BG106" i="4"/>
  <c r="AY106" i="4"/>
  <c r="BF106" i="4"/>
  <c r="AX106" i="4"/>
  <c r="BE106" i="4"/>
  <c r="AW106" i="4"/>
  <c r="BD106" i="4"/>
  <c r="AV106" i="4"/>
  <c r="BC106" i="4"/>
  <c r="BB106" i="4"/>
  <c r="BA106" i="4"/>
  <c r="BH86" i="4"/>
  <c r="AY89" i="4"/>
  <c r="BG89" i="4"/>
  <c r="BH94" i="4"/>
  <c r="BF101" i="4"/>
  <c r="AX101" i="4"/>
  <c r="BD101" i="4"/>
  <c r="AV101" i="4"/>
  <c r="BK101" i="4"/>
  <c r="BC101" i="4"/>
  <c r="BE101" i="4"/>
  <c r="BH89" i="4"/>
  <c r="BD99" i="4"/>
  <c r="AV99" i="4"/>
  <c r="BI99" i="4"/>
  <c r="BA99" i="4"/>
  <c r="BC99" i="4"/>
  <c r="BF109" i="4"/>
  <c r="AX109" i="4"/>
  <c r="BE109" i="4"/>
  <c r="AW109" i="4"/>
  <c r="BD109" i="4"/>
  <c r="AV109" i="4"/>
  <c r="BK109" i="4"/>
  <c r="BC109" i="4"/>
  <c r="BH109" i="4"/>
  <c r="BC86" i="4"/>
  <c r="BB89" i="4"/>
  <c r="BC94" i="4"/>
  <c r="BF99" i="4"/>
  <c r="AW101" i="4"/>
  <c r="BI101" i="4"/>
  <c r="BM109" i="4"/>
  <c r="AU109" i="4"/>
  <c r="BP109" i="4" s="1"/>
  <c r="BJ109" i="4"/>
  <c r="AU111" i="4"/>
  <c r="BP111" i="4" s="1"/>
  <c r="BH102" i="4"/>
  <c r="AW103" i="4"/>
  <c r="BE103" i="4"/>
  <c r="AY105" i="4"/>
  <c r="BG105" i="4"/>
  <c r="AX108" i="4"/>
  <c r="BF108" i="4"/>
  <c r="BH110" i="4"/>
  <c r="AW111" i="4"/>
  <c r="BE111" i="4"/>
  <c r="AY113" i="4"/>
  <c r="BG113" i="4"/>
  <c r="BH105" i="4"/>
  <c r="AY108" i="4"/>
  <c r="BG108" i="4"/>
  <c r="BH113" i="4"/>
  <c r="BH108" i="4"/>
  <c r="BA113" i="4"/>
  <c r="BI113" i="4"/>
  <c r="BC102" i="4"/>
  <c r="BB105" i="4"/>
  <c r="BA108" i="4"/>
  <c r="BC110" i="4"/>
  <c r="BB113" i="4"/>
  <c r="H114" i="1"/>
  <c r="Q6" i="4" l="1"/>
  <c r="R7" i="4" s="1"/>
  <c r="AZ71" i="4"/>
  <c r="BK26" i="4"/>
  <c r="AZ62" i="4"/>
  <c r="CB62" i="4" s="1"/>
  <c r="BK45" i="4"/>
  <c r="BK52" i="4"/>
  <c r="AZ37" i="4"/>
  <c r="CB37" i="4" s="1"/>
  <c r="AZ39" i="4"/>
  <c r="CB39" i="4" s="1"/>
  <c r="BE45" i="4"/>
  <c r="AZ40" i="4"/>
  <c r="CB40" i="4" s="1"/>
  <c r="BL21" i="4"/>
  <c r="CB21" i="4" s="1"/>
  <c r="AZ38" i="4"/>
  <c r="CA38" i="4" s="1"/>
  <c r="CB38" i="4" s="1"/>
  <c r="AZ32" i="4"/>
  <c r="CB32" i="4" s="1"/>
  <c r="BL82" i="4"/>
  <c r="CB82" i="4" s="1"/>
  <c r="BA27" i="4"/>
  <c r="AZ103" i="4"/>
  <c r="CB103" i="4" s="1"/>
  <c r="BB26" i="4"/>
  <c r="BH45" i="4"/>
  <c r="AZ26" i="4"/>
  <c r="BJ26" i="4"/>
  <c r="AW45" i="4"/>
  <c r="BL76" i="4"/>
  <c r="CB76" i="4" s="1"/>
  <c r="BC26" i="4"/>
  <c r="AZ45" i="4"/>
  <c r="AV26" i="4"/>
  <c r="AV45" i="4"/>
  <c r="BF45" i="4"/>
  <c r="BE52" i="4"/>
  <c r="CK52" i="4" s="1"/>
  <c r="AZ74" i="4"/>
  <c r="CA74" i="4" s="1"/>
  <c r="CB74" i="4" s="1"/>
  <c r="AZ49" i="4"/>
  <c r="CB49" i="4" s="1"/>
  <c r="BI19" i="4"/>
  <c r="AZ59" i="4"/>
  <c r="CB59" i="4" s="1"/>
  <c r="BB52" i="4"/>
  <c r="AX19" i="4"/>
  <c r="BG52" i="4"/>
  <c r="BH19" i="4"/>
  <c r="BI27" i="4"/>
  <c r="AZ113" i="4"/>
  <c r="CB113" i="4" s="1"/>
  <c r="AZ104" i="4"/>
  <c r="CB104" i="4" s="1"/>
  <c r="AZ79" i="4"/>
  <c r="CB79" i="4" s="1"/>
  <c r="BJ52" i="4"/>
  <c r="AZ46" i="4"/>
  <c r="AX120" i="4" s="1"/>
  <c r="BB27" i="4"/>
  <c r="AY52" i="4"/>
  <c r="BK19" i="4"/>
  <c r="AZ87" i="4"/>
  <c r="CA87" i="4" s="1"/>
  <c r="CB87" i="4" s="1"/>
  <c r="AZ64" i="4"/>
  <c r="CB64" i="4" s="1"/>
  <c r="BC52" i="4"/>
  <c r="BA52" i="4"/>
  <c r="BI26" i="4"/>
  <c r="BJ45" i="4"/>
  <c r="BB45" i="4"/>
  <c r="BC19" i="4"/>
  <c r="BI52" i="4"/>
  <c r="AV27" i="4"/>
  <c r="BF26" i="4"/>
  <c r="BL60" i="4"/>
  <c r="CB60" i="4" s="1"/>
  <c r="BF52" i="4"/>
  <c r="BF27" i="4"/>
  <c r="BG27" i="4"/>
  <c r="AX26" i="4"/>
  <c r="BE26" i="4"/>
  <c r="BA45" i="4"/>
  <c r="AW27" i="4"/>
  <c r="BJ27" i="4"/>
  <c r="Q114" i="4"/>
  <c r="AV52" i="4"/>
  <c r="BD27" i="4"/>
  <c r="BD52" i="4"/>
  <c r="BG19" i="4"/>
  <c r="BB19" i="4"/>
  <c r="BH27" i="4"/>
  <c r="AY27" i="4"/>
  <c r="AY19" i="4"/>
  <c r="BC45" i="4"/>
  <c r="BA19" i="4"/>
  <c r="AX27" i="4"/>
  <c r="BE19" i="4"/>
  <c r="AV19" i="4"/>
  <c r="AZ20" i="4"/>
  <c r="CA20" i="4" s="1"/>
  <c r="BD26" i="4"/>
  <c r="BI45" i="4"/>
  <c r="BD45" i="4"/>
  <c r="BH52" i="4"/>
  <c r="BJ19" i="4"/>
  <c r="BD19" i="4"/>
  <c r="AY26" i="4"/>
  <c r="BA26" i="4"/>
  <c r="AW26" i="4"/>
  <c r="AY45" i="4"/>
  <c r="AX45" i="4"/>
  <c r="BF19" i="4"/>
  <c r="AX52" i="4"/>
  <c r="BK27" i="4"/>
  <c r="BC27" i="4"/>
  <c r="BG26" i="4"/>
  <c r="AZ78" i="4"/>
  <c r="CB78" i="4" s="1"/>
  <c r="AZ61" i="4"/>
  <c r="CB61" i="4" s="1"/>
  <c r="AZ19" i="4"/>
  <c r="AZ56" i="4"/>
  <c r="CB56" i="4" s="1"/>
  <c r="AZ25" i="4"/>
  <c r="CB25" i="4" s="1"/>
  <c r="AZ110" i="4"/>
  <c r="CB110" i="4" s="1"/>
  <c r="AZ102" i="4"/>
  <c r="CB102" i="4" s="1"/>
  <c r="AZ95" i="4"/>
  <c r="CB95" i="4" s="1"/>
  <c r="AZ72" i="4"/>
  <c r="CB72" i="4" s="1"/>
  <c r="AZ80" i="4"/>
  <c r="CB80" i="4" s="1"/>
  <c r="BP114" i="4"/>
  <c r="AZ77" i="4"/>
  <c r="CB77" i="4" s="1"/>
  <c r="CB71" i="4"/>
  <c r="AZ107" i="4"/>
  <c r="CB107" i="4" s="1"/>
  <c r="AZ105" i="4"/>
  <c r="CB105" i="4" s="1"/>
  <c r="AZ58" i="4"/>
  <c r="CB58" i="4" s="1"/>
  <c r="AZ98" i="4"/>
  <c r="CA98" i="4" s="1"/>
  <c r="CB98" i="4" s="1"/>
  <c r="CB31" i="4"/>
  <c r="AZ93" i="4"/>
  <c r="CB93" i="4" s="1"/>
  <c r="AZ28" i="4"/>
  <c r="CB28" i="4" s="1"/>
  <c r="AZ108" i="4"/>
  <c r="CB108" i="4" s="1"/>
  <c r="AZ94" i="4"/>
  <c r="CB94" i="4" s="1"/>
  <c r="AZ84" i="4"/>
  <c r="CB84" i="4" s="1"/>
  <c r="R114" i="4"/>
  <c r="AZ52" i="4"/>
  <c r="AZ63" i="4"/>
  <c r="CA63" i="4" s="1"/>
  <c r="CB63" i="4" s="1"/>
  <c r="AZ70" i="4"/>
  <c r="CB70" i="4" s="1"/>
  <c r="AU114" i="4"/>
  <c r="BL33" i="4"/>
  <c r="AZ33" i="4"/>
  <c r="AZ88" i="4"/>
  <c r="AX121" i="4" s="1"/>
  <c r="BL54" i="4"/>
  <c r="AZ54" i="4"/>
  <c r="BL50" i="4"/>
  <c r="AZ50" i="4"/>
  <c r="BL96" i="4"/>
  <c r="AZ96" i="4"/>
  <c r="BL101" i="4"/>
  <c r="AZ101" i="4"/>
  <c r="AZ86" i="4"/>
  <c r="CB86" i="4" s="1"/>
  <c r="AZ112" i="4"/>
  <c r="CB112" i="4" s="1"/>
  <c r="BL57" i="4"/>
  <c r="AZ57" i="4"/>
  <c r="BL100" i="4"/>
  <c r="AZ100" i="4"/>
  <c r="AZ30" i="4"/>
  <c r="BL30" i="4"/>
  <c r="BL85" i="4"/>
  <c r="AZ85" i="4"/>
  <c r="BL109" i="4"/>
  <c r="AZ109" i="4"/>
  <c r="AZ48" i="4"/>
  <c r="CB48" i="4" s="1"/>
  <c r="BL35" i="4"/>
  <c r="AZ35" i="4"/>
  <c r="BL67" i="4"/>
  <c r="AZ67" i="4"/>
  <c r="BL43" i="4"/>
  <c r="AZ43" i="4"/>
  <c r="AZ47" i="4"/>
  <c r="CB47" i="4" s="1"/>
  <c r="CB29" i="4"/>
  <c r="BL91" i="4"/>
  <c r="AZ91" i="4"/>
  <c r="AZ69" i="4"/>
  <c r="CB69" i="4" s="1"/>
  <c r="AZ41" i="4"/>
  <c r="CB41" i="4" s="1"/>
  <c r="AZ36" i="4"/>
  <c r="BL36" i="4"/>
  <c r="BL83" i="4"/>
  <c r="AZ83" i="4"/>
  <c r="BL99" i="4"/>
  <c r="AZ99" i="4"/>
  <c r="AZ24" i="4"/>
  <c r="CB24" i="4" s="1"/>
  <c r="CB23" i="4"/>
  <c r="AZ53" i="4"/>
  <c r="CB53" i="4" s="1"/>
  <c r="BL73" i="4"/>
  <c r="AZ73" i="4"/>
  <c r="BL65" i="4"/>
  <c r="AZ65" i="4"/>
  <c r="AZ42" i="4"/>
  <c r="CB42" i="4" s="1"/>
  <c r="AZ92" i="4"/>
  <c r="BL92" i="4"/>
  <c r="AZ66" i="4"/>
  <c r="CB66" i="4" s="1"/>
  <c r="AZ111" i="4"/>
  <c r="CB111" i="4" s="1"/>
  <c r="AZ106" i="4"/>
  <c r="CB106" i="4" s="1"/>
  <c r="BM114" i="4"/>
  <c r="AZ27" i="4"/>
  <c r="BL68" i="4"/>
  <c r="AZ68" i="4"/>
  <c r="AZ81" i="4"/>
  <c r="CB81" i="4" s="1"/>
  <c r="AZ89" i="4"/>
  <c r="AX122" i="4" s="1"/>
  <c r="AZ97" i="4"/>
  <c r="CB97" i="4" s="1"/>
  <c r="AZ55" i="4"/>
  <c r="CB55" i="4" s="1"/>
  <c r="AZ22" i="4"/>
  <c r="CB22" i="4" s="1"/>
  <c r="AZ44" i="4"/>
  <c r="BL44" i="4"/>
  <c r="AZ75" i="4"/>
  <c r="BL75" i="4"/>
  <c r="AZ90" i="4"/>
  <c r="CB90" i="4" s="1"/>
  <c r="BL51" i="4"/>
  <c r="AZ51" i="4"/>
  <c r="AZ34" i="4"/>
  <c r="CB34" i="4" s="1"/>
  <c r="AZ18" i="4"/>
  <c r="CI113" i="4" l="1"/>
  <c r="CE82" i="4"/>
  <c r="CF103" i="4"/>
  <c r="CE110" i="4"/>
  <c r="CF49" i="4"/>
  <c r="CE71" i="4"/>
  <c r="CE74" i="4"/>
  <c r="CE32" i="4"/>
  <c r="CF59" i="4"/>
  <c r="CF31" i="4"/>
  <c r="CI40" i="4"/>
  <c r="CF77" i="4"/>
  <c r="AW114" i="4"/>
  <c r="CB43" i="4"/>
  <c r="CF43" i="4" s="1"/>
  <c r="CB30" i="4"/>
  <c r="CB54" i="4"/>
  <c r="AV114" i="4"/>
  <c r="BI114" i="4"/>
  <c r="CF58" i="4"/>
  <c r="BH114" i="4"/>
  <c r="BA114" i="4"/>
  <c r="BE114" i="4"/>
  <c r="BK114" i="4"/>
  <c r="BF114" i="4"/>
  <c r="BG114" i="4"/>
  <c r="CB45" i="4"/>
  <c r="CI58" i="4"/>
  <c r="CJ58" i="4" s="1"/>
  <c r="CE58" i="4"/>
  <c r="BB114" i="4"/>
  <c r="CE31" i="4"/>
  <c r="CI103" i="4"/>
  <c r="CJ103" i="4" s="1"/>
  <c r="CB46" i="4"/>
  <c r="CB109" i="4"/>
  <c r="CE103" i="4"/>
  <c r="CE61" i="4"/>
  <c r="CI31" i="4"/>
  <c r="CJ31" i="4" s="1"/>
  <c r="CF40" i="4"/>
  <c r="BC114" i="4"/>
  <c r="AY114" i="4"/>
  <c r="CI64" i="4"/>
  <c r="CK64" i="4" s="1"/>
  <c r="BD114" i="4"/>
  <c r="CE64" i="4"/>
  <c r="CB68" i="4"/>
  <c r="CF32" i="4"/>
  <c r="CB35" i="4"/>
  <c r="CB57" i="4"/>
  <c r="CB96" i="4"/>
  <c r="CA52" i="4"/>
  <c r="CB52" i="4" s="1"/>
  <c r="AX114" i="4"/>
  <c r="BJ114" i="4"/>
  <c r="CF110" i="4"/>
  <c r="CF94" i="4"/>
  <c r="CI110" i="4"/>
  <c r="CJ110" i="4" s="1"/>
  <c r="CE94" i="4"/>
  <c r="CF64" i="4"/>
  <c r="CB19" i="4"/>
  <c r="CI94" i="4"/>
  <c r="CK94" i="4" s="1"/>
  <c r="CB26" i="4"/>
  <c r="CB27" i="4"/>
  <c r="CF80" i="4"/>
  <c r="CB99" i="4"/>
  <c r="CA91" i="4"/>
  <c r="CB91" i="4" s="1"/>
  <c r="CB67" i="4"/>
  <c r="CB100" i="4"/>
  <c r="CI80" i="4"/>
  <c r="CK80" i="4" s="1"/>
  <c r="CE113" i="4"/>
  <c r="CF105" i="4"/>
  <c r="CI105" i="4"/>
  <c r="CJ105" i="4" s="1"/>
  <c r="CI72" i="4"/>
  <c r="CK72" i="4" s="1"/>
  <c r="CE72" i="4"/>
  <c r="CF72" i="4"/>
  <c r="CF102" i="4"/>
  <c r="CI102" i="4"/>
  <c r="CJ102" i="4" s="1"/>
  <c r="CE102" i="4"/>
  <c r="CF113" i="4"/>
  <c r="CI59" i="4"/>
  <c r="CK59" i="4" s="1"/>
  <c r="CI32" i="4"/>
  <c r="CJ32" i="4" s="1"/>
  <c r="CF71" i="4"/>
  <c r="CB51" i="4"/>
  <c r="CB75" i="4"/>
  <c r="CB92" i="4"/>
  <c r="CA36" i="4"/>
  <c r="CB36" i="4" s="1"/>
  <c r="CE59" i="4"/>
  <c r="CB33" i="4"/>
  <c r="CE40" i="4"/>
  <c r="CF82" i="4"/>
  <c r="CI82" i="4"/>
  <c r="CJ82" i="4" s="1"/>
  <c r="CA65" i="4"/>
  <c r="CB65" i="4" s="1"/>
  <c r="CB50" i="4"/>
  <c r="CF61" i="4"/>
  <c r="CE80" i="4"/>
  <c r="CI108" i="4"/>
  <c r="CJ108" i="4" s="1"/>
  <c r="CF108" i="4"/>
  <c r="CE108" i="4"/>
  <c r="CI71" i="4"/>
  <c r="CK71" i="4" s="1"/>
  <c r="CB44" i="4"/>
  <c r="BL114" i="4"/>
  <c r="CB89" i="4"/>
  <c r="CI77" i="4"/>
  <c r="CK77" i="4" s="1"/>
  <c r="CF74" i="4"/>
  <c r="CI61" i="4"/>
  <c r="CK61" i="4" s="1"/>
  <c r="CB73" i="4"/>
  <c r="CB85" i="4"/>
  <c r="CE49" i="4"/>
  <c r="CE105" i="4"/>
  <c r="CE77" i="4"/>
  <c r="CI49" i="4"/>
  <c r="CJ49" i="4" s="1"/>
  <c r="CB83" i="4"/>
  <c r="CB101" i="4"/>
  <c r="CE97" i="4"/>
  <c r="CI97" i="4"/>
  <c r="CF97" i="4"/>
  <c r="CF111" i="4"/>
  <c r="CE111" i="4"/>
  <c r="CI111" i="4"/>
  <c r="CE42" i="4"/>
  <c r="CI42" i="4"/>
  <c r="CF42" i="4"/>
  <c r="CE48" i="4"/>
  <c r="CI48" i="4"/>
  <c r="CF48" i="4"/>
  <c r="CI86" i="4"/>
  <c r="CF86" i="4"/>
  <c r="CE86" i="4"/>
  <c r="CF63" i="4"/>
  <c r="CE63" i="4"/>
  <c r="CI22" i="4"/>
  <c r="CF22" i="4"/>
  <c r="CE22" i="4"/>
  <c r="CF38" i="4"/>
  <c r="CE38" i="4"/>
  <c r="CE34" i="4"/>
  <c r="CF34" i="4"/>
  <c r="CI34" i="4"/>
  <c r="CI53" i="4"/>
  <c r="CE53" i="4"/>
  <c r="CF53" i="4"/>
  <c r="CE98" i="4"/>
  <c r="CF98" i="4"/>
  <c r="CE106" i="4"/>
  <c r="CI106" i="4"/>
  <c r="CF106" i="4"/>
  <c r="CI69" i="4"/>
  <c r="CF69" i="4"/>
  <c r="CE69" i="4"/>
  <c r="CE90" i="4"/>
  <c r="CF90" i="4"/>
  <c r="CI90" i="4"/>
  <c r="CF87" i="4"/>
  <c r="CE87" i="4"/>
  <c r="CF47" i="4"/>
  <c r="CI47" i="4"/>
  <c r="CE47" i="4"/>
  <c r="CE28" i="4"/>
  <c r="CI28" i="4"/>
  <c r="CF28" i="4"/>
  <c r="CI29" i="4"/>
  <c r="CE29" i="4"/>
  <c r="CF29" i="4"/>
  <c r="CF25" i="4"/>
  <c r="CE25" i="4"/>
  <c r="CI25" i="4"/>
  <c r="CF39" i="4"/>
  <c r="CI39" i="4"/>
  <c r="CE39" i="4"/>
  <c r="AZ114" i="4"/>
  <c r="CF95" i="4"/>
  <c r="CI95" i="4"/>
  <c r="CE95" i="4"/>
  <c r="CI84" i="4"/>
  <c r="CF84" i="4"/>
  <c r="CE84" i="4"/>
  <c r="CJ113" i="4"/>
  <c r="CK113" i="4"/>
  <c r="CI104" i="4"/>
  <c r="CF104" i="4"/>
  <c r="CE104" i="4"/>
  <c r="CI79" i="4"/>
  <c r="CF79" i="4"/>
  <c r="CE79" i="4"/>
  <c r="CI107" i="4"/>
  <c r="CF107" i="4"/>
  <c r="CE107" i="4"/>
  <c r="CB20" i="4"/>
  <c r="CF41" i="4"/>
  <c r="CE41" i="4"/>
  <c r="CI41" i="4"/>
  <c r="CB88" i="4"/>
  <c r="CI55" i="4"/>
  <c r="CE55" i="4"/>
  <c r="CF55" i="4"/>
  <c r="CI60" i="4"/>
  <c r="CF60" i="4"/>
  <c r="CE60" i="4"/>
  <c r="CI62" i="4"/>
  <c r="CF62" i="4"/>
  <c r="CE62" i="4"/>
  <c r="CI112" i="4"/>
  <c r="CF112" i="4"/>
  <c r="CE112" i="4"/>
  <c r="CK40" i="4"/>
  <c r="CJ40" i="4"/>
  <c r="CI78" i="4"/>
  <c r="CE78" i="4"/>
  <c r="CF78" i="4"/>
  <c r="CF56" i="4"/>
  <c r="CI56" i="4"/>
  <c r="CE56" i="4"/>
  <c r="CE37" i="4"/>
  <c r="CI37" i="4"/>
  <c r="CF37" i="4"/>
  <c r="CI76" i="4"/>
  <c r="CF76" i="4"/>
  <c r="CE76" i="4"/>
  <c r="CE23" i="4"/>
  <c r="CF23" i="4"/>
  <c r="CI23" i="4"/>
  <c r="CF93" i="4"/>
  <c r="CE93" i="4"/>
  <c r="CI93" i="4"/>
  <c r="CF81" i="4"/>
  <c r="CI81" i="4"/>
  <c r="CE81" i="4"/>
  <c r="CF21" i="4"/>
  <c r="CI21" i="4"/>
  <c r="CE21" i="4"/>
  <c r="CI66" i="4"/>
  <c r="CF66" i="4"/>
  <c r="CE66" i="4"/>
  <c r="CI24" i="4"/>
  <c r="CF24" i="4"/>
  <c r="CE24" i="4"/>
  <c r="CI70" i="4"/>
  <c r="CF70" i="4"/>
  <c r="CE70" i="4"/>
  <c r="CB18" i="4"/>
  <c r="CA113" i="1"/>
  <c r="CA112" i="1"/>
  <c r="CA111" i="1"/>
  <c r="CA110" i="1"/>
  <c r="CA109" i="1"/>
  <c r="CA108" i="1"/>
  <c r="CA107" i="1"/>
  <c r="CA106" i="1"/>
  <c r="CA105" i="1"/>
  <c r="CA104" i="1"/>
  <c r="CA103" i="1"/>
  <c r="CA102" i="1"/>
  <c r="CA101" i="1"/>
  <c r="CA100" i="1"/>
  <c r="CA99" i="1"/>
  <c r="CA97" i="1"/>
  <c r="CA96" i="1"/>
  <c r="CA95" i="1"/>
  <c r="CA94" i="1"/>
  <c r="CA93" i="1"/>
  <c r="CA92" i="1"/>
  <c r="CA90" i="1"/>
  <c r="CA89" i="1"/>
  <c r="CA88" i="1"/>
  <c r="CA86" i="1"/>
  <c r="CA85" i="1"/>
  <c r="CA84" i="1"/>
  <c r="CA83" i="1"/>
  <c r="CA82" i="1"/>
  <c r="CA81" i="1"/>
  <c r="CA80" i="1"/>
  <c r="CA79" i="1"/>
  <c r="CA78" i="1"/>
  <c r="CA77" i="1"/>
  <c r="CA76" i="1"/>
  <c r="CA75" i="1"/>
  <c r="CA73" i="1"/>
  <c r="CA72" i="1"/>
  <c r="CA71" i="1"/>
  <c r="CA70" i="1"/>
  <c r="CA69" i="1"/>
  <c r="CA68" i="1"/>
  <c r="CA67" i="1"/>
  <c r="CA66" i="1"/>
  <c r="CA64" i="1"/>
  <c r="CA62" i="1"/>
  <c r="CA61" i="1"/>
  <c r="CA60" i="1"/>
  <c r="CA59" i="1"/>
  <c r="CA58" i="1"/>
  <c r="CA57" i="1"/>
  <c r="CA56" i="1"/>
  <c r="CA55" i="1"/>
  <c r="CA54" i="1"/>
  <c r="CA53" i="1"/>
  <c r="CA51" i="1"/>
  <c r="CA50" i="1"/>
  <c r="CA49" i="1"/>
  <c r="CA48" i="1"/>
  <c r="CA47" i="1"/>
  <c r="CA46" i="1"/>
  <c r="CA45" i="1"/>
  <c r="CA44" i="1"/>
  <c r="CA43" i="1"/>
  <c r="CA42" i="1"/>
  <c r="CA41" i="1"/>
  <c r="CA40" i="1"/>
  <c r="CA39" i="1"/>
  <c r="CA35" i="1"/>
  <c r="CA34" i="1"/>
  <c r="CA33" i="1"/>
  <c r="CA32" i="1"/>
  <c r="CA29" i="1"/>
  <c r="CA28" i="1"/>
  <c r="CA27" i="1"/>
  <c r="CA26" i="1"/>
  <c r="CA25" i="1"/>
  <c r="CA24" i="1"/>
  <c r="CA23" i="1"/>
  <c r="CA22" i="1"/>
  <c r="CA21" i="1"/>
  <c r="CA19" i="1"/>
  <c r="CA18" i="1"/>
  <c r="CF89" i="4" l="1"/>
  <c r="CE50" i="4"/>
  <c r="CF92" i="4"/>
  <c r="CI109" i="4"/>
  <c r="CK109" i="4" s="1"/>
  <c r="CF27" i="4"/>
  <c r="CI68" i="4"/>
  <c r="CE44" i="4"/>
  <c r="CI19" i="4"/>
  <c r="CJ19" i="4" s="1"/>
  <c r="CI54" i="4"/>
  <c r="CE51" i="4"/>
  <c r="CI67" i="4"/>
  <c r="CF30" i="4"/>
  <c r="CI43" i="4"/>
  <c r="CJ43" i="4" s="1"/>
  <c r="CE101" i="4"/>
  <c r="CE99" i="4"/>
  <c r="CF35" i="4"/>
  <c r="CF91" i="4"/>
  <c r="CI83" i="4"/>
  <c r="CE33" i="4"/>
  <c r="CE30" i="4"/>
  <c r="CZ30" i="4" s="1"/>
  <c r="CI30" i="4"/>
  <c r="CK30" i="4" s="1"/>
  <c r="CE43" i="4"/>
  <c r="CZ43" i="4" s="1"/>
  <c r="CE54" i="4"/>
  <c r="CF54" i="4"/>
  <c r="CE45" i="4"/>
  <c r="CF45" i="4"/>
  <c r="CI45" i="4"/>
  <c r="CK45" i="4" s="1"/>
  <c r="CZ103" i="4"/>
  <c r="DB103" i="4" s="1"/>
  <c r="DC103" i="4" s="1"/>
  <c r="CZ58" i="4"/>
  <c r="CK58" i="4"/>
  <c r="DA58" i="4" s="1"/>
  <c r="CE100" i="4"/>
  <c r="CI100" i="4"/>
  <c r="CJ100" i="4" s="1"/>
  <c r="CK103" i="4"/>
  <c r="DA103" i="4" s="1"/>
  <c r="CE68" i="4"/>
  <c r="CE46" i="4"/>
  <c r="CF46" i="4"/>
  <c r="CJ64" i="4"/>
  <c r="DA64" i="4" s="1"/>
  <c r="CI46" i="4"/>
  <c r="CK46" i="4" s="1"/>
  <c r="CF26" i="4"/>
  <c r="CJ72" i="4"/>
  <c r="DA72" i="4" s="1"/>
  <c r="CE73" i="4"/>
  <c r="CZ80" i="4"/>
  <c r="CE109" i="4"/>
  <c r="CF96" i="4"/>
  <c r="CF109" i="4"/>
  <c r="CI99" i="4"/>
  <c r="CK99" i="4" s="1"/>
  <c r="CF52" i="4"/>
  <c r="CK31" i="4"/>
  <c r="DA31" i="4" s="1"/>
  <c r="CF68" i="4"/>
  <c r="CE26" i="4"/>
  <c r="CJ80" i="4"/>
  <c r="DA80" i="4" s="1"/>
  <c r="CF100" i="4"/>
  <c r="CI26" i="4"/>
  <c r="CK26" i="4" s="1"/>
  <c r="CI27" i="4"/>
  <c r="CK27" i="4" s="1"/>
  <c r="CE27" i="4"/>
  <c r="CF51" i="4"/>
  <c r="CI35" i="4"/>
  <c r="CJ35" i="4" s="1"/>
  <c r="CZ32" i="4"/>
  <c r="CE57" i="4"/>
  <c r="CF75" i="4"/>
  <c r="CI73" i="4"/>
  <c r="CK73" i="4" s="1"/>
  <c r="CE35" i="4"/>
  <c r="CE96" i="4"/>
  <c r="CZ31" i="4"/>
  <c r="CZ76" i="4"/>
  <c r="CI101" i="4"/>
  <c r="CJ101" i="4" s="1"/>
  <c r="CI96" i="4"/>
  <c r="CK96" i="4" s="1"/>
  <c r="CK105" i="4"/>
  <c r="DA105" i="4" s="1"/>
  <c r="CZ110" i="4"/>
  <c r="CE83" i="4"/>
  <c r="CE52" i="4"/>
  <c r="CZ113" i="4"/>
  <c r="CZ94" i="4"/>
  <c r="CI89" i="4"/>
  <c r="CJ89" i="4" s="1"/>
  <c r="CI57" i="4"/>
  <c r="CK57" i="4" s="1"/>
  <c r="CZ47" i="4"/>
  <c r="CZ90" i="4"/>
  <c r="CZ62" i="4"/>
  <c r="CF57" i="4"/>
  <c r="CK110" i="4"/>
  <c r="DA110" i="4" s="1"/>
  <c r="CE89" i="4"/>
  <c r="CE65" i="4"/>
  <c r="CZ40" i="4"/>
  <c r="DB40" i="4" s="1"/>
  <c r="DC40" i="4" s="1"/>
  <c r="CI92" i="4"/>
  <c r="CK92" i="4" s="1"/>
  <c r="CZ59" i="4"/>
  <c r="CZ72" i="4"/>
  <c r="DB72" i="4" s="1"/>
  <c r="DC72" i="4" s="1"/>
  <c r="CZ63" i="4"/>
  <c r="CF19" i="4"/>
  <c r="CI51" i="4"/>
  <c r="CK51" i="4" s="1"/>
  <c r="CE67" i="4"/>
  <c r="CZ104" i="4"/>
  <c r="CF33" i="4"/>
  <c r="CE75" i="4"/>
  <c r="CF50" i="4"/>
  <c r="CZ102" i="4"/>
  <c r="CJ77" i="4"/>
  <c r="DA77" i="4" s="1"/>
  <c r="CI33" i="4"/>
  <c r="CK33" i="4" s="1"/>
  <c r="CK49" i="4"/>
  <c r="DA49" i="4" s="1"/>
  <c r="CF67" i="4"/>
  <c r="CI75" i="4"/>
  <c r="CK75" i="4" s="1"/>
  <c r="CF65" i="4"/>
  <c r="CE91" i="4"/>
  <c r="CZ64" i="4"/>
  <c r="CZ61" i="4"/>
  <c r="CZ108" i="4"/>
  <c r="CJ94" i="4"/>
  <c r="CZ39" i="4"/>
  <c r="CF99" i="4"/>
  <c r="CI50" i="4"/>
  <c r="CJ50" i="4" s="1"/>
  <c r="CE19" i="4"/>
  <c r="CE85" i="4"/>
  <c r="CE92" i="4"/>
  <c r="CZ53" i="4"/>
  <c r="CZ71" i="4"/>
  <c r="CZ82" i="4"/>
  <c r="CE36" i="4"/>
  <c r="CF36" i="4"/>
  <c r="DA98" i="4"/>
  <c r="DB98" i="4" s="1"/>
  <c r="DC98" i="4" s="1"/>
  <c r="CZ77" i="4"/>
  <c r="CZ22" i="4"/>
  <c r="CK108" i="4"/>
  <c r="CZ70" i="4"/>
  <c r="CZ21" i="4"/>
  <c r="CK102" i="4"/>
  <c r="CI85" i="4"/>
  <c r="CJ85" i="4" s="1"/>
  <c r="CZ87" i="4"/>
  <c r="DB87" i="4" s="1"/>
  <c r="DC87" i="4" s="1"/>
  <c r="DA38" i="4"/>
  <c r="CI44" i="4"/>
  <c r="CK44" i="4" s="1"/>
  <c r="DA74" i="4"/>
  <c r="CK19" i="4"/>
  <c r="CK82" i="4"/>
  <c r="DA82" i="4" s="1"/>
  <c r="CZ93" i="4"/>
  <c r="CZ105" i="4"/>
  <c r="CZ66" i="4"/>
  <c r="CJ59" i="4"/>
  <c r="DA59" i="4" s="1"/>
  <c r="CA114" i="4"/>
  <c r="CZ49" i="4"/>
  <c r="CK32" i="4"/>
  <c r="DA40" i="4"/>
  <c r="CZ86" i="4"/>
  <c r="CZ25" i="4"/>
  <c r="CZ28" i="4"/>
  <c r="CZ79" i="4"/>
  <c r="CJ71" i="4"/>
  <c r="CF73" i="4"/>
  <c r="CZ98" i="4"/>
  <c r="CZ38" i="4"/>
  <c r="DB38" i="4" s="1"/>
  <c r="DC38" i="4" s="1"/>
  <c r="CZ56" i="4"/>
  <c r="CZ48" i="4"/>
  <c r="CF44" i="4"/>
  <c r="CF83" i="4"/>
  <c r="CZ107" i="4"/>
  <c r="CJ61" i="4"/>
  <c r="CF85" i="4"/>
  <c r="CF101" i="4"/>
  <c r="CZ34" i="4"/>
  <c r="CZ24" i="4"/>
  <c r="CZ95" i="4"/>
  <c r="CZ29" i="4"/>
  <c r="CZ74" i="4"/>
  <c r="DB74" i="4" s="1"/>
  <c r="DC74" i="4" s="1"/>
  <c r="CK70" i="4"/>
  <c r="CJ70" i="4"/>
  <c r="CJ84" i="4"/>
  <c r="CK84" i="4"/>
  <c r="CJ109" i="4"/>
  <c r="CK76" i="4"/>
  <c r="CJ76" i="4"/>
  <c r="CK56" i="4"/>
  <c r="CJ56" i="4"/>
  <c r="CK62" i="4"/>
  <c r="CJ62" i="4"/>
  <c r="CJ60" i="4"/>
  <c r="CK60" i="4"/>
  <c r="CK55" i="4"/>
  <c r="CJ55" i="4"/>
  <c r="CK79" i="4"/>
  <c r="CJ79" i="4"/>
  <c r="CJ54" i="4"/>
  <c r="CK54" i="4"/>
  <c r="CZ69" i="4"/>
  <c r="CZ37" i="4"/>
  <c r="CK112" i="4"/>
  <c r="CJ112" i="4"/>
  <c r="CZ60" i="4"/>
  <c r="CI88" i="4"/>
  <c r="CE88" i="4"/>
  <c r="CF88" i="4"/>
  <c r="CZ41" i="4"/>
  <c r="CK107" i="4"/>
  <c r="CJ107" i="4"/>
  <c r="CK95" i="4"/>
  <c r="CJ95" i="4"/>
  <c r="DA87" i="4"/>
  <c r="CZ106" i="4"/>
  <c r="CZ111" i="4"/>
  <c r="CZ97" i="4"/>
  <c r="CK93" i="4"/>
  <c r="CJ93" i="4"/>
  <c r="CJ42" i="4"/>
  <c r="CK42" i="4"/>
  <c r="CJ83" i="4"/>
  <c r="CK83" i="4"/>
  <c r="CZ78" i="4"/>
  <c r="CJ67" i="4"/>
  <c r="CK67" i="4"/>
  <c r="CK106" i="4"/>
  <c r="CJ106" i="4"/>
  <c r="CK48" i="4"/>
  <c r="CJ48" i="4"/>
  <c r="CK111" i="4"/>
  <c r="CJ111" i="4"/>
  <c r="CK23" i="4"/>
  <c r="CJ23" i="4"/>
  <c r="CZ55" i="4"/>
  <c r="CK34" i="4"/>
  <c r="CJ34" i="4"/>
  <c r="DA63" i="4"/>
  <c r="CK68" i="4"/>
  <c r="CJ68" i="4"/>
  <c r="CJ25" i="4"/>
  <c r="CK25" i="4"/>
  <c r="CJ78" i="4"/>
  <c r="CK78" i="4"/>
  <c r="CZ112" i="4"/>
  <c r="CK22" i="4"/>
  <c r="CJ22" i="4"/>
  <c r="CZ42" i="4"/>
  <c r="CK43" i="4"/>
  <c r="CJ41" i="4"/>
  <c r="CK41" i="4"/>
  <c r="CK47" i="4"/>
  <c r="CJ47" i="4"/>
  <c r="CB114" i="4"/>
  <c r="CI18" i="4"/>
  <c r="CE18" i="4"/>
  <c r="CF18" i="4"/>
  <c r="CK24" i="4"/>
  <c r="CJ24" i="4"/>
  <c r="CJ66" i="4"/>
  <c r="CK66" i="4"/>
  <c r="CK81" i="4"/>
  <c r="CJ81" i="4"/>
  <c r="CZ23" i="4"/>
  <c r="CZ84" i="4"/>
  <c r="CK28" i="4"/>
  <c r="CJ28" i="4"/>
  <c r="DA113" i="4"/>
  <c r="CJ97" i="4"/>
  <c r="CK97" i="4"/>
  <c r="CK21" i="4"/>
  <c r="CJ21" i="4"/>
  <c r="CZ81" i="4"/>
  <c r="CK37" i="4"/>
  <c r="CJ37" i="4"/>
  <c r="CK29" i="4"/>
  <c r="CJ29" i="4"/>
  <c r="CJ90" i="4"/>
  <c r="CK90" i="4"/>
  <c r="CK53" i="4"/>
  <c r="CJ53" i="4"/>
  <c r="CE20" i="4"/>
  <c r="CF20" i="4"/>
  <c r="CK104" i="4"/>
  <c r="CJ104" i="4"/>
  <c r="CK39" i="4"/>
  <c r="CJ39" i="4"/>
  <c r="CK69" i="4"/>
  <c r="CJ69" i="4"/>
  <c r="CK86" i="4"/>
  <c r="CJ86" i="4"/>
  <c r="CC12" i="1"/>
  <c r="DB83" i="4" l="1"/>
  <c r="DC83" i="4" s="1"/>
  <c r="DB110" i="4"/>
  <c r="DC110" i="4" s="1"/>
  <c r="DB80" i="4"/>
  <c r="DC80" i="4" s="1"/>
  <c r="DB113" i="4"/>
  <c r="DC113" i="4" s="1"/>
  <c r="DB82" i="4"/>
  <c r="DC82" i="4" s="1"/>
  <c r="DB41" i="4"/>
  <c r="DC41" i="4" s="1"/>
  <c r="DB39" i="4"/>
  <c r="DC39" i="4" s="1"/>
  <c r="DB107" i="4"/>
  <c r="DC107" i="4" s="1"/>
  <c r="DB62" i="4"/>
  <c r="DC62" i="4" s="1"/>
  <c r="DB56" i="4"/>
  <c r="DC56" i="4" s="1"/>
  <c r="DB65" i="4"/>
  <c r="DC65" i="4" s="1"/>
  <c r="DB93" i="4"/>
  <c r="DC93" i="4" s="1"/>
  <c r="DB86" i="4"/>
  <c r="DC86" i="4" s="1"/>
  <c r="DB105" i="4"/>
  <c r="DC105" i="4" s="1"/>
  <c r="DB49" i="4"/>
  <c r="DC49" i="4" s="1"/>
  <c r="CJ30" i="4"/>
  <c r="DB58" i="4"/>
  <c r="DC58" i="4" s="1"/>
  <c r="DB59" i="4"/>
  <c r="DC59" i="4" s="1"/>
  <c r="DA32" i="4"/>
  <c r="DB32" i="4"/>
  <c r="DC32" i="4" s="1"/>
  <c r="DA108" i="4"/>
  <c r="DB108" i="4" s="1"/>
  <c r="DC108" i="4" s="1"/>
  <c r="DA94" i="4"/>
  <c r="DB94" i="4" s="1"/>
  <c r="DC94" i="4" s="1"/>
  <c r="DB77" i="4"/>
  <c r="DC77" i="4" s="1"/>
  <c r="DB64" i="4"/>
  <c r="DC64" i="4" s="1"/>
  <c r="DB63" i="4"/>
  <c r="DC63" i="4" s="1"/>
  <c r="DB31" i="4"/>
  <c r="DC31" i="4" s="1"/>
  <c r="CZ54" i="4"/>
  <c r="DB54" i="4" s="1"/>
  <c r="DC54" i="4" s="1"/>
  <c r="CK100" i="4"/>
  <c r="DA100" i="4" s="1"/>
  <c r="CZ45" i="4"/>
  <c r="CJ46" i="4"/>
  <c r="DA46" i="4" s="1"/>
  <c r="CJ45" i="4"/>
  <c r="CZ51" i="4"/>
  <c r="DA28" i="4"/>
  <c r="DB28" i="4" s="1"/>
  <c r="DC28" i="4" s="1"/>
  <c r="CZ46" i="4"/>
  <c r="CZ99" i="4"/>
  <c r="DA70" i="4"/>
  <c r="DB70" i="4" s="1"/>
  <c r="DC70" i="4" s="1"/>
  <c r="CJ26" i="4"/>
  <c r="DA26" i="4" s="1"/>
  <c r="CJ96" i="4"/>
  <c r="DA39" i="4"/>
  <c r="DA21" i="4"/>
  <c r="DB21" i="4" s="1"/>
  <c r="DC21" i="4" s="1"/>
  <c r="CJ99" i="4"/>
  <c r="DA99" i="4" s="1"/>
  <c r="CJ73" i="4"/>
  <c r="DA73" i="4" s="1"/>
  <c r="CZ27" i="4"/>
  <c r="CZ96" i="4"/>
  <c r="CZ109" i="4"/>
  <c r="CK101" i="4"/>
  <c r="CK35" i="4"/>
  <c r="DA35" i="4" s="1"/>
  <c r="CZ73" i="4"/>
  <c r="CJ92" i="4"/>
  <c r="DA92" i="4" s="1"/>
  <c r="CJ51" i="4"/>
  <c r="DA51" i="4" s="1"/>
  <c r="CZ33" i="4"/>
  <c r="CZ100" i="4"/>
  <c r="CZ68" i="4"/>
  <c r="CK89" i="4"/>
  <c r="DA89" i="4" s="1"/>
  <c r="CJ33" i="4"/>
  <c r="DA33" i="4" s="1"/>
  <c r="CK50" i="4"/>
  <c r="DA50" i="4" s="1"/>
  <c r="CZ26" i="4"/>
  <c r="CJ27" i="4"/>
  <c r="DA27" i="4" s="1"/>
  <c r="CZ35" i="4"/>
  <c r="DA76" i="4"/>
  <c r="DB76" i="4" s="1"/>
  <c r="DC76" i="4" s="1"/>
  <c r="DA52" i="4"/>
  <c r="CZ89" i="4"/>
  <c r="CZ52" i="4"/>
  <c r="DB52" i="4" s="1"/>
  <c r="DC52" i="4" s="1"/>
  <c r="DA65" i="4"/>
  <c r="CZ36" i="4"/>
  <c r="DA91" i="4"/>
  <c r="CZ75" i="4"/>
  <c r="CJ57" i="4"/>
  <c r="CZ65" i="4"/>
  <c r="CZ57" i="4"/>
  <c r="CZ67" i="4"/>
  <c r="DA62" i="4"/>
  <c r="CZ91" i="4"/>
  <c r="DA24" i="4"/>
  <c r="DB24" i="4" s="1"/>
  <c r="DC24" i="4" s="1"/>
  <c r="DA112" i="4"/>
  <c r="DB112" i="4" s="1"/>
  <c r="DC112" i="4" s="1"/>
  <c r="CJ44" i="4"/>
  <c r="DA44" i="4" s="1"/>
  <c r="DA86" i="4"/>
  <c r="DA93" i="4"/>
  <c r="DA19" i="4"/>
  <c r="CZ50" i="4"/>
  <c r="CJ75" i="4"/>
  <c r="DA75" i="4" s="1"/>
  <c r="DA69" i="4"/>
  <c r="DB69" i="4" s="1"/>
  <c r="DC69" i="4" s="1"/>
  <c r="DA37" i="4"/>
  <c r="DB37" i="4" s="1"/>
  <c r="DC37" i="4" s="1"/>
  <c r="DA42" i="4"/>
  <c r="DB42" i="4" s="1"/>
  <c r="DC42" i="4" s="1"/>
  <c r="DA60" i="4"/>
  <c r="DB60" i="4" s="1"/>
  <c r="DC60" i="4" s="1"/>
  <c r="CZ101" i="4"/>
  <c r="DA67" i="4"/>
  <c r="DA95" i="4"/>
  <c r="DB95" i="4" s="1"/>
  <c r="DC95" i="4" s="1"/>
  <c r="CZ92" i="4"/>
  <c r="DA36" i="4"/>
  <c r="DA66" i="4"/>
  <c r="DB66" i="4" s="1"/>
  <c r="DC66" i="4" s="1"/>
  <c r="DA109" i="4"/>
  <c r="CZ19" i="4"/>
  <c r="CK85" i="4"/>
  <c r="DA85" i="4" s="1"/>
  <c r="DA102" i="4"/>
  <c r="DB102" i="4" s="1"/>
  <c r="DC102" i="4" s="1"/>
  <c r="CZ85" i="4"/>
  <c r="CZ88" i="4"/>
  <c r="DA47" i="4"/>
  <c r="DB47" i="4" s="1"/>
  <c r="DC47" i="4" s="1"/>
  <c r="DA23" i="4"/>
  <c r="DB23" i="4" s="1"/>
  <c r="DC23" i="4" s="1"/>
  <c r="DA20" i="4"/>
  <c r="DA79" i="4"/>
  <c r="DB79" i="4" s="1"/>
  <c r="DC79" i="4" s="1"/>
  <c r="DA56" i="4"/>
  <c r="CZ44" i="4"/>
  <c r="DA81" i="4"/>
  <c r="DB81" i="4" s="1"/>
  <c r="DC81" i="4" s="1"/>
  <c r="DA22" i="4"/>
  <c r="DB22" i="4" s="1"/>
  <c r="DC22" i="4" s="1"/>
  <c r="DA61" i="4"/>
  <c r="DB61" i="4" s="1"/>
  <c r="DC61" i="4" s="1"/>
  <c r="DA48" i="4"/>
  <c r="DB48" i="4" s="1"/>
  <c r="DC48" i="4" s="1"/>
  <c r="DA90" i="4"/>
  <c r="DB90" i="4" s="1"/>
  <c r="DC90" i="4" s="1"/>
  <c r="DA111" i="4"/>
  <c r="DB111" i="4" s="1"/>
  <c r="DC111" i="4" s="1"/>
  <c r="DA43" i="4"/>
  <c r="DB43" i="4" s="1"/>
  <c r="DC43" i="4" s="1"/>
  <c r="DA25" i="4"/>
  <c r="DB25" i="4" s="1"/>
  <c r="DC25" i="4" s="1"/>
  <c r="CZ20" i="4"/>
  <c r="CF114" i="4"/>
  <c r="DA68" i="4"/>
  <c r="DA106" i="4"/>
  <c r="DB106" i="4" s="1"/>
  <c r="DC106" i="4" s="1"/>
  <c r="DA71" i="4"/>
  <c r="DB71" i="4" s="1"/>
  <c r="DC71" i="4" s="1"/>
  <c r="CD114" i="4"/>
  <c r="DA54" i="4"/>
  <c r="DA29" i="4"/>
  <c r="DB29" i="4" s="1"/>
  <c r="DC29" i="4" s="1"/>
  <c r="CE114" i="4"/>
  <c r="DA53" i="4"/>
  <c r="DB53" i="4" s="1"/>
  <c r="DC53" i="4" s="1"/>
  <c r="DA97" i="4"/>
  <c r="DB97" i="4" s="1"/>
  <c r="DC97" i="4" s="1"/>
  <c r="DA78" i="4"/>
  <c r="DB78" i="4" s="1"/>
  <c r="DC78" i="4" s="1"/>
  <c r="DA30" i="4"/>
  <c r="DB30" i="4" s="1"/>
  <c r="DC30" i="4" s="1"/>
  <c r="DA107" i="4"/>
  <c r="DA34" i="4"/>
  <c r="DB34" i="4" s="1"/>
  <c r="DC34" i="4" s="1"/>
  <c r="DA41" i="4"/>
  <c r="CI114" i="4"/>
  <c r="CK18" i="4"/>
  <c r="CJ18" i="4"/>
  <c r="DA104" i="4"/>
  <c r="DB104" i="4" s="1"/>
  <c r="DC104" i="4" s="1"/>
  <c r="DA84" i="4"/>
  <c r="DB84" i="4" s="1"/>
  <c r="DC84" i="4" s="1"/>
  <c r="CZ18" i="4"/>
  <c r="CC114" i="4"/>
  <c r="CK88" i="4"/>
  <c r="CJ88" i="4"/>
  <c r="DA55" i="4"/>
  <c r="DB55" i="4" s="1"/>
  <c r="DC55" i="4" s="1"/>
  <c r="DD114" i="1"/>
  <c r="BV83" i="1"/>
  <c r="BU83" i="1"/>
  <c r="BT83" i="1"/>
  <c r="BS83" i="1"/>
  <c r="DB91" i="4" l="1"/>
  <c r="DC91" i="4" s="1"/>
  <c r="DB20" i="4"/>
  <c r="DC20" i="4" s="1"/>
  <c r="DB51" i="4"/>
  <c r="DC51" i="4" s="1"/>
  <c r="DB27" i="4"/>
  <c r="DC27" i="4" s="1"/>
  <c r="DB36" i="4"/>
  <c r="DC36" i="4" s="1"/>
  <c r="DB67" i="4"/>
  <c r="DC67" i="4" s="1"/>
  <c r="DB89" i="4"/>
  <c r="DC89" i="4" s="1"/>
  <c r="DB19" i="4"/>
  <c r="DC19" i="4" s="1"/>
  <c r="DB68" i="4"/>
  <c r="DC68" i="4" s="1"/>
  <c r="DB109" i="4"/>
  <c r="DC109" i="4" s="1"/>
  <c r="DA45" i="4"/>
  <c r="DB45" i="4"/>
  <c r="DC45" i="4" s="1"/>
  <c r="DB92" i="4"/>
  <c r="DC92" i="4" s="1"/>
  <c r="DA101" i="4"/>
  <c r="DB101" i="4" s="1"/>
  <c r="DC101" i="4" s="1"/>
  <c r="DA96" i="4"/>
  <c r="DB96" i="4"/>
  <c r="DC96" i="4" s="1"/>
  <c r="DB73" i="4"/>
  <c r="DC73" i="4" s="1"/>
  <c r="DB44" i="4"/>
  <c r="DC44" i="4" s="1"/>
  <c r="DB85" i="4"/>
  <c r="DC85" i="4" s="1"/>
  <c r="DB100" i="4"/>
  <c r="DC100" i="4" s="1"/>
  <c r="DB50" i="4"/>
  <c r="DC50" i="4" s="1"/>
  <c r="DB35" i="4"/>
  <c r="DC35" i="4" s="1"/>
  <c r="DB33" i="4"/>
  <c r="DC33" i="4" s="1"/>
  <c r="DB75" i="4"/>
  <c r="DC75" i="4" s="1"/>
  <c r="DA57" i="4"/>
  <c r="DB57" i="4" s="1"/>
  <c r="DC57" i="4" s="1"/>
  <c r="DB46" i="4"/>
  <c r="DC46" i="4" s="1"/>
  <c r="DB99" i="4"/>
  <c r="DC99" i="4" s="1"/>
  <c r="DB26" i="4"/>
  <c r="DC26" i="4" s="1"/>
  <c r="DE58" i="4"/>
  <c r="DE97" i="4"/>
  <c r="DE54" i="4"/>
  <c r="DE83" i="4"/>
  <c r="DE111" i="4"/>
  <c r="DE22" i="4"/>
  <c r="DE56" i="4"/>
  <c r="DE47" i="4"/>
  <c r="DE82" i="4"/>
  <c r="DE105" i="4"/>
  <c r="DE37" i="4"/>
  <c r="DE94" i="4"/>
  <c r="DE112" i="4"/>
  <c r="DE103" i="4"/>
  <c r="DE84" i="4"/>
  <c r="DE107" i="4"/>
  <c r="DE53" i="4"/>
  <c r="DE106" i="4"/>
  <c r="DE62" i="4"/>
  <c r="DE90" i="4"/>
  <c r="DE81" i="4"/>
  <c r="DE79" i="4"/>
  <c r="DE95" i="4"/>
  <c r="DE60" i="4"/>
  <c r="DE69" i="4"/>
  <c r="DE77" i="4"/>
  <c r="DE24" i="4"/>
  <c r="DE108" i="4"/>
  <c r="DE80" i="4"/>
  <c r="DE76" i="4"/>
  <c r="DE21" i="4"/>
  <c r="DE38" i="4"/>
  <c r="DE55" i="4"/>
  <c r="DE25" i="4"/>
  <c r="DE98" i="4"/>
  <c r="DE49" i="4"/>
  <c r="DE93" i="4"/>
  <c r="DE64" i="4"/>
  <c r="DE110" i="4"/>
  <c r="DE39" i="4"/>
  <c r="DE70" i="4"/>
  <c r="DE34" i="4"/>
  <c r="DE28" i="4"/>
  <c r="DE30" i="4"/>
  <c r="DE71" i="4"/>
  <c r="DE48" i="4"/>
  <c r="DE66" i="4"/>
  <c r="DE87" i="4"/>
  <c r="DE72" i="4"/>
  <c r="DE104" i="4"/>
  <c r="DE41" i="4"/>
  <c r="DE78" i="4"/>
  <c r="DE29" i="4"/>
  <c r="DE43" i="4"/>
  <c r="DE61" i="4"/>
  <c r="DE23" i="4"/>
  <c r="DE102" i="4"/>
  <c r="DE42" i="4"/>
  <c r="DE59" i="4"/>
  <c r="DE86" i="4"/>
  <c r="DE113" i="4"/>
  <c r="DE31" i="4"/>
  <c r="DE40" i="4"/>
  <c r="DE32" i="4"/>
  <c r="DE74" i="4"/>
  <c r="DE63" i="4"/>
  <c r="DA88" i="4"/>
  <c r="DB88" i="4" s="1"/>
  <c r="DC88" i="4" s="1"/>
  <c r="CK114" i="4"/>
  <c r="CZ114" i="4"/>
  <c r="CJ114" i="4"/>
  <c r="DA18" i="4"/>
  <c r="A29" i="1"/>
  <c r="A110" i="1"/>
  <c r="A32" i="1"/>
  <c r="A80" i="1"/>
  <c r="A50" i="1"/>
  <c r="A41" i="1"/>
  <c r="A24" i="1"/>
  <c r="A28" i="1"/>
  <c r="A30" i="1"/>
  <c r="A31" i="1"/>
  <c r="A33" i="1"/>
  <c r="A34" i="1"/>
  <c r="A36" i="1"/>
  <c r="A37" i="1"/>
  <c r="A38" i="1"/>
  <c r="A40" i="1"/>
  <c r="A44" i="1"/>
  <c r="A46" i="1"/>
  <c r="A47" i="1"/>
  <c r="A51" i="1"/>
  <c r="A52" i="1"/>
  <c r="A53" i="1"/>
  <c r="A54" i="1"/>
  <c r="A56" i="1"/>
  <c r="A57" i="1"/>
  <c r="A60" i="1"/>
  <c r="A62" i="1"/>
  <c r="A64" i="1"/>
  <c r="A65" i="1"/>
  <c r="A66" i="1"/>
  <c r="A67" i="1"/>
  <c r="A68" i="1"/>
  <c r="A70" i="1"/>
  <c r="A72" i="1"/>
  <c r="A74" i="1"/>
  <c r="A77" i="1"/>
  <c r="A79" i="1"/>
  <c r="A86" i="1"/>
  <c r="A90" i="1"/>
  <c r="A91" i="1"/>
  <c r="A92" i="1"/>
  <c r="A93" i="1"/>
  <c r="A94" i="1"/>
  <c r="A95" i="1"/>
  <c r="A96" i="1"/>
  <c r="A97" i="1"/>
  <c r="A98" i="1"/>
  <c r="A99" i="1"/>
  <c r="A101" i="1"/>
  <c r="A104" i="1"/>
  <c r="A106" i="1"/>
  <c r="A112" i="1"/>
  <c r="A107" i="1"/>
  <c r="A73" i="1"/>
  <c r="A88" i="1"/>
  <c r="A20" i="1"/>
  <c r="A63" i="1"/>
  <c r="A89" i="1"/>
  <c r="A22" i="1"/>
  <c r="A42" i="1"/>
  <c r="A43" i="1"/>
  <c r="A48" i="1"/>
  <c r="A58" i="1"/>
  <c r="A75" i="1"/>
  <c r="A85" i="1"/>
  <c r="A102" i="1"/>
  <c r="A105" i="1"/>
  <c r="A108" i="1"/>
  <c r="A109" i="1"/>
  <c r="A21" i="1"/>
  <c r="A84" i="1"/>
  <c r="A26" i="1"/>
  <c r="A59" i="1"/>
  <c r="A61" i="1"/>
  <c r="A49" i="1"/>
  <c r="A111" i="1"/>
  <c r="A18" i="1"/>
  <c r="A27" i="1"/>
  <c r="A25" i="1"/>
  <c r="A76" i="1"/>
  <c r="A78" i="1"/>
  <c r="A19" i="1"/>
  <c r="A103" i="1"/>
  <c r="A71" i="1"/>
  <c r="A35" i="1"/>
  <c r="A39" i="1"/>
  <c r="A69" i="1"/>
  <c r="A55" i="1"/>
  <c r="A113" i="1"/>
  <c r="A45" i="1"/>
  <c r="A83" i="1"/>
  <c r="A82" i="1"/>
  <c r="A81" i="1"/>
  <c r="A23" i="1"/>
  <c r="A100" i="1"/>
  <c r="A87" i="1"/>
  <c r="DE99" i="4" l="1"/>
  <c r="DE45" i="4"/>
  <c r="DE46" i="4"/>
  <c r="DE88" i="4"/>
  <c r="DE101" i="4"/>
  <c r="DE57" i="4"/>
  <c r="DE68" i="4"/>
  <c r="DE89" i="4"/>
  <c r="DE109" i="4"/>
  <c r="DE44" i="4"/>
  <c r="DE92" i="4"/>
  <c r="DE26" i="4"/>
  <c r="DE52" i="4"/>
  <c r="DE73" i="4"/>
  <c r="DE100" i="4"/>
  <c r="DE20" i="4"/>
  <c r="DE19" i="4"/>
  <c r="DE85" i="4"/>
  <c r="DE35" i="4"/>
  <c r="DE96" i="4"/>
  <c r="DE65" i="4"/>
  <c r="DE27" i="4"/>
  <c r="DE50" i="4"/>
  <c r="DE75" i="4"/>
  <c r="DE36" i="4"/>
  <c r="DE91" i="4"/>
  <c r="DE67" i="4"/>
  <c r="DE33" i="4"/>
  <c r="DE51" i="4"/>
  <c r="A114" i="1"/>
  <c r="DA114" i="4"/>
  <c r="DB18" i="4"/>
  <c r="CO114" i="1"/>
  <c r="DB114" i="4" l="1"/>
  <c r="DB119" i="1" s="1"/>
  <c r="DC18" i="4"/>
  <c r="DC114" i="4" s="1"/>
  <c r="X114" i="1"/>
  <c r="DE18" i="4" l="1"/>
  <c r="DE114" i="4" s="1"/>
  <c r="CI36" i="1"/>
  <c r="CI38" i="1"/>
  <c r="CI52" i="1"/>
  <c r="CI65" i="1"/>
  <c r="CI74" i="1"/>
  <c r="CI91" i="1"/>
  <c r="CI98" i="1"/>
  <c r="CI20" i="1"/>
  <c r="CI63" i="1"/>
  <c r="CI87" i="1" l="1"/>
  <c r="AA5" i="1" l="1"/>
  <c r="AA6" i="1"/>
  <c r="AA7" i="1"/>
  <c r="AA8" i="1"/>
  <c r="AA9" i="1"/>
  <c r="AA10" i="1"/>
  <c r="AA11" i="1"/>
  <c r="AA4" i="1"/>
  <c r="P98" i="1" l="1"/>
  <c r="P90" i="1"/>
  <c r="P82" i="1"/>
  <c r="P74" i="1"/>
  <c r="P50" i="1"/>
  <c r="P42" i="1"/>
  <c r="P34" i="1"/>
  <c r="P31" i="1"/>
  <c r="P79" i="1"/>
  <c r="P71" i="1"/>
  <c r="P63" i="1"/>
  <c r="P55" i="1"/>
  <c r="P39" i="1"/>
  <c r="P23" i="1"/>
  <c r="P110" i="1"/>
  <c r="P102" i="1"/>
  <c r="P94" i="1"/>
  <c r="P70" i="1"/>
  <c r="P62" i="1"/>
  <c r="P54" i="1"/>
  <c r="P46" i="1"/>
  <c r="P30" i="1"/>
  <c r="P22" i="1"/>
  <c r="P104" i="1"/>
  <c r="P96" i="1"/>
  <c r="P88" i="1"/>
  <c r="P48" i="1"/>
  <c r="P41" i="1"/>
  <c r="P40" i="1"/>
  <c r="P68" i="1"/>
  <c r="P53" i="1"/>
  <c r="P28" i="1"/>
  <c r="P67" i="1"/>
  <c r="P24" i="1"/>
  <c r="P100" i="1"/>
  <c r="P45" i="1"/>
  <c r="P69" i="1"/>
  <c r="P44" i="1"/>
  <c r="P99" i="1"/>
  <c r="P83" i="1"/>
  <c r="P72" i="1"/>
  <c r="P33" i="1"/>
  <c r="P36" i="1"/>
  <c r="P29" i="1"/>
  <c r="P21" i="1"/>
  <c r="P81" i="1"/>
  <c r="P56" i="1"/>
  <c r="P77" i="1"/>
  <c r="P75" i="1"/>
  <c r="P64" i="1"/>
  <c r="P57" i="1"/>
  <c r="P43" i="1"/>
  <c r="P32" i="1"/>
  <c r="P113" i="1"/>
  <c r="P101" i="1"/>
  <c r="P97" i="1"/>
  <c r="P93" i="1"/>
  <c r="P89" i="1"/>
  <c r="P60" i="1"/>
  <c r="P35" i="1"/>
  <c r="P92" i="1"/>
  <c r="P87" i="1"/>
  <c r="P20" i="1"/>
  <c r="P106" i="1"/>
  <c r="P66" i="1"/>
  <c r="P58" i="1"/>
  <c r="P26" i="1"/>
  <c r="P111" i="1"/>
  <c r="P103" i="1"/>
  <c r="P95" i="1"/>
  <c r="P47" i="1"/>
  <c r="P86" i="1"/>
  <c r="P78" i="1"/>
  <c r="P38" i="1"/>
  <c r="P112" i="1"/>
  <c r="P80" i="1"/>
  <c r="P73" i="1"/>
  <c r="P59" i="1"/>
  <c r="P27" i="1"/>
  <c r="P65" i="1"/>
  <c r="P61" i="1"/>
  <c r="P49" i="1"/>
  <c r="P52" i="1"/>
  <c r="P76" i="1"/>
  <c r="P37" i="1"/>
  <c r="P107" i="1"/>
  <c r="P91" i="1"/>
  <c r="P51" i="1"/>
  <c r="P19" i="1"/>
  <c r="P84" i="1"/>
  <c r="P25" i="1"/>
  <c r="P109" i="1"/>
  <c r="P105" i="1"/>
  <c r="P85" i="1"/>
  <c r="P108" i="1"/>
  <c r="Y5" i="1"/>
  <c r="Y6" i="1"/>
  <c r="AB6" i="1" s="1"/>
  <c r="Y7" i="1"/>
  <c r="Y8" i="1"/>
  <c r="AB8" i="1" s="1"/>
  <c r="Y9" i="1"/>
  <c r="Y10" i="1"/>
  <c r="AB10" i="1" s="1"/>
  <c r="Y11" i="1"/>
  <c r="AB11" i="1" s="1"/>
  <c r="Y4" i="1"/>
  <c r="AB4" i="1" s="1"/>
  <c r="AB5" i="1" l="1"/>
  <c r="R108" i="1"/>
  <c r="R84" i="1"/>
  <c r="R76" i="1"/>
  <c r="R52" i="1"/>
  <c r="R25" i="1"/>
  <c r="R105" i="1"/>
  <c r="R73" i="1"/>
  <c r="R65" i="1"/>
  <c r="R49" i="1"/>
  <c r="R112" i="1"/>
  <c r="R80" i="1"/>
  <c r="R106" i="1"/>
  <c r="R107" i="1"/>
  <c r="R91" i="1"/>
  <c r="R51" i="1"/>
  <c r="R19" i="1"/>
  <c r="R38" i="1"/>
  <c r="R86" i="1"/>
  <c r="R61" i="1"/>
  <c r="R58" i="1"/>
  <c r="R47" i="1"/>
  <c r="R26" i="1"/>
  <c r="R109" i="1"/>
  <c r="R85" i="1"/>
  <c r="R78" i="1"/>
  <c r="R27" i="1"/>
  <c r="R111" i="1"/>
  <c r="R103" i="1"/>
  <c r="R95" i="1"/>
  <c r="R66" i="1"/>
  <c r="R59" i="1"/>
  <c r="R37" i="1"/>
  <c r="AB7" i="1"/>
  <c r="R100" i="1"/>
  <c r="R92" i="1"/>
  <c r="R68" i="1"/>
  <c r="R60" i="1"/>
  <c r="R44" i="1"/>
  <c r="R36" i="1"/>
  <c r="R28" i="1"/>
  <c r="R113" i="1"/>
  <c r="R97" i="1"/>
  <c r="R89" i="1"/>
  <c r="R81" i="1"/>
  <c r="R57" i="1"/>
  <c r="R41" i="1"/>
  <c r="R33" i="1"/>
  <c r="R104" i="1"/>
  <c r="R96" i="1"/>
  <c r="R88" i="1"/>
  <c r="R72" i="1"/>
  <c r="R64" i="1"/>
  <c r="R56" i="1"/>
  <c r="R48" i="1"/>
  <c r="R40" i="1"/>
  <c r="R32" i="1"/>
  <c r="R24" i="1"/>
  <c r="R98" i="1"/>
  <c r="R90" i="1"/>
  <c r="R99" i="1"/>
  <c r="R83" i="1"/>
  <c r="R75" i="1"/>
  <c r="R82" i="1"/>
  <c r="R50" i="1"/>
  <c r="R39" i="1"/>
  <c r="R62" i="1"/>
  <c r="R110" i="1"/>
  <c r="R102" i="1"/>
  <c r="R94" i="1"/>
  <c r="R79" i="1"/>
  <c r="R54" i="1"/>
  <c r="R29" i="1"/>
  <c r="R22" i="1"/>
  <c r="R43" i="1"/>
  <c r="R101" i="1"/>
  <c r="R93" i="1"/>
  <c r="R71" i="1"/>
  <c r="R53" i="1"/>
  <c r="R46" i="1"/>
  <c r="R21" i="1"/>
  <c r="R45" i="1"/>
  <c r="R31" i="1"/>
  <c r="R55" i="1"/>
  <c r="R67" i="1"/>
  <c r="R35" i="1"/>
  <c r="R77" i="1"/>
  <c r="R74" i="1"/>
  <c r="R70" i="1"/>
  <c r="R63" i="1"/>
  <c r="R42" i="1"/>
  <c r="R69" i="1"/>
  <c r="R23" i="1"/>
  <c r="R34" i="1"/>
  <c r="R30" i="1"/>
  <c r="AB9" i="1"/>
  <c r="R20" i="1"/>
  <c r="R87" i="1"/>
  <c r="V4" i="1"/>
  <c r="X14" i="1"/>
  <c r="V114" i="1" l="1"/>
  <c r="W114" i="1"/>
  <c r="AB114" i="1"/>
  <c r="AC114" i="1"/>
  <c r="AA114" i="1" l="1"/>
  <c r="Y114" i="1"/>
  <c r="CY114" i="1" l="1"/>
  <c r="CX114" i="1"/>
  <c r="CW114" i="1"/>
  <c r="CV114" i="1"/>
  <c r="CU114" i="1"/>
  <c r="CT114" i="1"/>
  <c r="CS114" i="1"/>
  <c r="CR114" i="1"/>
  <c r="CQ114" i="1"/>
  <c r="CP114" i="1"/>
  <c r="CN114" i="1"/>
  <c r="CM114" i="1"/>
  <c r="CH114" i="1"/>
  <c r="BZ114" i="1"/>
  <c r="BY114" i="1"/>
  <c r="BX114" i="1"/>
  <c r="BW114" i="1"/>
  <c r="BR114" i="1"/>
  <c r="BQ114" i="1"/>
  <c r="BO114" i="1"/>
  <c r="BN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S114" i="1"/>
  <c r="BV45" i="1"/>
  <c r="BU45" i="1"/>
  <c r="BT45" i="1"/>
  <c r="BS45" i="1"/>
  <c r="AU45" i="1"/>
  <c r="BP45" i="1" s="1"/>
  <c r="BV113" i="1"/>
  <c r="BU113" i="1"/>
  <c r="BT113" i="1"/>
  <c r="BS113" i="1"/>
  <c r="AU113" i="1"/>
  <c r="BP113" i="1" s="1"/>
  <c r="BI113" i="1"/>
  <c r="BV55" i="1"/>
  <c r="BU55" i="1"/>
  <c r="BT55" i="1"/>
  <c r="BS55" i="1"/>
  <c r="BC55" i="1"/>
  <c r="BV69" i="1"/>
  <c r="BU69" i="1"/>
  <c r="BT69" i="1"/>
  <c r="BS69" i="1"/>
  <c r="BE69" i="1"/>
  <c r="BV39" i="1"/>
  <c r="BU39" i="1"/>
  <c r="BT39" i="1"/>
  <c r="BS39" i="1"/>
  <c r="AY39" i="1"/>
  <c r="BV35" i="1"/>
  <c r="BU35" i="1"/>
  <c r="BT35" i="1"/>
  <c r="BS35" i="1"/>
  <c r="BE35" i="1"/>
  <c r="BV71" i="1"/>
  <c r="BU71" i="1"/>
  <c r="BT71" i="1"/>
  <c r="BS71" i="1"/>
  <c r="AU71" i="1"/>
  <c r="BP71" i="1" s="1"/>
  <c r="BI71" i="1"/>
  <c r="BV103" i="1"/>
  <c r="BU103" i="1"/>
  <c r="BT103" i="1"/>
  <c r="BS103" i="1"/>
  <c r="BM103" i="1"/>
  <c r="BV19" i="1"/>
  <c r="BU19" i="1"/>
  <c r="BT19" i="1"/>
  <c r="BS19" i="1"/>
  <c r="BM19" i="1"/>
  <c r="BV78" i="1"/>
  <c r="BU78" i="1"/>
  <c r="BT78" i="1"/>
  <c r="BS78" i="1"/>
  <c r="AU78" i="1"/>
  <c r="BB78" i="1"/>
  <c r="BV76" i="1"/>
  <c r="BU76" i="1"/>
  <c r="BT76" i="1"/>
  <c r="BS76" i="1"/>
  <c r="BM76" i="1"/>
  <c r="BF76" i="1"/>
  <c r="BV25" i="1"/>
  <c r="BU25" i="1"/>
  <c r="BT25" i="1"/>
  <c r="BS25" i="1"/>
  <c r="BA25" i="1"/>
  <c r="BV27" i="1"/>
  <c r="BU27" i="1"/>
  <c r="BT27" i="1"/>
  <c r="BS27" i="1"/>
  <c r="BM27" i="1"/>
  <c r="AX27" i="1"/>
  <c r="BV18" i="1"/>
  <c r="BU18" i="1"/>
  <c r="BT18" i="1"/>
  <c r="BS18" i="1"/>
  <c r="AU18" i="1"/>
  <c r="Q18" i="1"/>
  <c r="BI18" i="1" s="1"/>
  <c r="P18" i="1"/>
  <c r="BV111" i="1"/>
  <c r="BU111" i="1"/>
  <c r="BT111" i="1"/>
  <c r="BS111" i="1"/>
  <c r="BK111" i="1"/>
  <c r="BV49" i="1"/>
  <c r="BU49" i="1"/>
  <c r="BT49" i="1"/>
  <c r="BS49" i="1"/>
  <c r="AU49" i="1"/>
  <c r="BG49" i="1"/>
  <c r="BV61" i="1"/>
  <c r="BU61" i="1"/>
  <c r="BT61" i="1"/>
  <c r="BS61" i="1"/>
  <c r="BI61" i="1"/>
  <c r="BV59" i="1"/>
  <c r="BU59" i="1"/>
  <c r="BT59" i="1"/>
  <c r="BS59" i="1"/>
  <c r="AU59" i="1"/>
  <c r="BV26" i="1"/>
  <c r="BU26" i="1"/>
  <c r="BT26" i="1"/>
  <c r="BS26" i="1"/>
  <c r="AU26" i="1"/>
  <c r="BH26" i="1"/>
  <c r="BV84" i="1"/>
  <c r="BU84" i="1"/>
  <c r="BT84" i="1"/>
  <c r="BS84" i="1"/>
  <c r="AX84" i="1"/>
  <c r="BV21" i="1"/>
  <c r="BU21" i="1"/>
  <c r="BT21" i="1"/>
  <c r="BS21" i="1"/>
  <c r="BG21" i="1"/>
  <c r="BV109" i="1"/>
  <c r="BU109" i="1"/>
  <c r="BT109" i="1"/>
  <c r="BS109" i="1"/>
  <c r="BM109" i="1"/>
  <c r="BV108" i="1"/>
  <c r="BU108" i="1"/>
  <c r="BT108" i="1"/>
  <c r="BS108" i="1"/>
  <c r="BM108" i="1"/>
  <c r="BC108" i="1"/>
  <c r="BV105" i="1"/>
  <c r="BU105" i="1"/>
  <c r="BT105" i="1"/>
  <c r="BS105" i="1"/>
  <c r="BG105" i="1"/>
  <c r="BV102" i="1"/>
  <c r="BU102" i="1"/>
  <c r="BT102" i="1"/>
  <c r="BS102" i="1"/>
  <c r="BM102" i="1"/>
  <c r="BV85" i="1"/>
  <c r="BU85" i="1"/>
  <c r="BT85" i="1"/>
  <c r="BS85" i="1"/>
  <c r="AU85" i="1"/>
  <c r="BG85" i="1"/>
  <c r="BV75" i="1"/>
  <c r="BU75" i="1"/>
  <c r="BT75" i="1"/>
  <c r="BS75" i="1"/>
  <c r="AU75" i="1"/>
  <c r="BK75" i="1"/>
  <c r="BV58" i="1"/>
  <c r="BU58" i="1"/>
  <c r="BT58" i="1"/>
  <c r="BS58" i="1"/>
  <c r="BJ58" i="1"/>
  <c r="BV48" i="1"/>
  <c r="BU48" i="1"/>
  <c r="BT48" i="1"/>
  <c r="BS48" i="1"/>
  <c r="BM48" i="1"/>
  <c r="BV43" i="1"/>
  <c r="BU43" i="1"/>
  <c r="BT43" i="1"/>
  <c r="BS43" i="1"/>
  <c r="AU43" i="1"/>
  <c r="BP43" i="1" s="1"/>
  <c r="BI43" i="1"/>
  <c r="BV42" i="1"/>
  <c r="BU42" i="1"/>
  <c r="BT42" i="1"/>
  <c r="BS42" i="1"/>
  <c r="BJ42" i="1"/>
  <c r="BV22" i="1"/>
  <c r="BU22" i="1"/>
  <c r="BT22" i="1"/>
  <c r="BS22" i="1"/>
  <c r="AU22" i="1"/>
  <c r="BP22" i="1" s="1"/>
  <c r="AW22" i="1"/>
  <c r="BV89" i="1"/>
  <c r="BU89" i="1"/>
  <c r="BT89" i="1"/>
  <c r="BS89" i="1"/>
  <c r="AU89" i="1"/>
  <c r="BV63" i="1"/>
  <c r="BU63" i="1"/>
  <c r="BT63" i="1"/>
  <c r="BS63" i="1"/>
  <c r="AU63" i="1"/>
  <c r="BV20" i="1"/>
  <c r="BU20" i="1"/>
  <c r="BT20" i="1"/>
  <c r="BS20" i="1"/>
  <c r="AU20" i="1"/>
  <c r="BP20" i="1" s="1"/>
  <c r="BV88" i="1"/>
  <c r="BU88" i="1"/>
  <c r="BT88" i="1"/>
  <c r="BS88" i="1"/>
  <c r="AU88" i="1"/>
  <c r="BJ88" i="1"/>
  <c r="BV73" i="1"/>
  <c r="BU73" i="1"/>
  <c r="BT73" i="1"/>
  <c r="BS73" i="1"/>
  <c r="AU73" i="1"/>
  <c r="BP73" i="1" s="1"/>
  <c r="BV107" i="1"/>
  <c r="BU107" i="1"/>
  <c r="BT107" i="1"/>
  <c r="BS107" i="1"/>
  <c r="BM107" i="1"/>
  <c r="BV112" i="1"/>
  <c r="BU112" i="1"/>
  <c r="BT112" i="1"/>
  <c r="BS112" i="1"/>
  <c r="BM112" i="1"/>
  <c r="BB112" i="1"/>
  <c r="BV106" i="1"/>
  <c r="BU106" i="1"/>
  <c r="BT106" i="1"/>
  <c r="BS106" i="1"/>
  <c r="AU106" i="1"/>
  <c r="BP106" i="1" s="1"/>
  <c r="BB106" i="1"/>
  <c r="BV104" i="1"/>
  <c r="BU104" i="1"/>
  <c r="BT104" i="1"/>
  <c r="BS104" i="1"/>
  <c r="BM104" i="1"/>
  <c r="BV101" i="1"/>
  <c r="BU101" i="1"/>
  <c r="BT101" i="1"/>
  <c r="BS101" i="1"/>
  <c r="AU101" i="1"/>
  <c r="AX101" i="1"/>
  <c r="BV99" i="1"/>
  <c r="BU99" i="1"/>
  <c r="BT99" i="1"/>
  <c r="BS99" i="1"/>
  <c r="AY99" i="1"/>
  <c r="BV98" i="1"/>
  <c r="BU98" i="1"/>
  <c r="BT98" i="1"/>
  <c r="BS98" i="1"/>
  <c r="BV97" i="1"/>
  <c r="BU97" i="1"/>
  <c r="BT97" i="1"/>
  <c r="BS97" i="1"/>
  <c r="AU97" i="1"/>
  <c r="BF97" i="1"/>
  <c r="BV96" i="1"/>
  <c r="BU96" i="1"/>
  <c r="BT96" i="1"/>
  <c r="BS96" i="1"/>
  <c r="BV95" i="1"/>
  <c r="BU95" i="1"/>
  <c r="BT95" i="1"/>
  <c r="BS95" i="1"/>
  <c r="BM95" i="1"/>
  <c r="BV94" i="1"/>
  <c r="BU94" i="1"/>
  <c r="BT94" i="1"/>
  <c r="BS94" i="1"/>
  <c r="AU94" i="1"/>
  <c r="BB94" i="1"/>
  <c r="BV93" i="1"/>
  <c r="BU93" i="1"/>
  <c r="BT93" i="1"/>
  <c r="BS93" i="1"/>
  <c r="AU93" i="1"/>
  <c r="AY93" i="1"/>
  <c r="BV92" i="1"/>
  <c r="BU92" i="1"/>
  <c r="BT92" i="1"/>
  <c r="BS92" i="1"/>
  <c r="BM92" i="1"/>
  <c r="BG92" i="1"/>
  <c r="BV91" i="1"/>
  <c r="BU91" i="1"/>
  <c r="BT91" i="1"/>
  <c r="BS91" i="1"/>
  <c r="AU91" i="1"/>
  <c r="BB91" i="1"/>
  <c r="BV90" i="1"/>
  <c r="BU90" i="1"/>
  <c r="BT90" i="1"/>
  <c r="BS90" i="1"/>
  <c r="BM90" i="1"/>
  <c r="BV86" i="1"/>
  <c r="BU86" i="1"/>
  <c r="BT86" i="1"/>
  <c r="BS86" i="1"/>
  <c r="BJ86" i="1"/>
  <c r="BV79" i="1"/>
  <c r="BU79" i="1"/>
  <c r="BT79" i="1"/>
  <c r="BS79" i="1"/>
  <c r="AU79" i="1"/>
  <c r="BE79" i="1"/>
  <c r="BV77" i="1"/>
  <c r="BU77" i="1"/>
  <c r="BT77" i="1"/>
  <c r="BS77" i="1"/>
  <c r="AU77" i="1"/>
  <c r="BV74" i="1"/>
  <c r="BU74" i="1"/>
  <c r="BT74" i="1"/>
  <c r="BS74" i="1"/>
  <c r="AU74" i="1"/>
  <c r="BV72" i="1"/>
  <c r="BU72" i="1"/>
  <c r="BT72" i="1"/>
  <c r="BS72" i="1"/>
  <c r="AU72" i="1"/>
  <c r="BP72" i="1" s="1"/>
  <c r="BH72" i="1"/>
  <c r="BV70" i="1"/>
  <c r="BU70" i="1"/>
  <c r="BT70" i="1"/>
  <c r="BS70" i="1"/>
  <c r="BM70" i="1"/>
  <c r="BV68" i="1"/>
  <c r="BU68" i="1"/>
  <c r="BT68" i="1"/>
  <c r="BS68" i="1"/>
  <c r="AU68" i="1"/>
  <c r="BH68" i="1"/>
  <c r="BV67" i="1"/>
  <c r="BU67" i="1"/>
  <c r="BT67" i="1"/>
  <c r="BS67" i="1"/>
  <c r="AU67" i="1"/>
  <c r="BP67" i="1" s="1"/>
  <c r="BF67" i="1"/>
  <c r="BV66" i="1"/>
  <c r="BU66" i="1"/>
  <c r="BT66" i="1"/>
  <c r="BS66" i="1"/>
  <c r="BM66" i="1"/>
  <c r="BV65" i="1"/>
  <c r="BU65" i="1"/>
  <c r="BT65" i="1"/>
  <c r="BS65" i="1"/>
  <c r="BM65" i="1"/>
  <c r="BB65" i="1"/>
  <c r="BV64" i="1"/>
  <c r="BU64" i="1"/>
  <c r="BT64" i="1"/>
  <c r="BS64" i="1"/>
  <c r="AY64" i="1"/>
  <c r="BV62" i="1"/>
  <c r="BU62" i="1"/>
  <c r="BT62" i="1"/>
  <c r="BS62" i="1"/>
  <c r="BM62" i="1"/>
  <c r="BB62" i="1"/>
  <c r="BV60" i="1"/>
  <c r="BU60" i="1"/>
  <c r="BT60" i="1"/>
  <c r="BS60" i="1"/>
  <c r="BM60" i="1"/>
  <c r="BV57" i="1"/>
  <c r="BU57" i="1"/>
  <c r="BT57" i="1"/>
  <c r="BS57" i="1"/>
  <c r="BM57" i="1"/>
  <c r="BC57" i="1"/>
  <c r="BV56" i="1"/>
  <c r="BU56" i="1"/>
  <c r="BT56" i="1"/>
  <c r="BS56" i="1"/>
  <c r="BM56" i="1"/>
  <c r="BV54" i="1"/>
  <c r="BU54" i="1"/>
  <c r="BT54" i="1"/>
  <c r="BS54" i="1"/>
  <c r="BM54" i="1"/>
  <c r="BA54" i="1"/>
  <c r="BV53" i="1"/>
  <c r="BU53" i="1"/>
  <c r="BT53" i="1"/>
  <c r="BS53" i="1"/>
  <c r="BB53" i="1"/>
  <c r="BV52" i="1"/>
  <c r="BU52" i="1"/>
  <c r="BT52" i="1"/>
  <c r="BS52" i="1"/>
  <c r="BM52" i="1"/>
  <c r="BV51" i="1"/>
  <c r="BU51" i="1"/>
  <c r="BT51" i="1"/>
  <c r="BS51" i="1"/>
  <c r="BJ51" i="1"/>
  <c r="BV47" i="1"/>
  <c r="BU47" i="1"/>
  <c r="BT47" i="1"/>
  <c r="BS47" i="1"/>
  <c r="BK47" i="1"/>
  <c r="BV46" i="1"/>
  <c r="BU46" i="1"/>
  <c r="BT46" i="1"/>
  <c r="BS46" i="1"/>
  <c r="AU46" i="1"/>
  <c r="BV44" i="1"/>
  <c r="BU44" i="1"/>
  <c r="BT44" i="1"/>
  <c r="BS44" i="1"/>
  <c r="BM44" i="1"/>
  <c r="BK44" i="1"/>
  <c r="BV40" i="1"/>
  <c r="BU40" i="1"/>
  <c r="BT40" i="1"/>
  <c r="BS40" i="1"/>
  <c r="BG40" i="1"/>
  <c r="BV38" i="1"/>
  <c r="BU38" i="1"/>
  <c r="BT38" i="1"/>
  <c r="BS38" i="1"/>
  <c r="AU38" i="1"/>
  <c r="BP38" i="1" s="1"/>
  <c r="BB38" i="1"/>
  <c r="BV37" i="1"/>
  <c r="BU37" i="1"/>
  <c r="BT37" i="1"/>
  <c r="BS37" i="1"/>
  <c r="BI37" i="1"/>
  <c r="BV36" i="1"/>
  <c r="BU36" i="1"/>
  <c r="BT36" i="1"/>
  <c r="BS36" i="1"/>
  <c r="BM36" i="1"/>
  <c r="BV34" i="1"/>
  <c r="BU34" i="1"/>
  <c r="BT34" i="1"/>
  <c r="BS34" i="1"/>
  <c r="AU34" i="1"/>
  <c r="BP34" i="1" s="1"/>
  <c r="BV33" i="1"/>
  <c r="BU33" i="1"/>
  <c r="BT33" i="1"/>
  <c r="BS33" i="1"/>
  <c r="BM33" i="1"/>
  <c r="BK33" i="1"/>
  <c r="BV31" i="1"/>
  <c r="BU31" i="1"/>
  <c r="BT31" i="1"/>
  <c r="BS31" i="1"/>
  <c r="BM31" i="1"/>
  <c r="BV30" i="1"/>
  <c r="BU30" i="1"/>
  <c r="BT30" i="1"/>
  <c r="BS30" i="1"/>
  <c r="AU30" i="1"/>
  <c r="BP30" i="1" s="1"/>
  <c r="BI30" i="1"/>
  <c r="BV28" i="1"/>
  <c r="BU28" i="1"/>
  <c r="BT28" i="1"/>
  <c r="BS28" i="1"/>
  <c r="AW28" i="1"/>
  <c r="BV24" i="1"/>
  <c r="BU24" i="1"/>
  <c r="BT24" i="1"/>
  <c r="BS24" i="1"/>
  <c r="AU24" i="1"/>
  <c r="BC24" i="1"/>
  <c r="BV41" i="1"/>
  <c r="BU41" i="1"/>
  <c r="BT41" i="1"/>
  <c r="BS41" i="1"/>
  <c r="BM41" i="1"/>
  <c r="BI41" i="1"/>
  <c r="BV50" i="1"/>
  <c r="BU50" i="1"/>
  <c r="BT50" i="1"/>
  <c r="BS50" i="1"/>
  <c r="BM50" i="1"/>
  <c r="AY50" i="1"/>
  <c r="BV80" i="1"/>
  <c r="BU80" i="1"/>
  <c r="BT80" i="1"/>
  <c r="BS80" i="1"/>
  <c r="BM80" i="1"/>
  <c r="BV32" i="1"/>
  <c r="BU32" i="1"/>
  <c r="BT32" i="1"/>
  <c r="BS32" i="1"/>
  <c r="AU32" i="1"/>
  <c r="BP32" i="1" s="1"/>
  <c r="BV110" i="1"/>
  <c r="BU110" i="1"/>
  <c r="BT110" i="1"/>
  <c r="BS110" i="1"/>
  <c r="BM110" i="1"/>
  <c r="BV29" i="1"/>
  <c r="BU29" i="1"/>
  <c r="BT29" i="1"/>
  <c r="BS29" i="1"/>
  <c r="AU29" i="1"/>
  <c r="BP29" i="1" s="1"/>
  <c r="BV100" i="1"/>
  <c r="BU100" i="1"/>
  <c r="BT100" i="1"/>
  <c r="BS100" i="1"/>
  <c r="AU100" i="1"/>
  <c r="BP100" i="1" s="1"/>
  <c r="AY100" i="1"/>
  <c r="BV23" i="1"/>
  <c r="BU23" i="1"/>
  <c r="BT23" i="1"/>
  <c r="BS23" i="1"/>
  <c r="BM23" i="1"/>
  <c r="BF23" i="1"/>
  <c r="BV81" i="1"/>
  <c r="BU81" i="1"/>
  <c r="BT81" i="1"/>
  <c r="BS81" i="1"/>
  <c r="BM81" i="1"/>
  <c r="BV82" i="1"/>
  <c r="BU82" i="1"/>
  <c r="BT82" i="1"/>
  <c r="BS82" i="1"/>
  <c r="AU82" i="1"/>
  <c r="BV87" i="1"/>
  <c r="BU87" i="1"/>
  <c r="BT87" i="1"/>
  <c r="BS87" i="1"/>
  <c r="AU87" i="1"/>
  <c r="CJ87" i="1"/>
  <c r="AC11" i="1"/>
  <c r="AC10" i="1"/>
  <c r="AC9" i="1"/>
  <c r="AC8" i="1"/>
  <c r="AC7" i="1"/>
  <c r="AC6" i="1"/>
  <c r="AC5" i="1"/>
  <c r="AC4" i="1"/>
  <c r="Q4" i="1"/>
  <c r="U5" i="1" s="1"/>
  <c r="AV74" i="1" l="1"/>
  <c r="BB74" i="1"/>
  <c r="AV82" i="1"/>
  <c r="BL83" i="1"/>
  <c r="BL87" i="1"/>
  <c r="BC83" i="1"/>
  <c r="AX83" i="1"/>
  <c r="AY83" i="1"/>
  <c r="BK83" i="1"/>
  <c r="BH83" i="1"/>
  <c r="BB83" i="1"/>
  <c r="AZ83" i="1"/>
  <c r="AW83" i="1"/>
  <c r="BI83" i="1"/>
  <c r="BG83" i="1"/>
  <c r="BE83" i="1"/>
  <c r="BA83" i="1"/>
  <c r="BF83" i="1"/>
  <c r="BD83" i="1"/>
  <c r="BJ83" i="1"/>
  <c r="AU83" i="1"/>
  <c r="BP83" i="1" s="1"/>
  <c r="BM83" i="1"/>
  <c r="AZ102" i="1"/>
  <c r="BK56" i="1"/>
  <c r="AZ56" i="1"/>
  <c r="BL82" i="1"/>
  <c r="AY63" i="1"/>
  <c r="BB63" i="1"/>
  <c r="BK74" i="1"/>
  <c r="BF98" i="1"/>
  <c r="BB98" i="1"/>
  <c r="BJ20" i="1"/>
  <c r="BB20" i="1"/>
  <c r="BG36" i="1"/>
  <c r="BB36" i="1"/>
  <c r="BI87" i="1"/>
  <c r="BB87" i="1"/>
  <c r="BL33" i="1"/>
  <c r="BL88" i="1"/>
  <c r="BL30" i="1"/>
  <c r="BL108" i="1"/>
  <c r="BL76" i="1"/>
  <c r="BL25" i="1"/>
  <c r="AV83" i="1"/>
  <c r="BL58" i="1"/>
  <c r="BL102" i="1"/>
  <c r="BL19" i="1"/>
  <c r="BL97" i="1"/>
  <c r="BL38" i="1"/>
  <c r="BL63" i="1"/>
  <c r="BL107" i="1"/>
  <c r="BL94" i="1"/>
  <c r="BL21" i="1"/>
  <c r="AV48" i="1"/>
  <c r="BL66" i="1"/>
  <c r="BL68" i="1"/>
  <c r="BL110" i="1"/>
  <c r="BL80" i="1"/>
  <c r="BL95" i="1"/>
  <c r="BM113" i="1"/>
  <c r="BP93" i="1"/>
  <c r="BP75" i="1"/>
  <c r="BP101" i="1"/>
  <c r="BL112" i="1"/>
  <c r="BL105" i="1"/>
  <c r="BP78" i="1"/>
  <c r="BL103" i="1"/>
  <c r="BL35" i="1"/>
  <c r="BL113" i="1"/>
  <c r="BL62" i="1"/>
  <c r="BL65" i="1"/>
  <c r="BM38" i="1"/>
  <c r="BL29" i="1"/>
  <c r="BL34" i="1"/>
  <c r="BL37" i="1"/>
  <c r="BM97" i="1"/>
  <c r="BL89" i="1"/>
  <c r="BL109" i="1"/>
  <c r="BL32" i="1"/>
  <c r="BL28" i="1"/>
  <c r="BL92" i="1"/>
  <c r="BL48" i="1"/>
  <c r="BM43" i="1"/>
  <c r="BM32" i="1"/>
  <c r="BL79" i="1"/>
  <c r="BL100" i="1"/>
  <c r="BL51" i="1"/>
  <c r="BL104" i="1"/>
  <c r="BL85" i="1"/>
  <c r="BM106" i="1"/>
  <c r="BM85" i="1"/>
  <c r="BM101" i="1"/>
  <c r="BM68" i="1"/>
  <c r="BM91" i="1"/>
  <c r="BM82" i="1"/>
  <c r="BL101" i="1"/>
  <c r="BM29" i="1"/>
  <c r="BM79" i="1"/>
  <c r="BM100" i="1"/>
  <c r="BL23" i="1"/>
  <c r="BL52" i="1"/>
  <c r="BL54" i="1"/>
  <c r="BL106" i="1"/>
  <c r="BP91" i="1"/>
  <c r="BP97" i="1"/>
  <c r="BP63" i="1"/>
  <c r="BP24" i="1"/>
  <c r="BP89" i="1"/>
  <c r="BP79" i="1"/>
  <c r="BP82" i="1"/>
  <c r="BP77" i="1"/>
  <c r="BP94" i="1"/>
  <c r="BG68" i="1"/>
  <c r="BP74" i="1"/>
  <c r="BP85" i="1"/>
  <c r="BP18" i="1"/>
  <c r="BC40" i="1"/>
  <c r="AX113" i="1"/>
  <c r="AW94" i="1"/>
  <c r="BA113" i="1"/>
  <c r="BB113" i="1"/>
  <c r="BI93" i="1"/>
  <c r="BC94" i="1"/>
  <c r="BK113" i="1"/>
  <c r="BB40" i="1"/>
  <c r="AW113" i="1"/>
  <c r="BF40" i="1"/>
  <c r="BG20" i="1"/>
  <c r="BI42" i="1"/>
  <c r="AX94" i="1"/>
  <c r="BI20" i="1"/>
  <c r="BD94" i="1"/>
  <c r="BC106" i="1"/>
  <c r="BH92" i="1"/>
  <c r="BE94" i="1"/>
  <c r="BD106" i="1"/>
  <c r="AY113" i="1"/>
  <c r="BK40" i="1"/>
  <c r="BG94" i="1"/>
  <c r="AZ61" i="1"/>
  <c r="BA94" i="1"/>
  <c r="BG88" i="1"/>
  <c r="BI92" i="1"/>
  <c r="BJ93" i="1"/>
  <c r="BG24" i="1"/>
  <c r="BC28" i="1"/>
  <c r="BK93" i="1"/>
  <c r="AY94" i="1"/>
  <c r="BK24" i="1"/>
  <c r="BD28" i="1"/>
  <c r="BF53" i="1"/>
  <c r="BK53" i="1"/>
  <c r="AZ64" i="1"/>
  <c r="AZ101" i="1"/>
  <c r="AZ100" i="1"/>
  <c r="BA100" i="1"/>
  <c r="AX61" i="1"/>
  <c r="AY101" i="1"/>
  <c r="BB42" i="1"/>
  <c r="AY61" i="1"/>
  <c r="AX24" i="1"/>
  <c r="BB82" i="1"/>
  <c r="BE64" i="1"/>
  <c r="BA24" i="1"/>
  <c r="BF25" i="1"/>
  <c r="AW41" i="1"/>
  <c r="AX22" i="1"/>
  <c r="AZ42" i="1"/>
  <c r="AW24" i="1"/>
  <c r="AY22" i="1"/>
  <c r="BB99" i="1"/>
  <c r="BI108" i="1"/>
  <c r="BA61" i="1"/>
  <c r="BI72" i="1"/>
  <c r="BC99" i="1"/>
  <c r="BC22" i="1"/>
  <c r="BD42" i="1"/>
  <c r="BA48" i="1"/>
  <c r="BC82" i="1"/>
  <c r="BJ71" i="1"/>
  <c r="BD62" i="1"/>
  <c r="BG64" i="1"/>
  <c r="BG98" i="1"/>
  <c r="BE24" i="1"/>
  <c r="AZ52" i="1"/>
  <c r="BD53" i="1"/>
  <c r="BK64" i="1"/>
  <c r="BE68" i="1"/>
  <c r="BG42" i="1"/>
  <c r="BJ18" i="1"/>
  <c r="BI21" i="1"/>
  <c r="BJ21" i="1"/>
  <c r="BC100" i="1"/>
  <c r="BG23" i="1"/>
  <c r="BG100" i="1"/>
  <c r="BE41" i="1"/>
  <c r="BF41" i="1"/>
  <c r="BD64" i="1"/>
  <c r="BB22" i="1"/>
  <c r="BC42" i="1"/>
  <c r="BH41" i="1"/>
  <c r="AY24" i="1"/>
  <c r="BI58" i="1"/>
  <c r="BK108" i="1"/>
  <c r="BE25" i="1"/>
  <c r="BF64" i="1"/>
  <c r="BE42" i="1"/>
  <c r="BB48" i="1"/>
  <c r="BD24" i="1"/>
  <c r="BC53" i="1"/>
  <c r="BD68" i="1"/>
  <c r="BF42" i="1"/>
  <c r="BK48" i="1"/>
  <c r="BG25" i="1"/>
  <c r="BF30" i="1"/>
  <c r="BF24" i="1"/>
  <c r="BE53" i="1"/>
  <c r="BF68" i="1"/>
  <c r="BD20" i="1"/>
  <c r="BH42" i="1"/>
  <c r="BK18" i="1"/>
  <c r="BK71" i="1"/>
  <c r="BD82" i="1"/>
  <c r="BG33" i="1"/>
  <c r="BB44" i="1"/>
  <c r="BD51" i="1"/>
  <c r="BC54" i="1"/>
  <c r="BJ99" i="1"/>
  <c r="BE106" i="1"/>
  <c r="BA112" i="1"/>
  <c r="BC48" i="1"/>
  <c r="BK21" i="1"/>
  <c r="AX76" i="1"/>
  <c r="BA69" i="1"/>
  <c r="BF82" i="1"/>
  <c r="BD100" i="1"/>
  <c r="BC30" i="1"/>
  <c r="BH33" i="1"/>
  <c r="BC44" i="1"/>
  <c r="BF51" i="1"/>
  <c r="BI74" i="1"/>
  <c r="BK99" i="1"/>
  <c r="BJ106" i="1"/>
  <c r="BD48" i="1"/>
  <c r="BE58" i="1"/>
  <c r="BI25" i="1"/>
  <c r="AY76" i="1"/>
  <c r="BB69" i="1"/>
  <c r="BG82" i="1"/>
  <c r="BF100" i="1"/>
  <c r="BJ24" i="1"/>
  <c r="BD30" i="1"/>
  <c r="BD44" i="1"/>
  <c r="BG51" i="1"/>
  <c r="BG53" i="1"/>
  <c r="BJ64" i="1"/>
  <c r="BJ74" i="1"/>
  <c r="BK106" i="1"/>
  <c r="BC20" i="1"/>
  <c r="BD22" i="1"/>
  <c r="BE48" i="1"/>
  <c r="BF58" i="1"/>
  <c r="AW61" i="1"/>
  <c r="BJ25" i="1"/>
  <c r="BJ76" i="1"/>
  <c r="BC69" i="1"/>
  <c r="BE44" i="1"/>
  <c r="BK76" i="1"/>
  <c r="BF69" i="1"/>
  <c r="BG44" i="1"/>
  <c r="BG69" i="1"/>
  <c r="BI44" i="1"/>
  <c r="BJ43" i="1"/>
  <c r="AW48" i="1"/>
  <c r="AX105" i="1"/>
  <c r="BB61" i="1"/>
  <c r="BC71" i="1"/>
  <c r="BK69" i="1"/>
  <c r="AX82" i="1"/>
  <c r="AW99" i="1"/>
  <c r="AX106" i="1"/>
  <c r="BK43" i="1"/>
  <c r="AX48" i="1"/>
  <c r="BD105" i="1"/>
  <c r="AY108" i="1"/>
  <c r="BD21" i="1"/>
  <c r="BJ61" i="1"/>
  <c r="BC49" i="1"/>
  <c r="BA18" i="1"/>
  <c r="BD71" i="1"/>
  <c r="AY82" i="1"/>
  <c r="AW100" i="1"/>
  <c r="BB24" i="1"/>
  <c r="BE98" i="1"/>
  <c r="CK98" i="1" s="1"/>
  <c r="AX99" i="1"/>
  <c r="AY106" i="1"/>
  <c r="AY48" i="1"/>
  <c r="BF105" i="1"/>
  <c r="AZ108" i="1"/>
  <c r="BF21" i="1"/>
  <c r="BK61" i="1"/>
  <c r="BF49" i="1"/>
  <c r="BG18" i="1"/>
  <c r="BB25" i="1"/>
  <c r="BE71" i="1"/>
  <c r="BG30" i="1"/>
  <c r="BF44" i="1"/>
  <c r="AY18" i="1"/>
  <c r="BB71" i="1"/>
  <c r="AW82" i="1"/>
  <c r="AW106" i="1"/>
  <c r="AV108" i="1"/>
  <c r="AV21" i="1"/>
  <c r="BB49" i="1"/>
  <c r="AZ18" i="1"/>
  <c r="BD98" i="1"/>
  <c r="BA82" i="1"/>
  <c r="AZ48" i="1"/>
  <c r="BC25" i="1"/>
  <c r="AV32" i="1"/>
  <c r="AZ32" i="1"/>
  <c r="BB32" i="1"/>
  <c r="BA32" i="1"/>
  <c r="AY32" i="1"/>
  <c r="AX32" i="1"/>
  <c r="AW32" i="1"/>
  <c r="BA80" i="1"/>
  <c r="BE80" i="1"/>
  <c r="BC80" i="1"/>
  <c r="BK55" i="1"/>
  <c r="BA81" i="1"/>
  <c r="BC81" i="1"/>
  <c r="BF81" i="1"/>
  <c r="AY66" i="1"/>
  <c r="BC66" i="1"/>
  <c r="BB66" i="1"/>
  <c r="BF66" i="1"/>
  <c r="BA66" i="1"/>
  <c r="AZ66" i="1"/>
  <c r="AX66" i="1"/>
  <c r="AW66" i="1"/>
  <c r="BG39" i="1"/>
  <c r="BI39" i="1"/>
  <c r="AZ39" i="1"/>
  <c r="AW39" i="1"/>
  <c r="BH65" i="1"/>
  <c r="BI65" i="1"/>
  <c r="BG65" i="1"/>
  <c r="BF65" i="1"/>
  <c r="BE65" i="1"/>
  <c r="CK65" i="1" s="1"/>
  <c r="BD65" i="1"/>
  <c r="BA95" i="1"/>
  <c r="BG95" i="1"/>
  <c r="BF95" i="1"/>
  <c r="BI95" i="1"/>
  <c r="BE95" i="1"/>
  <c r="BD95" i="1"/>
  <c r="BC95" i="1"/>
  <c r="BB95" i="1"/>
  <c r="AV80" i="1"/>
  <c r="BD81" i="1"/>
  <c r="BF32" i="1"/>
  <c r="BJ95" i="1"/>
  <c r="AW59" i="1"/>
  <c r="BJ59" i="1"/>
  <c r="BI59" i="1"/>
  <c r="BH59" i="1"/>
  <c r="BF35" i="1"/>
  <c r="BE81" i="1"/>
  <c r="BG32" i="1"/>
  <c r="AW78" i="1"/>
  <c r="BG35" i="1"/>
  <c r="BG81" i="1"/>
  <c r="BI73" i="1"/>
  <c r="BH73" i="1"/>
  <c r="BG73" i="1"/>
  <c r="BF73" i="1"/>
  <c r="BE73" i="1"/>
  <c r="BJ85" i="1"/>
  <c r="AV84" i="1"/>
  <c r="AV27" i="1"/>
  <c r="BC27" i="1"/>
  <c r="BB27" i="1"/>
  <c r="BE27" i="1"/>
  <c r="BD27" i="1"/>
  <c r="BK27" i="1"/>
  <c r="AZ27" i="1"/>
  <c r="AY27" i="1"/>
  <c r="BA27" i="1"/>
  <c r="BG66" i="1"/>
  <c r="BB81" i="1"/>
  <c r="BH31" i="1"/>
  <c r="BG31" i="1"/>
  <c r="BE31" i="1"/>
  <c r="BD31" i="1"/>
  <c r="BF31" i="1"/>
  <c r="BC31" i="1"/>
  <c r="BB31" i="1"/>
  <c r="BA31" i="1"/>
  <c r="AZ31" i="1"/>
  <c r="BH66" i="1"/>
  <c r="AZ82" i="1"/>
  <c r="BB80" i="1"/>
  <c r="BD36" i="1"/>
  <c r="BI66" i="1"/>
  <c r="BA29" i="1"/>
  <c r="BG29" i="1"/>
  <c r="BF29" i="1"/>
  <c r="BE29" i="1"/>
  <c r="BD29" i="1"/>
  <c r="BC29" i="1"/>
  <c r="BB29" i="1"/>
  <c r="BF80" i="1"/>
  <c r="BJ38" i="1"/>
  <c r="AX38" i="1"/>
  <c r="AW38" i="1"/>
  <c r="BK38" i="1"/>
  <c r="BI38" i="1"/>
  <c r="BH38" i="1"/>
  <c r="BG38" i="1"/>
  <c r="BK60" i="1"/>
  <c r="BJ60" i="1"/>
  <c r="BI60" i="1"/>
  <c r="BH60" i="1"/>
  <c r="BG60" i="1"/>
  <c r="BF60" i="1"/>
  <c r="BC65" i="1"/>
  <c r="BI63" i="1"/>
  <c r="BE63" i="1"/>
  <c r="CK63" i="1" s="1"/>
  <c r="BD63" i="1"/>
  <c r="BG63" i="1"/>
  <c r="BF63" i="1"/>
  <c r="BC63" i="1"/>
  <c r="BG80" i="1"/>
  <c r="AZ37" i="1"/>
  <c r="BI29" i="1"/>
  <c r="BI80" i="1"/>
  <c r="AX63" i="1"/>
  <c r="AY31" i="1"/>
  <c r="BC37" i="1"/>
  <c r="BJ47" i="1"/>
  <c r="AX47" i="1"/>
  <c r="BF47" i="1"/>
  <c r="BE47" i="1"/>
  <c r="BG47" i="1"/>
  <c r="BD47" i="1"/>
  <c r="BC47" i="1"/>
  <c r="BB47" i="1"/>
  <c r="BA47" i="1"/>
  <c r="AZ47" i="1"/>
  <c r="AV91" i="1"/>
  <c r="BE91" i="1"/>
  <c r="CK91" i="1" s="1"/>
  <c r="AX91" i="1"/>
  <c r="AW91" i="1"/>
  <c r="BG91" i="1"/>
  <c r="BD91" i="1"/>
  <c r="BC91" i="1"/>
  <c r="BA91" i="1"/>
  <c r="BD37" i="1"/>
  <c r="BB57" i="1"/>
  <c r="AW84" i="1"/>
  <c r="BJ31" i="1"/>
  <c r="AW47" i="1"/>
  <c r="AY91" i="1"/>
  <c r="BH104" i="1"/>
  <c r="BG104" i="1"/>
  <c r="BL27" i="1"/>
  <c r="BE103" i="1"/>
  <c r="BK103" i="1"/>
  <c r="AW103" i="1"/>
  <c r="BJ103" i="1"/>
  <c r="BI103" i="1"/>
  <c r="BG103" i="1"/>
  <c r="BD103" i="1"/>
  <c r="AX103" i="1"/>
  <c r="BF103" i="1"/>
  <c r="BA35" i="1"/>
  <c r="BJ35" i="1"/>
  <c r="BI35" i="1"/>
  <c r="BC35" i="1"/>
  <c r="BC32" i="1"/>
  <c r="BI36" i="1"/>
  <c r="BK36" i="1"/>
  <c r="AW36" i="1"/>
  <c r="AY36" i="1"/>
  <c r="AX36" i="1"/>
  <c r="BC36" i="1"/>
  <c r="BA36" i="1"/>
  <c r="AZ36" i="1"/>
  <c r="BD32" i="1"/>
  <c r="BH78" i="1"/>
  <c r="BA78" i="1"/>
  <c r="AZ78" i="1"/>
  <c r="BE78" i="1"/>
  <c r="BD78" i="1"/>
  <c r="BK78" i="1"/>
  <c r="BJ78" i="1"/>
  <c r="BI78" i="1"/>
  <c r="BF78" i="1"/>
  <c r="BC78" i="1"/>
  <c r="BG78" i="1"/>
  <c r="BK39" i="1"/>
  <c r="BI55" i="1"/>
  <c r="BH37" i="1"/>
  <c r="BB37" i="1"/>
  <c r="BG37" i="1"/>
  <c r="BE37" i="1"/>
  <c r="BJ37" i="1"/>
  <c r="AV79" i="1"/>
  <c r="BG79" i="1"/>
  <c r="AX79" i="1"/>
  <c r="AW79" i="1"/>
  <c r="BD79" i="1"/>
  <c r="BC79" i="1"/>
  <c r="BB79" i="1"/>
  <c r="BA79" i="1"/>
  <c r="AY79" i="1"/>
  <c r="BK85" i="1"/>
  <c r="AY85" i="1"/>
  <c r="AX85" i="1"/>
  <c r="AW85" i="1"/>
  <c r="BE85" i="1"/>
  <c r="BD85" i="1"/>
  <c r="BC85" i="1"/>
  <c r="BB85" i="1"/>
  <c r="BA85" i="1"/>
  <c r="AZ85" i="1"/>
  <c r="BE36" i="1"/>
  <c r="CK36" i="1" s="1"/>
  <c r="BG57" i="1"/>
  <c r="BA57" i="1"/>
  <c r="AZ57" i="1"/>
  <c r="AY57" i="1"/>
  <c r="BH57" i="1"/>
  <c r="BF57" i="1"/>
  <c r="BE57" i="1"/>
  <c r="BD57" i="1"/>
  <c r="AW31" i="1"/>
  <c r="BF36" i="1"/>
  <c r="AX78" i="1"/>
  <c r="AX31" i="1"/>
  <c r="BA37" i="1"/>
  <c r="AW57" i="1"/>
  <c r="BI85" i="1"/>
  <c r="BJ84" i="1"/>
  <c r="BA84" i="1"/>
  <c r="AZ84" i="1"/>
  <c r="BK84" i="1"/>
  <c r="BI84" i="1"/>
  <c r="BC84" i="1"/>
  <c r="BB84" i="1"/>
  <c r="AY84" i="1"/>
  <c r="AY78" i="1"/>
  <c r="BJ36" i="1"/>
  <c r="BF38" i="1"/>
  <c r="BH54" i="1"/>
  <c r="BF54" i="1"/>
  <c r="BE54" i="1"/>
  <c r="BG54" i="1"/>
  <c r="BD54" i="1"/>
  <c r="AX57" i="1"/>
  <c r="AV97" i="1"/>
  <c r="AY97" i="1"/>
  <c r="AX97" i="1"/>
  <c r="AZ97" i="1"/>
  <c r="AW97" i="1"/>
  <c r="BE97" i="1"/>
  <c r="BD97" i="1"/>
  <c r="BC97" i="1"/>
  <c r="BB97" i="1"/>
  <c r="BA97" i="1"/>
  <c r="BI31" i="1"/>
  <c r="BL47" i="1"/>
  <c r="BA63" i="1"/>
  <c r="BK31" i="1"/>
  <c r="BK46" i="1"/>
  <c r="AZ46" i="1"/>
  <c r="BF46" i="1"/>
  <c r="AY47" i="1"/>
  <c r="BB54" i="1"/>
  <c r="BG97" i="1"/>
  <c r="AW101" i="1"/>
  <c r="BF101" i="1"/>
  <c r="BE101" i="1"/>
  <c r="BD101" i="1"/>
  <c r="BC101" i="1"/>
  <c r="BB101" i="1"/>
  <c r="BA101" i="1"/>
  <c r="AW27" i="1"/>
  <c r="BJ40" i="1"/>
  <c r="AZ40" i="1"/>
  <c r="BE40" i="1"/>
  <c r="BD40" i="1"/>
  <c r="BC62" i="1"/>
  <c r="BF62" i="1"/>
  <c r="BE62" i="1"/>
  <c r="AV36" i="1"/>
  <c r="AV40" i="1"/>
  <c r="BJ53" i="1"/>
  <c r="AZ53" i="1"/>
  <c r="AW53" i="1"/>
  <c r="BL64" i="1"/>
  <c r="BK77" i="1"/>
  <c r="BH77" i="1"/>
  <c r="BC92" i="1"/>
  <c r="BK92" i="1"/>
  <c r="BJ92" i="1"/>
  <c r="BK96" i="1"/>
  <c r="BJ96" i="1"/>
  <c r="BH96" i="1"/>
  <c r="AY96" i="1"/>
  <c r="BI88" i="1"/>
  <c r="BH88" i="1"/>
  <c r="BF88" i="1"/>
  <c r="BD88" i="1"/>
  <c r="BH43" i="1"/>
  <c r="BF43" i="1"/>
  <c r="BH71" i="1"/>
  <c r="AZ71" i="1"/>
  <c r="AY71" i="1"/>
  <c r="BG71" i="1"/>
  <c r="BF71" i="1"/>
  <c r="BK34" i="1"/>
  <c r="AY34" i="1"/>
  <c r="BI34" i="1"/>
  <c r="AW40" i="1"/>
  <c r="AY51" i="1"/>
  <c r="BE51" i="1"/>
  <c r="BA51" i="1"/>
  <c r="AX62" i="1"/>
  <c r="BI64" i="1"/>
  <c r="BA64" i="1"/>
  <c r="BC64" i="1"/>
  <c r="BB64" i="1"/>
  <c r="BI68" i="1"/>
  <c r="BK68" i="1"/>
  <c r="BA68" i="1"/>
  <c r="BK20" i="1"/>
  <c r="AY20" i="1"/>
  <c r="AX20" i="1"/>
  <c r="AZ20" i="1"/>
  <c r="AW20" i="1"/>
  <c r="BF110" i="1"/>
  <c r="BG110" i="1"/>
  <c r="AX40" i="1"/>
  <c r="AX53" i="1"/>
  <c r="AY62" i="1"/>
  <c r="AV64" i="1"/>
  <c r="BI77" i="1"/>
  <c r="BD92" i="1"/>
  <c r="BI96" i="1"/>
  <c r="BJ98" i="1"/>
  <c r="AY112" i="1"/>
  <c r="BD112" i="1"/>
  <c r="BC112" i="1"/>
  <c r="BA88" i="1"/>
  <c r="AX43" i="1"/>
  <c r="BE105" i="1"/>
  <c r="BJ105" i="1"/>
  <c r="BI105" i="1"/>
  <c r="BK105" i="1"/>
  <c r="AX49" i="1"/>
  <c r="BE49" i="1"/>
  <c r="BD49" i="1"/>
  <c r="AY49" i="1"/>
  <c r="AW49" i="1"/>
  <c r="AW71" i="1"/>
  <c r="BJ34" i="1"/>
  <c r="AY40" i="1"/>
  <c r="BB51" i="1"/>
  <c r="AY53" i="1"/>
  <c r="AZ62" i="1"/>
  <c r="AW64" i="1"/>
  <c r="BB68" i="1"/>
  <c r="BL86" i="1"/>
  <c r="BE92" i="1"/>
  <c r="BH93" i="1"/>
  <c r="AZ93" i="1"/>
  <c r="BH99" i="1"/>
  <c r="BA99" i="1"/>
  <c r="AZ99" i="1"/>
  <c r="BI99" i="1"/>
  <c r="BD99" i="1"/>
  <c r="BB88" i="1"/>
  <c r="BA20" i="1"/>
  <c r="AY43" i="1"/>
  <c r="AX71" i="1"/>
  <c r="BJ69" i="1"/>
  <c r="AY69" i="1"/>
  <c r="AX69" i="1"/>
  <c r="AZ69" i="1"/>
  <c r="AW69" i="1"/>
  <c r="AV100" i="1"/>
  <c r="AX100" i="1"/>
  <c r="BB100" i="1"/>
  <c r="BJ30" i="1"/>
  <c r="BE30" i="1"/>
  <c r="AY30" i="1"/>
  <c r="BA40" i="1"/>
  <c r="BH44" i="1"/>
  <c r="BA44" i="1"/>
  <c r="BC51" i="1"/>
  <c r="BA53" i="1"/>
  <c r="BA62" i="1"/>
  <c r="AX64" i="1"/>
  <c r="BC68" i="1"/>
  <c r="BF92" i="1"/>
  <c r="BC98" i="1"/>
  <c r="AV99" i="1"/>
  <c r="AZ112" i="1"/>
  <c r="BC88" i="1"/>
  <c r="BK22" i="1"/>
  <c r="BA22" i="1"/>
  <c r="AZ22" i="1"/>
  <c r="BJ22" i="1"/>
  <c r="BG22" i="1"/>
  <c r="AZ43" i="1"/>
  <c r="AW105" i="1"/>
  <c r="BJ108" i="1"/>
  <c r="AX108" i="1"/>
  <c r="AW108" i="1"/>
  <c r="BB108" i="1"/>
  <c r="BA108" i="1"/>
  <c r="BE21" i="1"/>
  <c r="AX21" i="1"/>
  <c r="AW21" i="1"/>
  <c r="BA49" i="1"/>
  <c r="BC111" i="1"/>
  <c r="BI111" i="1"/>
  <c r="BA71" i="1"/>
  <c r="AV69" i="1"/>
  <c r="BI28" i="1"/>
  <c r="BF28" i="1"/>
  <c r="BI33" i="1"/>
  <c r="BA33" i="1"/>
  <c r="AV94" i="1"/>
  <c r="AZ94" i="1"/>
  <c r="BI106" i="1"/>
  <c r="BA106" i="1"/>
  <c r="AZ106" i="1"/>
  <c r="BH18" i="1"/>
  <c r="AX18" i="1"/>
  <c r="AW18" i="1"/>
  <c r="AV103" i="1"/>
  <c r="AV39" i="1"/>
  <c r="Q114" i="1"/>
  <c r="BH24" i="1"/>
  <c r="AZ24" i="1"/>
  <c r="BI24" i="1"/>
  <c r="BH58" i="1"/>
  <c r="BG58" i="1"/>
  <c r="AV111" i="1"/>
  <c r="BL61" i="1"/>
  <c r="BP68" i="1"/>
  <c r="BP88" i="1"/>
  <c r="BP49" i="1"/>
  <c r="BP59" i="1"/>
  <c r="BM89" i="1"/>
  <c r="BM93" i="1"/>
  <c r="BM59" i="1"/>
  <c r="AU80" i="1"/>
  <c r="BP80" i="1" s="1"/>
  <c r="BL56" i="1"/>
  <c r="AV29" i="1"/>
  <c r="BL77" i="1"/>
  <c r="BM94" i="1"/>
  <c r="BM69" i="1"/>
  <c r="BM45" i="1"/>
  <c r="AV18" i="1"/>
  <c r="BL59" i="1"/>
  <c r="BM39" i="1"/>
  <c r="BM26" i="1"/>
  <c r="BM21" i="1"/>
  <c r="BM61" i="1"/>
  <c r="BM40" i="1"/>
  <c r="BM77" i="1"/>
  <c r="BL20" i="1"/>
  <c r="BM63" i="1"/>
  <c r="BL84" i="1"/>
  <c r="BM49" i="1"/>
  <c r="BL18" i="1"/>
  <c r="BL39" i="1"/>
  <c r="AU36" i="1"/>
  <c r="BP36" i="1" s="1"/>
  <c r="AU56" i="1"/>
  <c r="BP56" i="1" s="1"/>
  <c r="BL93" i="1"/>
  <c r="AV56" i="1"/>
  <c r="BM22" i="1"/>
  <c r="AU103" i="1"/>
  <c r="BP103" i="1" s="1"/>
  <c r="BL69" i="1"/>
  <c r="BL40" i="1"/>
  <c r="BL73" i="1"/>
  <c r="BL43" i="1"/>
  <c r="BM84" i="1"/>
  <c r="BM18" i="1"/>
  <c r="BM47" i="1"/>
  <c r="AU47" i="1"/>
  <c r="BP47" i="1" s="1"/>
  <c r="AU44" i="1"/>
  <c r="BP44" i="1" s="1"/>
  <c r="AV47" i="1"/>
  <c r="AV53" i="1"/>
  <c r="AU53" i="1"/>
  <c r="BP53" i="1" s="1"/>
  <c r="BM53" i="1"/>
  <c r="BM55" i="1"/>
  <c r="BL55" i="1"/>
  <c r="AU55" i="1"/>
  <c r="BP55" i="1" s="1"/>
  <c r="AV55" i="1"/>
  <c r="AU28" i="1"/>
  <c r="BP28" i="1" s="1"/>
  <c r="BM28" i="1"/>
  <c r="AU81" i="1"/>
  <c r="BP81" i="1" s="1"/>
  <c r="BL71" i="1"/>
  <c r="AU50" i="1"/>
  <c r="BP50" i="1" s="1"/>
  <c r="AU96" i="1"/>
  <c r="BP96" i="1" s="1"/>
  <c r="BM96" i="1"/>
  <c r="BL96" i="1"/>
  <c r="AV71" i="1"/>
  <c r="BM71" i="1"/>
  <c r="AU105" i="1"/>
  <c r="BP105" i="1" s="1"/>
  <c r="BM105" i="1"/>
  <c r="AV66" i="1"/>
  <c r="AU66" i="1"/>
  <c r="BP66" i="1" s="1"/>
  <c r="AU48" i="1"/>
  <c r="BP48" i="1" s="1"/>
  <c r="BM111" i="1"/>
  <c r="BL111" i="1"/>
  <c r="BL53" i="1"/>
  <c r="AU111" i="1"/>
  <c r="BP111" i="1" s="1"/>
  <c r="AU108" i="1"/>
  <c r="BP108" i="1" s="1"/>
  <c r="AU27" i="1"/>
  <c r="BP27" i="1" s="1"/>
  <c r="AU33" i="1"/>
  <c r="BP33" i="1" s="1"/>
  <c r="AV20" i="1"/>
  <c r="BL46" i="1"/>
  <c r="BL72" i="1"/>
  <c r="AV106" i="1"/>
  <c r="AV22" i="1"/>
  <c r="BL75" i="1"/>
  <c r="BM46" i="1"/>
  <c r="BM72" i="1"/>
  <c r="AU92" i="1"/>
  <c r="BP92" i="1" s="1"/>
  <c r="BM75" i="1"/>
  <c r="AU84" i="1"/>
  <c r="BP84" i="1" s="1"/>
  <c r="AU39" i="1"/>
  <c r="BP39" i="1" s="1"/>
  <c r="AU40" i="1"/>
  <c r="BP40" i="1" s="1"/>
  <c r="AU90" i="1"/>
  <c r="BP90" i="1" s="1"/>
  <c r="AU69" i="1"/>
  <c r="BP69" i="1" s="1"/>
  <c r="BL67" i="1"/>
  <c r="AU70" i="1"/>
  <c r="BP70" i="1" s="1"/>
  <c r="BM73" i="1"/>
  <c r="AV63" i="1"/>
  <c r="AU76" i="1"/>
  <c r="BP76" i="1" s="1"/>
  <c r="BL78" i="1"/>
  <c r="BM67" i="1"/>
  <c r="BL70" i="1"/>
  <c r="AU107" i="1"/>
  <c r="BP107" i="1" s="1"/>
  <c r="AU109" i="1"/>
  <c r="BP109" i="1" s="1"/>
  <c r="BP26" i="1"/>
  <c r="AV59" i="1"/>
  <c r="AV76" i="1"/>
  <c r="AV78" i="1"/>
  <c r="BM78" i="1"/>
  <c r="CJ98" i="1"/>
  <c r="BL81" i="1"/>
  <c r="AU54" i="1"/>
  <c r="BP54" i="1" s="1"/>
  <c r="AU104" i="1"/>
  <c r="BP104" i="1" s="1"/>
  <c r="BL26" i="1"/>
  <c r="BL44" i="1"/>
  <c r="BL60" i="1"/>
  <c r="BL45" i="1"/>
  <c r="BJ50" i="1"/>
  <c r="BH110" i="1"/>
  <c r="BL24" i="1"/>
  <c r="BJ87" i="1"/>
  <c r="BI23" i="1"/>
  <c r="BI110" i="1"/>
  <c r="BD80" i="1"/>
  <c r="BL50" i="1"/>
  <c r="BG41" i="1"/>
  <c r="AV24" i="1"/>
  <c r="BM24" i="1"/>
  <c r="BE28" i="1"/>
  <c r="AU31" i="1"/>
  <c r="BP31" i="1" s="1"/>
  <c r="BL31" i="1"/>
  <c r="AZ38" i="1"/>
  <c r="BG46" i="1"/>
  <c r="BM98" i="1"/>
  <c r="AU98" i="1"/>
  <c r="BP98" i="1" s="1"/>
  <c r="BJ110" i="1"/>
  <c r="AV31" i="1"/>
  <c r="BD34" i="1"/>
  <c r="BC34" i="1"/>
  <c r="BB34" i="1"/>
  <c r="AZ34" i="1"/>
  <c r="BH46" i="1"/>
  <c r="AV87" i="1"/>
  <c r="AU23" i="1"/>
  <c r="BP23" i="1" s="1"/>
  <c r="BK23" i="1"/>
  <c r="AU110" i="1"/>
  <c r="BP110" i="1" s="1"/>
  <c r="BK110" i="1"/>
  <c r="AV50" i="1"/>
  <c r="BG28" i="1"/>
  <c r="AX33" i="1"/>
  <c r="AW33" i="1"/>
  <c r="AV33" i="1"/>
  <c r="BJ33" i="1"/>
  <c r="BM34" i="1"/>
  <c r="CJ36" i="1"/>
  <c r="BI46" i="1"/>
  <c r="AU52" i="1"/>
  <c r="BP52" i="1" s="1"/>
  <c r="BL91" i="1"/>
  <c r="AZ91" i="1"/>
  <c r="AW87" i="1"/>
  <c r="AV23" i="1"/>
  <c r="AV110" i="1"/>
  <c r="BC41" i="1"/>
  <c r="BB41" i="1"/>
  <c r="BJ41" i="1"/>
  <c r="BH28" i="1"/>
  <c r="CJ38" i="1"/>
  <c r="BJ46" i="1"/>
  <c r="AV52" i="1"/>
  <c r="CJ74" i="1"/>
  <c r="AX50" i="1"/>
  <c r="AW50" i="1"/>
  <c r="AX87" i="1"/>
  <c r="BP87" i="1"/>
  <c r="BH81" i="1"/>
  <c r="AW23" i="1"/>
  <c r="BH29" i="1"/>
  <c r="AW110" i="1"/>
  <c r="BH80" i="1"/>
  <c r="AZ50" i="1"/>
  <c r="BK41" i="1"/>
  <c r="BH30" i="1"/>
  <c r="BF37" i="1"/>
  <c r="AW52" i="1"/>
  <c r="BB56" i="1"/>
  <c r="BG56" i="1"/>
  <c r="BF56" i="1"/>
  <c r="BE56" i="1"/>
  <c r="BD56" i="1"/>
  <c r="BC56" i="1"/>
  <c r="BA56" i="1"/>
  <c r="AY56" i="1"/>
  <c r="AY87" i="1"/>
  <c r="BA50" i="1"/>
  <c r="AV28" i="1"/>
  <c r="BK28" i="1"/>
  <c r="BJ28" i="1"/>
  <c r="AV34" i="1"/>
  <c r="BK67" i="1"/>
  <c r="BJ67" i="1"/>
  <c r="BE67" i="1"/>
  <c r="BD67" i="1"/>
  <c r="BC67" i="1"/>
  <c r="BB67" i="1"/>
  <c r="BA67" i="1"/>
  <c r="AZ67" i="1"/>
  <c r="AY67" i="1"/>
  <c r="AX67" i="1"/>
  <c r="AW67" i="1"/>
  <c r="BH67" i="1"/>
  <c r="AY109" i="1"/>
  <c r="AX109" i="1"/>
  <c r="AW109" i="1"/>
  <c r="AV109" i="1"/>
  <c r="BK109" i="1"/>
  <c r="BJ109" i="1"/>
  <c r="BI109" i="1"/>
  <c r="BF109" i="1"/>
  <c r="BB109" i="1"/>
  <c r="AZ109" i="1"/>
  <c r="BH109" i="1"/>
  <c r="BG109" i="1"/>
  <c r="BE109" i="1"/>
  <c r="BD109" i="1"/>
  <c r="BC109" i="1"/>
  <c r="BA109" i="1"/>
  <c r="R18" i="1"/>
  <c r="BE52" i="1"/>
  <c r="CK52" i="1" s="1"/>
  <c r="BD52" i="1"/>
  <c r="BC52" i="1"/>
  <c r="BB52" i="1"/>
  <c r="BA52" i="1"/>
  <c r="AY52" i="1"/>
  <c r="AX52" i="1"/>
  <c r="BI81" i="1"/>
  <c r="AX23" i="1"/>
  <c r="AX110" i="1"/>
  <c r="BL41" i="1"/>
  <c r="R4" i="1"/>
  <c r="AZ87" i="1"/>
  <c r="BT114" i="1"/>
  <c r="BE82" i="1"/>
  <c r="BJ81" i="1"/>
  <c r="AY23" i="1"/>
  <c r="BE100" i="1"/>
  <c r="BJ29" i="1"/>
  <c r="AY110" i="1"/>
  <c r="BE32" i="1"/>
  <c r="BJ80" i="1"/>
  <c r="BB50" i="1"/>
  <c r="AU41" i="1"/>
  <c r="BP41" i="1" s="1"/>
  <c r="AY33" i="1"/>
  <c r="AW34" i="1"/>
  <c r="BP46" i="1"/>
  <c r="BF52" i="1"/>
  <c r="CJ52" i="1"/>
  <c r="BK81" i="1"/>
  <c r="AZ23" i="1"/>
  <c r="BK29" i="1"/>
  <c r="AZ110" i="1"/>
  <c r="BK80" i="1"/>
  <c r="BC50" i="1"/>
  <c r="AV41" i="1"/>
  <c r="BB30" i="1"/>
  <c r="BA30" i="1"/>
  <c r="AZ30" i="1"/>
  <c r="BK30" i="1"/>
  <c r="AZ33" i="1"/>
  <c r="AX34" i="1"/>
  <c r="BL36" i="1"/>
  <c r="BG52" i="1"/>
  <c r="AV67" i="1"/>
  <c r="BG90" i="1"/>
  <c r="BF90" i="1"/>
  <c r="BE90" i="1"/>
  <c r="BD90" i="1"/>
  <c r="BC90" i="1"/>
  <c r="BA90" i="1"/>
  <c r="BK90" i="1"/>
  <c r="BJ90" i="1"/>
  <c r="BI90" i="1"/>
  <c r="BH90" i="1"/>
  <c r="BB90" i="1"/>
  <c r="AZ90" i="1"/>
  <c r="AY90" i="1"/>
  <c r="AX90" i="1"/>
  <c r="AW90" i="1"/>
  <c r="AV90" i="1"/>
  <c r="BE46" i="1"/>
  <c r="BD46" i="1"/>
  <c r="BC46" i="1"/>
  <c r="BB46" i="1"/>
  <c r="BA46" i="1"/>
  <c r="AY46" i="1"/>
  <c r="AX46" i="1"/>
  <c r="BH52" i="1"/>
  <c r="BJ23" i="1"/>
  <c r="BS114" i="1"/>
  <c r="AW29" i="1"/>
  <c r="BB110" i="1"/>
  <c r="BH32" i="1"/>
  <c r="AW80" i="1"/>
  <c r="BE50" i="1"/>
  <c r="AX41" i="1"/>
  <c r="AX28" i="1"/>
  <c r="BM30" i="1"/>
  <c r="BB33" i="1"/>
  <c r="BA34" i="1"/>
  <c r="BE38" i="1"/>
  <c r="CK38" i="1" s="1"/>
  <c r="BD38" i="1"/>
  <c r="BC38" i="1"/>
  <c r="BA38" i="1"/>
  <c r="AY38" i="1"/>
  <c r="BM51" i="1"/>
  <c r="AU51" i="1"/>
  <c r="BP51" i="1" s="1"/>
  <c r="BI52" i="1"/>
  <c r="AW56" i="1"/>
  <c r="AW60" i="1"/>
  <c r="BE60" i="1"/>
  <c r="BD60" i="1"/>
  <c r="BC60" i="1"/>
  <c r="BB60" i="1"/>
  <c r="BA60" i="1"/>
  <c r="AZ60" i="1"/>
  <c r="AY60" i="1"/>
  <c r="AX60" i="1"/>
  <c r="BM64" i="1"/>
  <c r="BG67" i="1"/>
  <c r="BH87" i="1"/>
  <c r="BK87" i="1"/>
  <c r="BU114" i="1"/>
  <c r="BV114" i="1"/>
  <c r="BI32" i="1"/>
  <c r="AX80" i="1"/>
  <c r="BF50" i="1"/>
  <c r="AY41" i="1"/>
  <c r="AY28" i="1"/>
  <c r="BC33" i="1"/>
  <c r="BE34" i="1"/>
  <c r="AY37" i="1"/>
  <c r="AX37" i="1"/>
  <c r="AW37" i="1"/>
  <c r="BK37" i="1"/>
  <c r="AZ51" i="1"/>
  <c r="BJ52" i="1"/>
  <c r="AX56" i="1"/>
  <c r="AU64" i="1"/>
  <c r="BP64" i="1" s="1"/>
  <c r="CJ65" i="1"/>
  <c r="BI67" i="1"/>
  <c r="BH23" i="1"/>
  <c r="BC87" i="1"/>
  <c r="BH82" i="1"/>
  <c r="AX81" i="1"/>
  <c r="BC23" i="1"/>
  <c r="BC110" i="1"/>
  <c r="BE87" i="1"/>
  <c r="CK87" i="1" s="1"/>
  <c r="BJ82" i="1"/>
  <c r="AY81" i="1"/>
  <c r="BD23" i="1"/>
  <c r="BJ100" i="1"/>
  <c r="AY29" i="1"/>
  <c r="BD110" i="1"/>
  <c r="BJ32" i="1"/>
  <c r="AY80" i="1"/>
  <c r="BG50" i="1"/>
  <c r="AZ41" i="1"/>
  <c r="AZ28" i="1"/>
  <c r="AV30" i="1"/>
  <c r="BD33" i="1"/>
  <c r="BF34" i="1"/>
  <c r="AZ44" i="1"/>
  <c r="AY44" i="1"/>
  <c r="AX44" i="1"/>
  <c r="AW44" i="1"/>
  <c r="AV44" i="1"/>
  <c r="BJ44" i="1"/>
  <c r="BK52" i="1"/>
  <c r="BH56" i="1"/>
  <c r="BK50" i="1"/>
  <c r="BM87" i="1"/>
  <c r="AV81" i="1"/>
  <c r="BA23" i="1"/>
  <c r="BA110" i="1"/>
  <c r="BD50" i="1"/>
  <c r="BI100" i="1"/>
  <c r="AX29" i="1"/>
  <c r="BF87" i="1"/>
  <c r="BK82" i="1"/>
  <c r="AZ81" i="1"/>
  <c r="BE23" i="1"/>
  <c r="BK100" i="1"/>
  <c r="AZ29" i="1"/>
  <c r="BE110" i="1"/>
  <c r="BK32" i="1"/>
  <c r="AZ80" i="1"/>
  <c r="BH50" i="1"/>
  <c r="BA41" i="1"/>
  <c r="BA28" i="1"/>
  <c r="AW30" i="1"/>
  <c r="BE33" i="1"/>
  <c r="BG34" i="1"/>
  <c r="BM37" i="1"/>
  <c r="AU37" i="1"/>
  <c r="BP37" i="1" s="1"/>
  <c r="AV46" i="1"/>
  <c r="BI56" i="1"/>
  <c r="AU60" i="1"/>
  <c r="BP60" i="1" s="1"/>
  <c r="BA87" i="1"/>
  <c r="AW81" i="1"/>
  <c r="BB23" i="1"/>
  <c r="BH100" i="1"/>
  <c r="BD87" i="1"/>
  <c r="BI82" i="1"/>
  <c r="BG87" i="1"/>
  <c r="BI50" i="1"/>
  <c r="BD41" i="1"/>
  <c r="BB28" i="1"/>
  <c r="AX30" i="1"/>
  <c r="BF33" i="1"/>
  <c r="BH34" i="1"/>
  <c r="AV37" i="1"/>
  <c r="AV38" i="1"/>
  <c r="AW46" i="1"/>
  <c r="AZ54" i="1"/>
  <c r="AY54" i="1"/>
  <c r="AX54" i="1"/>
  <c r="AW54" i="1"/>
  <c r="AV54" i="1"/>
  <c r="BK54" i="1"/>
  <c r="BJ54" i="1"/>
  <c r="BI54" i="1"/>
  <c r="BJ56" i="1"/>
  <c r="AV60" i="1"/>
  <c r="BG70" i="1"/>
  <c r="BE70" i="1"/>
  <c r="BD70" i="1"/>
  <c r="BA70" i="1"/>
  <c r="BK70" i="1"/>
  <c r="BJ70" i="1"/>
  <c r="BI70" i="1"/>
  <c r="BH70" i="1"/>
  <c r="BF70" i="1"/>
  <c r="BC70" i="1"/>
  <c r="BB70" i="1"/>
  <c r="AZ70" i="1"/>
  <c r="AY70" i="1"/>
  <c r="AX70" i="1"/>
  <c r="AW70" i="1"/>
  <c r="AV70" i="1"/>
  <c r="BJ77" i="1"/>
  <c r="AW72" i="1"/>
  <c r="BK72" i="1"/>
  <c r="BJ72" i="1"/>
  <c r="BG72" i="1"/>
  <c r="BL74" i="1"/>
  <c r="BM74" i="1"/>
  <c r="BA74" i="1"/>
  <c r="AZ74" i="1"/>
  <c r="AY74" i="1"/>
  <c r="BA86" i="1"/>
  <c r="AZ86" i="1"/>
  <c r="AY86" i="1"/>
  <c r="AX86" i="1"/>
  <c r="AW86" i="1"/>
  <c r="BK86" i="1"/>
  <c r="BL99" i="1"/>
  <c r="BE89" i="1"/>
  <c r="BC89" i="1"/>
  <c r="BB89" i="1"/>
  <c r="AZ89" i="1"/>
  <c r="AY89" i="1"/>
  <c r="BK89" i="1"/>
  <c r="BJ89" i="1"/>
  <c r="BI89" i="1"/>
  <c r="BH89" i="1"/>
  <c r="BG89" i="1"/>
  <c r="BF89" i="1"/>
  <c r="BD89" i="1"/>
  <c r="BA89" i="1"/>
  <c r="AX89" i="1"/>
  <c r="AW89" i="1"/>
  <c r="AV89" i="1"/>
  <c r="BM99" i="1"/>
  <c r="AV72" i="1"/>
  <c r="BG77" i="1"/>
  <c r="BF77" i="1"/>
  <c r="BE77" i="1"/>
  <c r="BD77" i="1"/>
  <c r="BC77" i="1"/>
  <c r="BA77" i="1"/>
  <c r="BM86" i="1"/>
  <c r="AU86" i="1"/>
  <c r="BP86" i="1" s="1"/>
  <c r="AX72" i="1"/>
  <c r="AV86" i="1"/>
  <c r="CJ91" i="1"/>
  <c r="AU99" i="1"/>
  <c r="BP99" i="1" s="1"/>
  <c r="BM42" i="1"/>
  <c r="AU42" i="1"/>
  <c r="BP42" i="1" s="1"/>
  <c r="BH51" i="1"/>
  <c r="BG62" i="1"/>
  <c r="AY65" i="1"/>
  <c r="AX65" i="1"/>
  <c r="BJ65" i="1"/>
  <c r="AY72" i="1"/>
  <c r="AW74" i="1"/>
  <c r="BB86" i="1"/>
  <c r="BJ107" i="1"/>
  <c r="BE107" i="1"/>
  <c r="BD107" i="1"/>
  <c r="BH107" i="1"/>
  <c r="BG107" i="1"/>
  <c r="BF107" i="1"/>
  <c r="BC107" i="1"/>
  <c r="BB107" i="1"/>
  <c r="BA107" i="1"/>
  <c r="AZ107" i="1"/>
  <c r="AY107" i="1"/>
  <c r="AX107" i="1"/>
  <c r="AW107" i="1"/>
  <c r="AV107" i="1"/>
  <c r="BI51" i="1"/>
  <c r="BH62" i="1"/>
  <c r="BK65" i="1"/>
  <c r="AZ68" i="1"/>
  <c r="AY68" i="1"/>
  <c r="BJ68" i="1"/>
  <c r="AZ72" i="1"/>
  <c r="AX74" i="1"/>
  <c r="BC86" i="1"/>
  <c r="BG93" i="1"/>
  <c r="BF93" i="1"/>
  <c r="BE93" i="1"/>
  <c r="BD93" i="1"/>
  <c r="BC93" i="1"/>
  <c r="BB93" i="1"/>
  <c r="BA93" i="1"/>
  <c r="BI62" i="1"/>
  <c r="BA72" i="1"/>
  <c r="BC74" i="1"/>
  <c r="AV77" i="1"/>
  <c r="BD86" i="1"/>
  <c r="BG96" i="1"/>
  <c r="BF96" i="1"/>
  <c r="BE96" i="1"/>
  <c r="BD96" i="1"/>
  <c r="BC96" i="1"/>
  <c r="BB96" i="1"/>
  <c r="BA96" i="1"/>
  <c r="AZ96" i="1"/>
  <c r="AX96" i="1"/>
  <c r="BC104" i="1"/>
  <c r="BB104" i="1"/>
  <c r="BA104" i="1"/>
  <c r="AZ104" i="1"/>
  <c r="AY104" i="1"/>
  <c r="AX104" i="1"/>
  <c r="AW104" i="1"/>
  <c r="AV104" i="1"/>
  <c r="BK104" i="1"/>
  <c r="BJ104" i="1"/>
  <c r="BI104" i="1"/>
  <c r="BK51" i="1"/>
  <c r="BI57" i="1"/>
  <c r="BJ62" i="1"/>
  <c r="AU65" i="1"/>
  <c r="BP65" i="1" s="1"/>
  <c r="BB72" i="1"/>
  <c r="BD74" i="1"/>
  <c r="AW77" i="1"/>
  <c r="BE86" i="1"/>
  <c r="BI107" i="1"/>
  <c r="AV51" i="1"/>
  <c r="BJ57" i="1"/>
  <c r="BK62" i="1"/>
  <c r="AV65" i="1"/>
  <c r="BC72" i="1"/>
  <c r="BE74" i="1"/>
  <c r="CK74" i="1" s="1"/>
  <c r="AX77" i="1"/>
  <c r="BF86" i="1"/>
  <c r="BK107" i="1"/>
  <c r="BH40" i="1"/>
  <c r="BH47" i="1"/>
  <c r="AW51" i="1"/>
  <c r="BH53" i="1"/>
  <c r="BK57" i="1"/>
  <c r="AU62" i="1"/>
  <c r="BP62" i="1" s="1"/>
  <c r="AW65" i="1"/>
  <c r="BE66" i="1"/>
  <c r="BD66" i="1"/>
  <c r="BJ66" i="1"/>
  <c r="AV68" i="1"/>
  <c r="BD72" i="1"/>
  <c r="BF74" i="1"/>
  <c r="AY77" i="1"/>
  <c r="AZ79" i="1"/>
  <c r="BG86" i="1"/>
  <c r="BB92" i="1"/>
  <c r="BA92" i="1"/>
  <c r="AZ92" i="1"/>
  <c r="AY92" i="1"/>
  <c r="AX92" i="1"/>
  <c r="AW92" i="1"/>
  <c r="AV92" i="1"/>
  <c r="AV93" i="1"/>
  <c r="BD104" i="1"/>
  <c r="BH36" i="1"/>
  <c r="BI40" i="1"/>
  <c r="BI47" i="1"/>
  <c r="AX51" i="1"/>
  <c r="BI53" i="1"/>
  <c r="AU57" i="1"/>
  <c r="BP57" i="1" s="1"/>
  <c r="BL57" i="1"/>
  <c r="AV62" i="1"/>
  <c r="AZ65" i="1"/>
  <c r="BK66" i="1"/>
  <c r="AW68" i="1"/>
  <c r="BE72" i="1"/>
  <c r="BG74" i="1"/>
  <c r="AZ77" i="1"/>
  <c r="BH86" i="1"/>
  <c r="BL90" i="1"/>
  <c r="AW93" i="1"/>
  <c r="AV96" i="1"/>
  <c r="BE104" i="1"/>
  <c r="AV57" i="1"/>
  <c r="AW62" i="1"/>
  <c r="BA65" i="1"/>
  <c r="AX68" i="1"/>
  <c r="BF72" i="1"/>
  <c r="BH74" i="1"/>
  <c r="BB77" i="1"/>
  <c r="BI86" i="1"/>
  <c r="AX93" i="1"/>
  <c r="AW96" i="1"/>
  <c r="BL98" i="1"/>
  <c r="BF104" i="1"/>
  <c r="AX102" i="1"/>
  <c r="AW102" i="1"/>
  <c r="AV102" i="1"/>
  <c r="BK102" i="1"/>
  <c r="BJ102" i="1"/>
  <c r="BG102" i="1"/>
  <c r="BC102" i="1"/>
  <c r="BM25" i="1"/>
  <c r="AU25" i="1"/>
  <c r="BP25" i="1" s="1"/>
  <c r="AY45" i="1"/>
  <c r="AX45" i="1"/>
  <c r="AW45" i="1"/>
  <c r="AV45" i="1"/>
  <c r="BK45" i="1"/>
  <c r="BJ45" i="1"/>
  <c r="BI45" i="1"/>
  <c r="BF45" i="1"/>
  <c r="BE45" i="1"/>
  <c r="BD45" i="1"/>
  <c r="BC45" i="1"/>
  <c r="BB45" i="1"/>
  <c r="BA45" i="1"/>
  <c r="AZ45" i="1"/>
  <c r="BH98" i="1"/>
  <c r="BE112" i="1"/>
  <c r="AZ73" i="1"/>
  <c r="BK73" i="1"/>
  <c r="BJ73" i="1"/>
  <c r="BF75" i="1"/>
  <c r="BD75" i="1"/>
  <c r="BC75" i="1"/>
  <c r="BB75" i="1"/>
  <c r="BA75" i="1"/>
  <c r="AZ75" i="1"/>
  <c r="BI75" i="1"/>
  <c r="AY102" i="1"/>
  <c r="AZ19" i="1"/>
  <c r="AY19" i="1"/>
  <c r="AX19" i="1"/>
  <c r="AW19" i="1"/>
  <c r="AV19" i="1"/>
  <c r="BK19" i="1"/>
  <c r="BJ19" i="1"/>
  <c r="BG19" i="1"/>
  <c r="BE19" i="1"/>
  <c r="BD19" i="1"/>
  <c r="BC19" i="1"/>
  <c r="BB19" i="1"/>
  <c r="BA19" i="1"/>
  <c r="BH95" i="1"/>
  <c r="BI98" i="1"/>
  <c r="BF112" i="1"/>
  <c r="AV85" i="1"/>
  <c r="BA102" i="1"/>
  <c r="BG45" i="1"/>
  <c r="BG112" i="1"/>
  <c r="CJ20" i="1"/>
  <c r="BB102" i="1"/>
  <c r="BM35" i="1"/>
  <c r="AU35" i="1"/>
  <c r="BP35" i="1" s="1"/>
  <c r="BH45" i="1"/>
  <c r="BK98" i="1"/>
  <c r="BH112" i="1"/>
  <c r="AV73" i="1"/>
  <c r="AV75" i="1"/>
  <c r="BD102" i="1"/>
  <c r="AU21" i="1"/>
  <c r="BP21" i="1" s="1"/>
  <c r="BL49" i="1"/>
  <c r="AZ49" i="1"/>
  <c r="BF19" i="1"/>
  <c r="BF79" i="1"/>
  <c r="BF91" i="1"/>
  <c r="BF94" i="1"/>
  <c r="AU95" i="1"/>
  <c r="BP95" i="1" s="1"/>
  <c r="BK95" i="1"/>
  <c r="AV98" i="1"/>
  <c r="BG101" i="1"/>
  <c r="BI112" i="1"/>
  <c r="AW73" i="1"/>
  <c r="BE88" i="1"/>
  <c r="AZ88" i="1"/>
  <c r="AY88" i="1"/>
  <c r="BK88" i="1"/>
  <c r="BA58" i="1"/>
  <c r="AY58" i="1"/>
  <c r="AX58" i="1"/>
  <c r="AW58" i="1"/>
  <c r="AV58" i="1"/>
  <c r="BK58" i="1"/>
  <c r="AW75" i="1"/>
  <c r="BE102" i="1"/>
  <c r="AY26" i="1"/>
  <c r="AX26" i="1"/>
  <c r="AW26" i="1"/>
  <c r="AV26" i="1"/>
  <c r="BK26" i="1"/>
  <c r="BJ26" i="1"/>
  <c r="BI26" i="1"/>
  <c r="BF26" i="1"/>
  <c r="BB26" i="1"/>
  <c r="BA26" i="1"/>
  <c r="AZ26" i="1"/>
  <c r="BH19" i="1"/>
  <c r="AV95" i="1"/>
  <c r="AW98" i="1"/>
  <c r="BH101" i="1"/>
  <c r="BJ112" i="1"/>
  <c r="AX73" i="1"/>
  <c r="BG43" i="1"/>
  <c r="BE43" i="1"/>
  <c r="BD43" i="1"/>
  <c r="BC43" i="1"/>
  <c r="BB43" i="1"/>
  <c r="BA43" i="1"/>
  <c r="AX75" i="1"/>
  <c r="BF102" i="1"/>
  <c r="BI19" i="1"/>
  <c r="BH79" i="1"/>
  <c r="BH91" i="1"/>
  <c r="BH94" i="1"/>
  <c r="AW95" i="1"/>
  <c r="BH97" i="1"/>
  <c r="AX98" i="1"/>
  <c r="BI101" i="1"/>
  <c r="AU112" i="1"/>
  <c r="BP112" i="1" s="1"/>
  <c r="BK112" i="1"/>
  <c r="AY73" i="1"/>
  <c r="BM88" i="1"/>
  <c r="CJ63" i="1"/>
  <c r="BM58" i="1"/>
  <c r="AU58" i="1"/>
  <c r="BP58" i="1" s="1"/>
  <c r="AY75" i="1"/>
  <c r="BH102" i="1"/>
  <c r="BH64" i="1"/>
  <c r="BI79" i="1"/>
  <c r="BI91" i="1"/>
  <c r="BI94" i="1"/>
  <c r="AX95" i="1"/>
  <c r="BI97" i="1"/>
  <c r="AY98" i="1"/>
  <c r="BE99" i="1"/>
  <c r="BJ101" i="1"/>
  <c r="BF106" i="1"/>
  <c r="AV112" i="1"/>
  <c r="BA73" i="1"/>
  <c r="BH63" i="1"/>
  <c r="AZ58" i="1"/>
  <c r="BE75" i="1"/>
  <c r="BI102" i="1"/>
  <c r="BC26" i="1"/>
  <c r="BJ79" i="1"/>
  <c r="BJ91" i="1"/>
  <c r="BJ94" i="1"/>
  <c r="AY95" i="1"/>
  <c r="BJ97" i="1"/>
  <c r="AZ98" i="1"/>
  <c r="BF99" i="1"/>
  <c r="BK101" i="1"/>
  <c r="BG106" i="1"/>
  <c r="AW112" i="1"/>
  <c r="BB73" i="1"/>
  <c r="AV88" i="1"/>
  <c r="BM20" i="1"/>
  <c r="BB58" i="1"/>
  <c r="BG75" i="1"/>
  <c r="BD26" i="1"/>
  <c r="BD59" i="1"/>
  <c r="BC59" i="1"/>
  <c r="BB59" i="1"/>
  <c r="BA59" i="1"/>
  <c r="AZ59" i="1"/>
  <c r="AY59" i="1"/>
  <c r="AX59" i="1"/>
  <c r="BK59" i="1"/>
  <c r="BG59" i="1"/>
  <c r="BF59" i="1"/>
  <c r="BE59" i="1"/>
  <c r="BK79" i="1"/>
  <c r="BK91" i="1"/>
  <c r="BK94" i="1"/>
  <c r="AZ95" i="1"/>
  <c r="BK97" i="1"/>
  <c r="BA98" i="1"/>
  <c r="BG99" i="1"/>
  <c r="AV101" i="1"/>
  <c r="BH106" i="1"/>
  <c r="AX112" i="1"/>
  <c r="BC73" i="1"/>
  <c r="AW88" i="1"/>
  <c r="BL42" i="1"/>
  <c r="AV43" i="1"/>
  <c r="BC58" i="1"/>
  <c r="BH75" i="1"/>
  <c r="BE26" i="1"/>
  <c r="BD73" i="1"/>
  <c r="AX88" i="1"/>
  <c r="AZ63" i="1"/>
  <c r="AW63" i="1"/>
  <c r="BK63" i="1"/>
  <c r="BJ63" i="1"/>
  <c r="BL22" i="1"/>
  <c r="BA42" i="1"/>
  <c r="AY42" i="1"/>
  <c r="AX42" i="1"/>
  <c r="AW42" i="1"/>
  <c r="AV42" i="1"/>
  <c r="BK42" i="1"/>
  <c r="AW43" i="1"/>
  <c r="BD58" i="1"/>
  <c r="BJ75" i="1"/>
  <c r="BG26" i="1"/>
  <c r="BD111" i="1"/>
  <c r="BG76" i="1"/>
  <c r="BB35" i="1"/>
  <c r="BH39" i="1"/>
  <c r="BD55" i="1"/>
  <c r="BJ113" i="1"/>
  <c r="AU61" i="1"/>
  <c r="BP61" i="1" s="1"/>
  <c r="BE111" i="1"/>
  <c r="BH76" i="1"/>
  <c r="BE55" i="1"/>
  <c r="BH105" i="1"/>
  <c r="BH21" i="1"/>
  <c r="AV61" i="1"/>
  <c r="BF111" i="1"/>
  <c r="BD25" i="1"/>
  <c r="BI76" i="1"/>
  <c r="BH103" i="1"/>
  <c r="BD35" i="1"/>
  <c r="BJ39" i="1"/>
  <c r="BF55" i="1"/>
  <c r="AV113" i="1"/>
  <c r="BG111" i="1"/>
  <c r="BG55" i="1"/>
  <c r="BH111" i="1"/>
  <c r="BH55" i="1"/>
  <c r="AV105" i="1"/>
  <c r="BJ111" i="1"/>
  <c r="BH25" i="1"/>
  <c r="AW76" i="1"/>
  <c r="BH35" i="1"/>
  <c r="AX39" i="1"/>
  <c r="BD69" i="1"/>
  <c r="BJ55" i="1"/>
  <c r="AZ113" i="1"/>
  <c r="BE20" i="1"/>
  <c r="CK20" i="1" s="1"/>
  <c r="BE22" i="1"/>
  <c r="BF48" i="1"/>
  <c r="AY105" i="1"/>
  <c r="BD108" i="1"/>
  <c r="AY21" i="1"/>
  <c r="BD84" i="1"/>
  <c r="BC61" i="1"/>
  <c r="BH49" i="1"/>
  <c r="AW111" i="1"/>
  <c r="BB18" i="1"/>
  <c r="BF27" i="1"/>
  <c r="BK25" i="1"/>
  <c r="AZ76" i="1"/>
  <c r="AY103" i="1"/>
  <c r="BK35" i="1"/>
  <c r="BA39" i="1"/>
  <c r="AW55" i="1"/>
  <c r="BC113" i="1"/>
  <c r="BF20" i="1"/>
  <c r="BF22" i="1"/>
  <c r="BG48" i="1"/>
  <c r="BF85" i="1"/>
  <c r="AU102" i="1"/>
  <c r="BP102" i="1" s="1"/>
  <c r="AZ105" i="1"/>
  <c r="BE108" i="1"/>
  <c r="AZ21" i="1"/>
  <c r="BE84" i="1"/>
  <c r="BD61" i="1"/>
  <c r="BI49" i="1"/>
  <c r="AX111" i="1"/>
  <c r="BC18" i="1"/>
  <c r="BG27" i="1"/>
  <c r="AV25" i="1"/>
  <c r="BA76" i="1"/>
  <c r="AU19" i="1"/>
  <c r="BP19" i="1" s="1"/>
  <c r="AZ103" i="1"/>
  <c r="AV35" i="1"/>
  <c r="BB39" i="1"/>
  <c r="BH69" i="1"/>
  <c r="AX55" i="1"/>
  <c r="BD113" i="1"/>
  <c r="BH48" i="1"/>
  <c r="BA105" i="1"/>
  <c r="BF108" i="1"/>
  <c r="BA21" i="1"/>
  <c r="BF84" i="1"/>
  <c r="BE61" i="1"/>
  <c r="BJ49" i="1"/>
  <c r="AY111" i="1"/>
  <c r="BD18" i="1"/>
  <c r="BH27" i="1"/>
  <c r="AW25" i="1"/>
  <c r="BB76" i="1"/>
  <c r="BA103" i="1"/>
  <c r="AW35" i="1"/>
  <c r="BC39" i="1"/>
  <c r="BI69" i="1"/>
  <c r="AY55" i="1"/>
  <c r="BE113" i="1"/>
  <c r="BH20" i="1"/>
  <c r="BH22" i="1"/>
  <c r="BI48" i="1"/>
  <c r="BH85" i="1"/>
  <c r="BB105" i="1"/>
  <c r="BG108" i="1"/>
  <c r="BB21" i="1"/>
  <c r="BG84" i="1"/>
  <c r="BF61" i="1"/>
  <c r="BK49" i="1"/>
  <c r="AZ111" i="1"/>
  <c r="BE18" i="1"/>
  <c r="BI27" i="1"/>
  <c r="AX25" i="1"/>
  <c r="BC76" i="1"/>
  <c r="BB103" i="1"/>
  <c r="AX35" i="1"/>
  <c r="BD39" i="1"/>
  <c r="AZ55" i="1"/>
  <c r="BF113" i="1"/>
  <c r="BI22" i="1"/>
  <c r="BJ48" i="1"/>
  <c r="BC105" i="1"/>
  <c r="BH108" i="1"/>
  <c r="BC21" i="1"/>
  <c r="BH84" i="1"/>
  <c r="BG61" i="1"/>
  <c r="AV49" i="1"/>
  <c r="BA111" i="1"/>
  <c r="BF18" i="1"/>
  <c r="BJ27" i="1"/>
  <c r="AY25" i="1"/>
  <c r="BD76" i="1"/>
  <c r="BC103" i="1"/>
  <c r="AY35" i="1"/>
  <c r="BE39" i="1"/>
  <c r="BA55" i="1"/>
  <c r="BG113" i="1"/>
  <c r="BH61" i="1"/>
  <c r="BB111" i="1"/>
  <c r="AZ25" i="1"/>
  <c r="BE76" i="1"/>
  <c r="AZ35" i="1"/>
  <c r="BF39" i="1"/>
  <c r="BB55" i="1"/>
  <c r="BH113" i="1"/>
  <c r="AX122" i="1" l="1"/>
  <c r="CA98" i="1"/>
  <c r="CB98" i="1" s="1"/>
  <c r="CF98" i="1" s="1"/>
  <c r="CA52" i="1"/>
  <c r="CB52" i="1" s="1"/>
  <c r="CF52" i="1" s="1"/>
  <c r="CA87" i="1"/>
  <c r="CB87" i="1" s="1"/>
  <c r="CF87" i="1" s="1"/>
  <c r="CA91" i="1"/>
  <c r="CB91" i="1" s="1"/>
  <c r="CF91" i="1" s="1"/>
  <c r="CA63" i="1"/>
  <c r="CB63" i="1" s="1"/>
  <c r="CF63" i="1" s="1"/>
  <c r="CA36" i="1"/>
  <c r="CB36" i="1" s="1"/>
  <c r="CF36" i="1" s="1"/>
  <c r="CA65" i="1"/>
  <c r="CB65" i="1" s="1"/>
  <c r="CF65" i="1" s="1"/>
  <c r="CA38" i="1"/>
  <c r="CB38" i="1" s="1"/>
  <c r="CF38" i="1" s="1"/>
  <c r="CA30" i="1"/>
  <c r="CB30" i="1" s="1"/>
  <c r="CA20" i="1"/>
  <c r="CB20" i="1" s="1"/>
  <c r="CF20" i="1" s="1"/>
  <c r="CA37" i="1"/>
  <c r="CB37" i="1" s="1"/>
  <c r="CA31" i="1"/>
  <c r="CB31" i="1" s="1"/>
  <c r="CA74" i="1"/>
  <c r="CB74" i="1" s="1"/>
  <c r="CF74" i="1" s="1"/>
  <c r="AX121" i="1"/>
  <c r="AX120" i="1"/>
  <c r="CB83" i="1"/>
  <c r="CF83" i="1" s="1"/>
  <c r="CB106" i="1"/>
  <c r="CF106" i="1" s="1"/>
  <c r="CB32" i="1"/>
  <c r="CF32" i="1" s="1"/>
  <c r="CB29" i="1"/>
  <c r="CF29" i="1" s="1"/>
  <c r="R114" i="1"/>
  <c r="CB27" i="1"/>
  <c r="CF27" i="1" s="1"/>
  <c r="CB100" i="1"/>
  <c r="CF100" i="1" s="1"/>
  <c r="CB79" i="1"/>
  <c r="CF79" i="1" s="1"/>
  <c r="CB97" i="1"/>
  <c r="CF97" i="1" s="1"/>
  <c r="CB94" i="1"/>
  <c r="CF94" i="1" s="1"/>
  <c r="CB80" i="1"/>
  <c r="CF80" i="1" s="1"/>
  <c r="CB82" i="1"/>
  <c r="CF82" i="1" s="1"/>
  <c r="CB47" i="1"/>
  <c r="CF47" i="1" s="1"/>
  <c r="CB78" i="1"/>
  <c r="CF78" i="1" s="1"/>
  <c r="CB34" i="1"/>
  <c r="CF34" i="1" s="1"/>
  <c r="CB108" i="1"/>
  <c r="CF108" i="1" s="1"/>
  <c r="CB48" i="1"/>
  <c r="CF48" i="1" s="1"/>
  <c r="CB56" i="1"/>
  <c r="CF56" i="1" s="1"/>
  <c r="CB59" i="1"/>
  <c r="CF59" i="1" s="1"/>
  <c r="CB69" i="1"/>
  <c r="CF69" i="1" s="1"/>
  <c r="CB43" i="1"/>
  <c r="CF43" i="1" s="1"/>
  <c r="CB40" i="1"/>
  <c r="CF40" i="1" s="1"/>
  <c r="CB103" i="1"/>
  <c r="CF103" i="1" s="1"/>
  <c r="CB21" i="1"/>
  <c r="CF21" i="1" s="1"/>
  <c r="CB71" i="1"/>
  <c r="CF71" i="1" s="1"/>
  <c r="CB18" i="1"/>
  <c r="CF18" i="1" s="1"/>
  <c r="CB99" i="1"/>
  <c r="CF99" i="1" s="1"/>
  <c r="CB92" i="1"/>
  <c r="CF92" i="1" s="1"/>
  <c r="CB22" i="1"/>
  <c r="CF22" i="1" s="1"/>
  <c r="CB64" i="1"/>
  <c r="CF64" i="1" s="1"/>
  <c r="CB76" i="1"/>
  <c r="CF76" i="1" s="1"/>
  <c r="CB39" i="1"/>
  <c r="CF39" i="1" s="1"/>
  <c r="CB53" i="1"/>
  <c r="CF53" i="1" s="1"/>
  <c r="CB57" i="1"/>
  <c r="CF57" i="1" s="1"/>
  <c r="CB111" i="1"/>
  <c r="CF111" i="1" s="1"/>
  <c r="CB70" i="1"/>
  <c r="CF70" i="1" s="1"/>
  <c r="CB60" i="1"/>
  <c r="CF60" i="1" s="1"/>
  <c r="CB55" i="1"/>
  <c r="CF55" i="1" s="1"/>
  <c r="CB96" i="1"/>
  <c r="CF96" i="1" s="1"/>
  <c r="CB84" i="1"/>
  <c r="CF84" i="1" s="1"/>
  <c r="CB66" i="1"/>
  <c r="CF66" i="1" s="1"/>
  <c r="CB95" i="1"/>
  <c r="CF95" i="1" s="1"/>
  <c r="CB102" i="1"/>
  <c r="CF102" i="1" s="1"/>
  <c r="CB89" i="1"/>
  <c r="CF89" i="1" s="1"/>
  <c r="BF114" i="1"/>
  <c r="Q6" i="1"/>
  <c r="T4" i="1"/>
  <c r="CB28" i="1"/>
  <c r="CF28" i="1" s="1"/>
  <c r="BL114" i="1"/>
  <c r="AU114" i="1"/>
  <c r="CB45" i="1"/>
  <c r="CF45" i="1" s="1"/>
  <c r="CB68" i="1"/>
  <c r="CF68" i="1" s="1"/>
  <c r="BG114" i="1"/>
  <c r="CB44" i="1"/>
  <c r="CF44" i="1" s="1"/>
  <c r="AV114" i="1"/>
  <c r="CB88" i="1"/>
  <c r="CF88" i="1" s="1"/>
  <c r="CB107" i="1"/>
  <c r="CF107" i="1" s="1"/>
  <c r="CB86" i="1"/>
  <c r="CF86" i="1" s="1"/>
  <c r="CB54" i="1"/>
  <c r="CF54" i="1" s="1"/>
  <c r="CB41" i="1"/>
  <c r="CF41" i="1" s="1"/>
  <c r="CB61" i="1"/>
  <c r="CF61" i="1" s="1"/>
  <c r="BD114" i="1"/>
  <c r="AY114" i="1"/>
  <c r="CB77" i="1"/>
  <c r="CF77" i="1" s="1"/>
  <c r="AZ114" i="1"/>
  <c r="CB19" i="1"/>
  <c r="CF19" i="1" s="1"/>
  <c r="CB93" i="1"/>
  <c r="CF93" i="1" s="1"/>
  <c r="BI114" i="1"/>
  <c r="CB24" i="1"/>
  <c r="CF24" i="1" s="1"/>
  <c r="CB81" i="1"/>
  <c r="CF81" i="1" s="1"/>
  <c r="BE114" i="1"/>
  <c r="BB114" i="1"/>
  <c r="CB112" i="1"/>
  <c r="CF112" i="1" s="1"/>
  <c r="CB85" i="1"/>
  <c r="CF85" i="1" s="1"/>
  <c r="BK114" i="1"/>
  <c r="CB33" i="1"/>
  <c r="CF33" i="1" s="1"/>
  <c r="CB42" i="1"/>
  <c r="CF42" i="1" s="1"/>
  <c r="CB35" i="1"/>
  <c r="CF35" i="1" s="1"/>
  <c r="CB75" i="1"/>
  <c r="CF75" i="1" s="1"/>
  <c r="BA114" i="1"/>
  <c r="BH114" i="1"/>
  <c r="CB58" i="1"/>
  <c r="CF58" i="1" s="1"/>
  <c r="CB26" i="1"/>
  <c r="CF26" i="1" s="1"/>
  <c r="CB73" i="1"/>
  <c r="CF73" i="1" s="1"/>
  <c r="CB90" i="1"/>
  <c r="CF90" i="1" s="1"/>
  <c r="CB67" i="1"/>
  <c r="CF67" i="1" s="1"/>
  <c r="CB105" i="1"/>
  <c r="CF105" i="1" s="1"/>
  <c r="CB101" i="1"/>
  <c r="CF101" i="1" s="1"/>
  <c r="CB62" i="1"/>
  <c r="CF62" i="1" s="1"/>
  <c r="BC114" i="1"/>
  <c r="CB109" i="1"/>
  <c r="CF109" i="1" s="1"/>
  <c r="BP114" i="1"/>
  <c r="CB110" i="1"/>
  <c r="CF110" i="1" s="1"/>
  <c r="BM114" i="1"/>
  <c r="AX114" i="1"/>
  <c r="CB23" i="1"/>
  <c r="CF23" i="1" s="1"/>
  <c r="CB50" i="1"/>
  <c r="CF50" i="1" s="1"/>
  <c r="CB49" i="1"/>
  <c r="CF49" i="1" s="1"/>
  <c r="CB113" i="1"/>
  <c r="CF113" i="1" s="1"/>
  <c r="CB25" i="1"/>
  <c r="CF25" i="1" s="1"/>
  <c r="CB51" i="1"/>
  <c r="CF51" i="1" s="1"/>
  <c r="CB104" i="1"/>
  <c r="CF104" i="1" s="1"/>
  <c r="CB72" i="1"/>
  <c r="CF72" i="1" s="1"/>
  <c r="CB46" i="1"/>
  <c r="CF46" i="1" s="1"/>
  <c r="AW114" i="1"/>
  <c r="BJ114" i="1"/>
  <c r="CF31" i="1" l="1"/>
  <c r="CI31" i="1"/>
  <c r="CF30" i="1"/>
  <c r="CI30" i="1"/>
  <c r="CF37" i="1"/>
  <c r="CI37" i="1"/>
  <c r="CG114" i="1"/>
  <c r="CI102" i="1"/>
  <c r="CK102" i="1" s="1"/>
  <c r="CI94" i="1"/>
  <c r="CK94" i="1" s="1"/>
  <c r="CI21" i="1"/>
  <c r="CK21" i="1" s="1"/>
  <c r="CI40" i="1"/>
  <c r="CI108" i="1"/>
  <c r="CI90" i="1"/>
  <c r="CK90" i="1" s="1"/>
  <c r="CI54" i="1"/>
  <c r="CK54" i="1" s="1"/>
  <c r="CI34" i="1"/>
  <c r="CK34" i="1" s="1"/>
  <c r="CI49" i="1"/>
  <c r="CK49" i="1" s="1"/>
  <c r="CI86" i="1"/>
  <c r="CK86" i="1" s="1"/>
  <c r="CI107" i="1"/>
  <c r="CK107" i="1" s="1"/>
  <c r="CI22" i="1"/>
  <c r="CI47" i="1"/>
  <c r="CI26" i="1"/>
  <c r="CK26" i="1" s="1"/>
  <c r="CI18" i="1"/>
  <c r="CK18" i="1" s="1"/>
  <c r="CI44" i="1"/>
  <c r="CK44" i="1" s="1"/>
  <c r="CI71" i="1"/>
  <c r="CK71" i="1" s="1"/>
  <c r="CI93" i="1"/>
  <c r="CK93" i="1" s="1"/>
  <c r="CI109" i="1"/>
  <c r="CK109" i="1" s="1"/>
  <c r="CI96" i="1"/>
  <c r="CK96" i="1" s="1"/>
  <c r="CI72" i="1"/>
  <c r="CK72" i="1" s="1"/>
  <c r="CI55" i="1"/>
  <c r="CI25" i="1"/>
  <c r="CK25" i="1" s="1"/>
  <c r="CI67" i="1"/>
  <c r="CK67" i="1" s="1"/>
  <c r="CI85" i="1"/>
  <c r="CK85" i="1" s="1"/>
  <c r="CI41" i="1"/>
  <c r="CK41" i="1" s="1"/>
  <c r="CI39" i="1"/>
  <c r="CK39" i="1" s="1"/>
  <c r="CI113" i="1"/>
  <c r="CK113" i="1" s="1"/>
  <c r="CI112" i="1"/>
  <c r="CK112" i="1" s="1"/>
  <c r="CI76" i="1"/>
  <c r="CK76" i="1" s="1"/>
  <c r="CI64" i="1"/>
  <c r="CK64" i="1" s="1"/>
  <c r="CI78" i="1"/>
  <c r="CK78" i="1" s="1"/>
  <c r="CI50" i="1"/>
  <c r="CK50" i="1" s="1"/>
  <c r="CI23" i="1"/>
  <c r="CK23" i="1" s="1"/>
  <c r="CI88" i="1"/>
  <c r="CK88" i="1" s="1"/>
  <c r="CI89" i="1"/>
  <c r="CK89" i="1" s="1"/>
  <c r="CI92" i="1"/>
  <c r="CK92" i="1" s="1"/>
  <c r="CI82" i="1"/>
  <c r="CK82" i="1" s="1"/>
  <c r="CI81" i="1"/>
  <c r="CI80" i="1"/>
  <c r="CK80" i="1" s="1"/>
  <c r="CI24" i="1"/>
  <c r="CK24" i="1" s="1"/>
  <c r="CI110" i="1"/>
  <c r="CK110" i="1" s="1"/>
  <c r="CI66" i="1"/>
  <c r="CK66" i="1" s="1"/>
  <c r="CI84" i="1"/>
  <c r="CK84" i="1" s="1"/>
  <c r="CI46" i="1"/>
  <c r="CK46" i="1" s="1"/>
  <c r="CI68" i="1"/>
  <c r="CK68" i="1" s="1"/>
  <c r="CI100" i="1"/>
  <c r="CK100" i="1" s="1"/>
  <c r="CI27" i="1"/>
  <c r="CK27" i="1" s="1"/>
  <c r="CI62" i="1"/>
  <c r="CK62" i="1" s="1"/>
  <c r="CI75" i="1"/>
  <c r="CK75" i="1" s="1"/>
  <c r="CI77" i="1"/>
  <c r="CK77" i="1" s="1"/>
  <c r="CI43" i="1"/>
  <c r="CK43" i="1" s="1"/>
  <c r="CI35" i="1"/>
  <c r="CK35" i="1" s="1"/>
  <c r="CI69" i="1"/>
  <c r="CK69" i="1" s="1"/>
  <c r="CI104" i="1"/>
  <c r="CK104" i="1" s="1"/>
  <c r="CI59" i="1"/>
  <c r="CK59" i="1" s="1"/>
  <c r="CI51" i="1"/>
  <c r="CK51" i="1" s="1"/>
  <c r="CI33" i="1"/>
  <c r="CK33" i="1" s="1"/>
  <c r="CI61" i="1"/>
  <c r="CK61" i="1" s="1"/>
  <c r="CI57" i="1"/>
  <c r="CK57" i="1" s="1"/>
  <c r="CI56" i="1"/>
  <c r="CK56" i="1" s="1"/>
  <c r="CI106" i="1"/>
  <c r="CK106" i="1" s="1"/>
  <c r="CI73" i="1"/>
  <c r="CK73" i="1" s="1"/>
  <c r="CI99" i="1"/>
  <c r="CK99" i="1" s="1"/>
  <c r="CI95" i="1"/>
  <c r="CK95" i="1" s="1"/>
  <c r="CI58" i="1"/>
  <c r="CK58" i="1" s="1"/>
  <c r="CI97" i="1"/>
  <c r="CI79" i="1"/>
  <c r="CK79" i="1" s="1"/>
  <c r="CI19" i="1"/>
  <c r="CK19" i="1" s="1"/>
  <c r="CI103" i="1"/>
  <c r="CI45" i="1"/>
  <c r="CK45" i="1" s="1"/>
  <c r="CI60" i="1"/>
  <c r="CK60" i="1" s="1"/>
  <c r="CI101" i="1"/>
  <c r="CK101" i="1" s="1"/>
  <c r="CI70" i="1"/>
  <c r="CI29" i="1"/>
  <c r="CI105" i="1"/>
  <c r="CK105" i="1" s="1"/>
  <c r="CI42" i="1"/>
  <c r="CK42" i="1" s="1"/>
  <c r="CI111" i="1"/>
  <c r="CI32" i="1"/>
  <c r="CK32" i="1" s="1"/>
  <c r="CI28" i="1"/>
  <c r="CK28" i="1" s="1"/>
  <c r="CI53" i="1"/>
  <c r="CK53" i="1" s="1"/>
  <c r="CI48" i="1"/>
  <c r="CK48" i="1" s="1"/>
  <c r="CI83" i="1"/>
  <c r="CK83" i="1" s="1"/>
  <c r="CE83" i="1"/>
  <c r="CE87" i="1"/>
  <c r="CE32" i="1"/>
  <c r="CE29" i="1"/>
  <c r="CE48" i="1"/>
  <c r="CE108" i="1"/>
  <c r="CE96" i="1"/>
  <c r="CE100" i="1"/>
  <c r="CE84" i="1"/>
  <c r="CE99" i="1"/>
  <c r="CE97" i="1"/>
  <c r="CE21" i="1"/>
  <c r="CE106" i="1"/>
  <c r="CE27" i="1"/>
  <c r="CE79" i="1"/>
  <c r="CE82" i="1"/>
  <c r="CE34" i="1"/>
  <c r="CE94" i="1"/>
  <c r="CE78" i="1"/>
  <c r="CE56" i="1"/>
  <c r="CE47" i="1"/>
  <c r="CE80" i="1"/>
  <c r="CE43" i="1"/>
  <c r="CE69" i="1"/>
  <c r="CE59" i="1"/>
  <c r="CE103" i="1"/>
  <c r="CE18" i="1"/>
  <c r="CE55" i="1"/>
  <c r="CE53" i="1"/>
  <c r="CE40" i="1"/>
  <c r="CE92" i="1"/>
  <c r="CE57" i="1"/>
  <c r="CE71" i="1"/>
  <c r="CE60" i="1"/>
  <c r="CE111" i="1"/>
  <c r="CE70" i="1"/>
  <c r="CE39" i="1"/>
  <c r="CE64" i="1"/>
  <c r="CE22" i="1"/>
  <c r="CE76" i="1"/>
  <c r="CE66" i="1"/>
  <c r="CE30" i="1"/>
  <c r="CE38" i="1"/>
  <c r="CE74" i="1"/>
  <c r="CE63" i="1"/>
  <c r="CE31" i="1"/>
  <c r="CE20" i="1"/>
  <c r="CE98" i="1"/>
  <c r="CE36" i="1"/>
  <c r="CE52" i="1"/>
  <c r="CE89" i="1"/>
  <c r="CE113" i="1"/>
  <c r="CE26" i="1"/>
  <c r="CE95" i="1"/>
  <c r="CE58" i="1"/>
  <c r="CE25" i="1"/>
  <c r="CE41" i="1"/>
  <c r="CE33" i="1"/>
  <c r="CE86" i="1"/>
  <c r="CE91" i="1"/>
  <c r="CE28" i="1"/>
  <c r="CE24" i="1"/>
  <c r="CE107" i="1"/>
  <c r="CE85" i="1"/>
  <c r="CE88" i="1"/>
  <c r="CE110" i="1"/>
  <c r="CE46" i="1"/>
  <c r="CE112" i="1"/>
  <c r="CE93" i="1"/>
  <c r="CB114" i="1"/>
  <c r="CE50" i="1"/>
  <c r="CE23" i="1"/>
  <c r="CE72" i="1"/>
  <c r="CE109" i="1"/>
  <c r="CE67" i="1"/>
  <c r="CE19" i="1"/>
  <c r="CA114" i="1"/>
  <c r="CE65" i="1"/>
  <c r="CE54" i="1"/>
  <c r="CE62" i="1"/>
  <c r="CE35" i="1"/>
  <c r="CE77" i="1"/>
  <c r="CE44" i="1"/>
  <c r="CE61" i="1"/>
  <c r="CE42" i="1"/>
  <c r="CE81" i="1"/>
  <c r="CE68" i="1"/>
  <c r="R6" i="1"/>
  <c r="R7" i="1" s="1"/>
  <c r="CE73" i="1"/>
  <c r="CE49" i="1"/>
  <c r="CE90" i="1"/>
  <c r="CE104" i="1"/>
  <c r="CE51" i="1"/>
  <c r="CE37" i="1"/>
  <c r="CE45" i="1"/>
  <c r="CE102" i="1"/>
  <c r="CE75" i="1"/>
  <c r="CE101" i="1"/>
  <c r="CE105" i="1"/>
  <c r="CJ53" i="1" l="1"/>
  <c r="DA53" i="1" s="1"/>
  <c r="CJ37" i="1"/>
  <c r="CK37" i="1"/>
  <c r="CJ30" i="1"/>
  <c r="CK30" i="1"/>
  <c r="CJ31" i="1"/>
  <c r="CK31" i="1"/>
  <c r="CJ99" i="1"/>
  <c r="DA99" i="1" s="1"/>
  <c r="CJ111" i="1"/>
  <c r="CK111" i="1"/>
  <c r="CJ70" i="1"/>
  <c r="CK70" i="1"/>
  <c r="CJ103" i="1"/>
  <c r="CK103" i="1"/>
  <c r="CJ55" i="1"/>
  <c r="CK55" i="1"/>
  <c r="CJ69" i="1"/>
  <c r="DA69" i="1" s="1"/>
  <c r="CJ47" i="1"/>
  <c r="CK47" i="1"/>
  <c r="CJ108" i="1"/>
  <c r="CK108" i="1"/>
  <c r="CJ48" i="1"/>
  <c r="DA48" i="1" s="1"/>
  <c r="CJ29" i="1"/>
  <c r="CK29" i="1"/>
  <c r="CJ97" i="1"/>
  <c r="CK97" i="1"/>
  <c r="CJ81" i="1"/>
  <c r="CK81" i="1"/>
  <c r="CL114" i="1"/>
  <c r="CJ22" i="1"/>
  <c r="CK22" i="1"/>
  <c r="CJ40" i="1"/>
  <c r="CK40" i="1"/>
  <c r="CJ83" i="1"/>
  <c r="DA38" i="1"/>
  <c r="DA87" i="1"/>
  <c r="DA91" i="1"/>
  <c r="CJ94" i="1"/>
  <c r="DA94" i="1" s="1"/>
  <c r="CJ34" i="1"/>
  <c r="DA34" i="1" s="1"/>
  <c r="DA52" i="1"/>
  <c r="CJ57" i="1"/>
  <c r="DA57" i="1" s="1"/>
  <c r="DA74" i="1"/>
  <c r="DA98" i="1"/>
  <c r="DA20" i="1"/>
  <c r="DA65" i="1"/>
  <c r="DA63" i="1"/>
  <c r="DA36" i="1"/>
  <c r="CJ64" i="1"/>
  <c r="DA64" i="1" s="1"/>
  <c r="CJ60" i="1"/>
  <c r="DA60" i="1" s="1"/>
  <c r="CZ29" i="1"/>
  <c r="CJ32" i="1"/>
  <c r="DA32" i="1" s="1"/>
  <c r="CJ78" i="1"/>
  <c r="DA78" i="1" s="1"/>
  <c r="CZ32" i="1"/>
  <c r="CZ100" i="1"/>
  <c r="CJ106" i="1"/>
  <c r="DA106" i="1" s="1"/>
  <c r="CZ82" i="1"/>
  <c r="CZ79" i="1"/>
  <c r="CJ79" i="1"/>
  <c r="DA79" i="1" s="1"/>
  <c r="CJ100" i="1"/>
  <c r="DA100" i="1" s="1"/>
  <c r="CZ106" i="1"/>
  <c r="CZ27" i="1"/>
  <c r="CJ82" i="1"/>
  <c r="DA82" i="1" s="1"/>
  <c r="CZ18" i="1"/>
  <c r="CZ97" i="1"/>
  <c r="CZ94" i="1"/>
  <c r="CZ34" i="1"/>
  <c r="CZ108" i="1"/>
  <c r="CJ27" i="1"/>
  <c r="DA27" i="1" s="1"/>
  <c r="CJ80" i="1"/>
  <c r="DA80" i="1" s="1"/>
  <c r="CZ47" i="1"/>
  <c r="CZ69" i="1"/>
  <c r="CZ48" i="1"/>
  <c r="CZ78" i="1"/>
  <c r="CJ18" i="1"/>
  <c r="DA18" i="1" s="1"/>
  <c r="CZ80" i="1"/>
  <c r="CZ56" i="1"/>
  <c r="CZ59" i="1"/>
  <c r="CJ43" i="1"/>
  <c r="DA43" i="1" s="1"/>
  <c r="CZ40" i="1"/>
  <c r="CZ43" i="1"/>
  <c r="CJ59" i="1"/>
  <c r="DA59" i="1" s="1"/>
  <c r="CZ62" i="1"/>
  <c r="CZ103" i="1"/>
  <c r="CZ74" i="1"/>
  <c r="CJ96" i="1"/>
  <c r="DA96" i="1" s="1"/>
  <c r="CZ96" i="1"/>
  <c r="CZ71" i="1"/>
  <c r="CZ84" i="1"/>
  <c r="CZ53" i="1"/>
  <c r="CZ113" i="1"/>
  <c r="CJ84" i="1"/>
  <c r="DA84" i="1" s="1"/>
  <c r="CZ110" i="1"/>
  <c r="CJ56" i="1"/>
  <c r="DA56" i="1" s="1"/>
  <c r="CZ105" i="1"/>
  <c r="CZ92" i="1"/>
  <c r="CZ21" i="1"/>
  <c r="CZ63" i="1"/>
  <c r="CJ76" i="1"/>
  <c r="DA76" i="1" s="1"/>
  <c r="CZ23" i="1"/>
  <c r="CZ50" i="1"/>
  <c r="CJ21" i="1"/>
  <c r="DA21" i="1" s="1"/>
  <c r="CZ111" i="1"/>
  <c r="CZ37" i="1"/>
  <c r="CZ91" i="1"/>
  <c r="CZ60" i="1"/>
  <c r="CZ93" i="1"/>
  <c r="CZ61" i="1"/>
  <c r="CZ57" i="1"/>
  <c r="CZ41" i="1"/>
  <c r="CZ55" i="1"/>
  <c r="CZ66" i="1"/>
  <c r="CJ71" i="1"/>
  <c r="CJ92" i="1"/>
  <c r="DA92" i="1" s="1"/>
  <c r="CZ107" i="1"/>
  <c r="CZ76" i="1"/>
  <c r="CZ39" i="1"/>
  <c r="CZ99" i="1"/>
  <c r="CZ68" i="1"/>
  <c r="CZ26" i="1"/>
  <c r="CZ52" i="1"/>
  <c r="CZ70" i="1"/>
  <c r="CZ24" i="1"/>
  <c r="CJ39" i="1"/>
  <c r="DA39" i="1" s="1"/>
  <c r="CZ49" i="1"/>
  <c r="CZ22" i="1"/>
  <c r="CZ64" i="1"/>
  <c r="CJ66" i="1"/>
  <c r="DA66" i="1" s="1"/>
  <c r="CZ98" i="1"/>
  <c r="CZ65" i="1"/>
  <c r="CF114" i="1"/>
  <c r="CJ85" i="1"/>
  <c r="CZ28" i="1"/>
  <c r="CJ33" i="1"/>
  <c r="CZ67" i="1"/>
  <c r="CJ72" i="1"/>
  <c r="CC114" i="1"/>
  <c r="CJ112" i="1"/>
  <c r="CZ33" i="1"/>
  <c r="CZ25" i="1"/>
  <c r="CJ26" i="1"/>
  <c r="CJ113" i="1"/>
  <c r="CD114" i="1"/>
  <c r="CZ112" i="1"/>
  <c r="CJ107" i="1"/>
  <c r="CJ49" i="1"/>
  <c r="CE114" i="1"/>
  <c r="CJ24" i="1"/>
  <c r="CZ36" i="1"/>
  <c r="CZ20" i="1"/>
  <c r="CZ30" i="1"/>
  <c r="CZ104" i="1"/>
  <c r="CZ44" i="1"/>
  <c r="CZ35" i="1"/>
  <c r="CZ72" i="1"/>
  <c r="CJ50" i="1"/>
  <c r="CJ88" i="1"/>
  <c r="CZ58" i="1"/>
  <c r="CJ89" i="1"/>
  <c r="CZ88" i="1"/>
  <c r="CZ89" i="1"/>
  <c r="CJ68" i="1"/>
  <c r="CJ110" i="1"/>
  <c r="CZ75" i="1"/>
  <c r="CJ75" i="1"/>
  <c r="CZ54" i="1"/>
  <c r="CJ23" i="1"/>
  <c r="CJ41" i="1"/>
  <c r="CJ95" i="1"/>
  <c r="CJ61" i="1"/>
  <c r="CZ77" i="1"/>
  <c r="CJ86" i="1"/>
  <c r="CJ90" i="1"/>
  <c r="CZ81" i="1"/>
  <c r="CJ42" i="1"/>
  <c r="CJ19" i="1"/>
  <c r="CJ93" i="1"/>
  <c r="CZ46" i="1"/>
  <c r="CZ86" i="1"/>
  <c r="CZ95" i="1"/>
  <c r="CJ58" i="1"/>
  <c r="CJ44" i="1"/>
  <c r="CJ102" i="1"/>
  <c r="CJ45" i="1"/>
  <c r="CZ90" i="1"/>
  <c r="CJ73" i="1"/>
  <c r="CZ42" i="1"/>
  <c r="CZ85" i="1"/>
  <c r="CJ104" i="1"/>
  <c r="CZ45" i="1"/>
  <c r="CZ73" i="1"/>
  <c r="CJ109" i="1"/>
  <c r="CJ46" i="1"/>
  <c r="CI114" i="1"/>
  <c r="CJ35" i="1"/>
  <c r="CJ67" i="1"/>
  <c r="CJ105" i="1"/>
  <c r="CJ101" i="1"/>
  <c r="CJ51" i="1"/>
  <c r="CJ77" i="1"/>
  <c r="CZ19" i="1"/>
  <c r="CZ109" i="1"/>
  <c r="CJ28" i="1"/>
  <c r="CZ38" i="1"/>
  <c r="CZ101" i="1"/>
  <c r="CZ51" i="1"/>
  <c r="CZ31" i="1"/>
  <c r="CJ54" i="1"/>
  <c r="CZ102" i="1"/>
  <c r="CJ62" i="1"/>
  <c r="CZ87" i="1"/>
  <c r="CJ25" i="1"/>
  <c r="DA37" i="1" l="1"/>
  <c r="DB37" i="1" s="1"/>
  <c r="DC37" i="1" s="1"/>
  <c r="DA31" i="1"/>
  <c r="DB31" i="1" s="1"/>
  <c r="DC31" i="1" s="1"/>
  <c r="DA97" i="1"/>
  <c r="DB97" i="1" s="1"/>
  <c r="DC97" i="1" s="1"/>
  <c r="DA111" i="1"/>
  <c r="DB111" i="1" s="1"/>
  <c r="DC111" i="1" s="1"/>
  <c r="DA30" i="1"/>
  <c r="DB30" i="1" s="1"/>
  <c r="DC30" i="1" s="1"/>
  <c r="DA40" i="1"/>
  <c r="DB40" i="1" s="1"/>
  <c r="DC40" i="1" s="1"/>
  <c r="DA103" i="1"/>
  <c r="DB103" i="1" s="1"/>
  <c r="DC103" i="1" s="1"/>
  <c r="DA108" i="1"/>
  <c r="DB108" i="1" s="1"/>
  <c r="DC108" i="1" s="1"/>
  <c r="DA47" i="1"/>
  <c r="DB47" i="1" s="1"/>
  <c r="DC47" i="1" s="1"/>
  <c r="DA22" i="1"/>
  <c r="DB22" i="1" s="1"/>
  <c r="DC22" i="1" s="1"/>
  <c r="DA70" i="1"/>
  <c r="DB70" i="1" s="1"/>
  <c r="DC70" i="1" s="1"/>
  <c r="DA55" i="1"/>
  <c r="DB55" i="1" s="1"/>
  <c r="DC55" i="1" s="1"/>
  <c r="DB83" i="1"/>
  <c r="DC83" i="1" s="1"/>
  <c r="DA102" i="1"/>
  <c r="DB102" i="1" s="1"/>
  <c r="DC102" i="1" s="1"/>
  <c r="DA62" i="1"/>
  <c r="DB62" i="1" s="1"/>
  <c r="DC62" i="1" s="1"/>
  <c r="DA28" i="1"/>
  <c r="DB28" i="1" s="1"/>
  <c r="DC28" i="1" s="1"/>
  <c r="DA67" i="1"/>
  <c r="DB67" i="1" s="1"/>
  <c r="DC67" i="1" s="1"/>
  <c r="DA90" i="1"/>
  <c r="DB90" i="1" s="1"/>
  <c r="DC90" i="1" s="1"/>
  <c r="DA113" i="1"/>
  <c r="DB113" i="1" s="1"/>
  <c r="DC113" i="1" s="1"/>
  <c r="DA25" i="1"/>
  <c r="DB25" i="1" s="1"/>
  <c r="DC25" i="1" s="1"/>
  <c r="DA24" i="1"/>
  <c r="DB24" i="1" s="1"/>
  <c r="DC24" i="1" s="1"/>
  <c r="DA85" i="1"/>
  <c r="DB85" i="1" s="1"/>
  <c r="DC85" i="1" s="1"/>
  <c r="DA77" i="1"/>
  <c r="DB77" i="1" s="1"/>
  <c r="DC77" i="1" s="1"/>
  <c r="DA54" i="1"/>
  <c r="DB54" i="1" s="1"/>
  <c r="DC54" i="1" s="1"/>
  <c r="DA45" i="1"/>
  <c r="DB45" i="1" s="1"/>
  <c r="DC45" i="1" s="1"/>
  <c r="DA50" i="1"/>
  <c r="DB50" i="1" s="1"/>
  <c r="DC50" i="1" s="1"/>
  <c r="DA104" i="1"/>
  <c r="DB104" i="1" s="1"/>
  <c r="DC104" i="1" s="1"/>
  <c r="DA41" i="1"/>
  <c r="DB41" i="1" s="1"/>
  <c r="DC41" i="1" s="1"/>
  <c r="DA75" i="1"/>
  <c r="DB75" i="1" s="1"/>
  <c r="DC75" i="1" s="1"/>
  <c r="DA88" i="1"/>
  <c r="DB88" i="1" s="1"/>
  <c r="DC88" i="1" s="1"/>
  <c r="DA49" i="1"/>
  <c r="DB49" i="1" s="1"/>
  <c r="DC49" i="1" s="1"/>
  <c r="DA46" i="1"/>
  <c r="DB46" i="1" s="1"/>
  <c r="DC46" i="1" s="1"/>
  <c r="DA93" i="1"/>
  <c r="DB93" i="1" s="1"/>
  <c r="DC93" i="1" s="1"/>
  <c r="DA81" i="1"/>
  <c r="DB81" i="1" s="1"/>
  <c r="DC81" i="1" s="1"/>
  <c r="DA42" i="1"/>
  <c r="DB42" i="1" s="1"/>
  <c r="DC42" i="1" s="1"/>
  <c r="DA95" i="1"/>
  <c r="DB95" i="1" s="1"/>
  <c r="DC95" i="1" s="1"/>
  <c r="DA68" i="1"/>
  <c r="DB68" i="1" s="1"/>
  <c r="DC68" i="1" s="1"/>
  <c r="DA72" i="1"/>
  <c r="DB72" i="1" s="1"/>
  <c r="DC72" i="1" s="1"/>
  <c r="DA23" i="1"/>
  <c r="DB23" i="1" s="1"/>
  <c r="DC23" i="1" s="1"/>
  <c r="DA89" i="1"/>
  <c r="DB89" i="1" s="1"/>
  <c r="DC89" i="1" s="1"/>
  <c r="DA71" i="1"/>
  <c r="DB71" i="1" s="1"/>
  <c r="DC71" i="1" s="1"/>
  <c r="DA58" i="1"/>
  <c r="DB58" i="1" s="1"/>
  <c r="DC58" i="1" s="1"/>
  <c r="DA35" i="1"/>
  <c r="DB35" i="1" s="1"/>
  <c r="DC35" i="1" s="1"/>
  <c r="DA26" i="1"/>
  <c r="DB26" i="1" s="1"/>
  <c r="DC26" i="1" s="1"/>
  <c r="DA101" i="1"/>
  <c r="DB101" i="1" s="1"/>
  <c r="DC101" i="1" s="1"/>
  <c r="DA109" i="1"/>
  <c r="DB109" i="1" s="1"/>
  <c r="DC109" i="1" s="1"/>
  <c r="DA61" i="1"/>
  <c r="DB61" i="1" s="1"/>
  <c r="DC61" i="1" s="1"/>
  <c r="DA110" i="1"/>
  <c r="DB110" i="1" s="1"/>
  <c r="DC110" i="1" s="1"/>
  <c r="DA105" i="1"/>
  <c r="DB105" i="1" s="1"/>
  <c r="DC105" i="1" s="1"/>
  <c r="DA73" i="1"/>
  <c r="DB73" i="1" s="1"/>
  <c r="DC73" i="1" s="1"/>
  <c r="DA19" i="1"/>
  <c r="DB19" i="1" s="1"/>
  <c r="DC19" i="1" s="1"/>
  <c r="DA107" i="1"/>
  <c r="DB107" i="1" s="1"/>
  <c r="DC107" i="1" s="1"/>
  <c r="DA44" i="1"/>
  <c r="DB44" i="1" s="1"/>
  <c r="DC44" i="1" s="1"/>
  <c r="DA86" i="1"/>
  <c r="DB86" i="1" s="1"/>
  <c r="DC86" i="1" s="1"/>
  <c r="DA112" i="1"/>
  <c r="DB112" i="1" s="1"/>
  <c r="DC112" i="1" s="1"/>
  <c r="DA33" i="1"/>
  <c r="DB33" i="1" s="1"/>
  <c r="DC33" i="1" s="1"/>
  <c r="DA29" i="1"/>
  <c r="DB29" i="1" s="1"/>
  <c r="DC29" i="1" s="1"/>
  <c r="DA51" i="1"/>
  <c r="DB51" i="1" s="1"/>
  <c r="DC51" i="1" s="1"/>
  <c r="DB82" i="1"/>
  <c r="DC82" i="1" s="1"/>
  <c r="DB32" i="1"/>
  <c r="DC32" i="1" s="1"/>
  <c r="DB79" i="1"/>
  <c r="DC79" i="1" s="1"/>
  <c r="DB106" i="1"/>
  <c r="DC106" i="1" s="1"/>
  <c r="DB100" i="1"/>
  <c r="DC100" i="1" s="1"/>
  <c r="DB18" i="1"/>
  <c r="DC18" i="1" s="1"/>
  <c r="DB27" i="1"/>
  <c r="DC27" i="1" s="1"/>
  <c r="DB78" i="1"/>
  <c r="DC78" i="1" s="1"/>
  <c r="DB34" i="1"/>
  <c r="DC34" i="1" s="1"/>
  <c r="DB94" i="1"/>
  <c r="DC94" i="1" s="1"/>
  <c r="DB87" i="1"/>
  <c r="DB63" i="1"/>
  <c r="DC63" i="1" s="1"/>
  <c r="DB69" i="1"/>
  <c r="DC69" i="1" s="1"/>
  <c r="DB84" i="1"/>
  <c r="DC84" i="1" s="1"/>
  <c r="DB74" i="1"/>
  <c r="DC74" i="1" s="1"/>
  <c r="DB52" i="1"/>
  <c r="DC52" i="1" s="1"/>
  <c r="DB80" i="1"/>
  <c r="DC80" i="1" s="1"/>
  <c r="DB59" i="1"/>
  <c r="DC59" i="1" s="1"/>
  <c r="DB48" i="1"/>
  <c r="DC48" i="1" s="1"/>
  <c r="DB91" i="1"/>
  <c r="DC91" i="1" s="1"/>
  <c r="DB96" i="1"/>
  <c r="DC96" i="1" s="1"/>
  <c r="DB56" i="1"/>
  <c r="DC56" i="1" s="1"/>
  <c r="DB43" i="1"/>
  <c r="DC43" i="1" s="1"/>
  <c r="DB21" i="1"/>
  <c r="DC21" i="1" s="1"/>
  <c r="DB98" i="1"/>
  <c r="DC98" i="1" s="1"/>
  <c r="DB57" i="1"/>
  <c r="DC57" i="1" s="1"/>
  <c r="DB53" i="1"/>
  <c r="DC53" i="1" s="1"/>
  <c r="DB66" i="1"/>
  <c r="DC66" i="1" s="1"/>
  <c r="DB20" i="1"/>
  <c r="DC20" i="1" s="1"/>
  <c r="DB64" i="1"/>
  <c r="DC64" i="1" s="1"/>
  <c r="DB36" i="1"/>
  <c r="DC36" i="1" s="1"/>
  <c r="DB76" i="1"/>
  <c r="DC76" i="1" s="1"/>
  <c r="DB38" i="1"/>
  <c r="DC38" i="1" s="1"/>
  <c r="DB60" i="1"/>
  <c r="DC60" i="1" s="1"/>
  <c r="DB99" i="1"/>
  <c r="DC99" i="1" s="1"/>
  <c r="DB65" i="1"/>
  <c r="DC65" i="1" s="1"/>
  <c r="DB39" i="1"/>
  <c r="DC39" i="1" s="1"/>
  <c r="DB92" i="1"/>
  <c r="DC92" i="1" s="1"/>
  <c r="CJ114" i="1"/>
  <c r="CK114" i="1"/>
  <c r="CZ114" i="1"/>
  <c r="CZ118" i="1" s="1"/>
  <c r="DE18" i="1" l="1"/>
  <c r="DE65" i="1"/>
  <c r="DE59" i="1"/>
  <c r="DE38" i="1"/>
  <c r="DE51" i="1"/>
  <c r="DE47" i="1"/>
  <c r="DE64" i="1"/>
  <c r="DE23" i="1"/>
  <c r="DE77" i="1"/>
  <c r="DE61" i="1"/>
  <c r="DE70" i="1"/>
  <c r="DE71" i="1"/>
  <c r="DE40" i="1"/>
  <c r="DE26" i="1"/>
  <c r="DE52" i="1"/>
  <c r="DE45" i="1"/>
  <c r="DE53" i="1"/>
  <c r="DE44" i="1"/>
  <c r="DE68" i="1"/>
  <c r="DE24" i="1"/>
  <c r="DE30" i="1"/>
  <c r="DE56" i="1"/>
  <c r="DE62" i="1"/>
  <c r="DE75" i="1"/>
  <c r="DE32" i="1"/>
  <c r="DE80" i="1"/>
  <c r="DE50" i="1"/>
  <c r="DE74" i="1"/>
  <c r="DE57" i="1"/>
  <c r="DE25" i="1"/>
  <c r="DE49" i="1"/>
  <c r="DE48" i="1"/>
  <c r="DE55" i="1"/>
  <c r="DE58" i="1"/>
  <c r="DE36" i="1"/>
  <c r="DE33" i="1"/>
  <c r="DE69" i="1"/>
  <c r="DE66" i="1"/>
  <c r="DE34" i="1"/>
  <c r="DE19" i="1"/>
  <c r="DE42" i="1"/>
  <c r="DE28" i="1"/>
  <c r="DE79" i="1"/>
  <c r="DE60" i="1"/>
  <c r="DE35" i="1"/>
  <c r="DE76" i="1"/>
  <c r="DE29" i="1"/>
  <c r="DE72" i="1"/>
  <c r="DE21" i="1"/>
  <c r="DE78" i="1"/>
  <c r="DE73" i="1"/>
  <c r="DE81" i="1"/>
  <c r="DE31" i="1"/>
  <c r="DE46" i="1"/>
  <c r="DE39" i="1"/>
  <c r="DE41" i="1"/>
  <c r="DE22" i="1"/>
  <c r="DE54" i="1"/>
  <c r="DE20" i="1"/>
  <c r="DE63" i="1"/>
  <c r="DE43" i="1"/>
  <c r="DE27" i="1"/>
  <c r="DE67" i="1"/>
  <c r="DE37" i="1"/>
  <c r="DE110" i="1"/>
  <c r="DE101" i="1"/>
  <c r="DE83" i="1"/>
  <c r="DE92" i="1"/>
  <c r="DE102" i="1"/>
  <c r="DE89" i="1"/>
  <c r="DE103" i="1"/>
  <c r="DE88" i="1"/>
  <c r="DE108" i="1"/>
  <c r="DE85" i="1"/>
  <c r="DE91" i="1"/>
  <c r="DE99" i="1"/>
  <c r="DE112" i="1"/>
  <c r="DE86" i="1"/>
  <c r="DE100" i="1"/>
  <c r="DE82" i="1"/>
  <c r="DE107" i="1"/>
  <c r="DE95" i="1"/>
  <c r="DE111" i="1"/>
  <c r="DE109" i="1"/>
  <c r="DE94" i="1"/>
  <c r="DE98" i="1"/>
  <c r="DE113" i="1"/>
  <c r="DE97" i="1"/>
  <c r="DE104" i="1"/>
  <c r="DE90" i="1"/>
  <c r="DE96" i="1"/>
  <c r="DE106" i="1"/>
  <c r="DE84" i="1"/>
  <c r="DE105" i="1"/>
  <c r="DE93" i="1"/>
  <c r="DB114" i="1"/>
  <c r="DB118" i="1" s="1"/>
  <c r="DC87" i="1"/>
  <c r="DA114" i="1"/>
  <c r="DA118" i="1" s="1"/>
  <c r="DB120" i="1" s="1"/>
  <c r="DB121" i="1" s="1"/>
  <c r="DC114" i="1" l="1"/>
  <c r="DE87" i="1"/>
  <c r="DE114" i="1" s="1"/>
  <c r="U114" i="1" l="1"/>
  <c r="U4" i="1" s="1"/>
  <c r="T11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Candela</author>
  </authors>
  <commentList>
    <comment ref="O1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Candela:</t>
        </r>
        <r>
          <rPr>
            <sz val="9"/>
            <color indexed="81"/>
            <rFont val="Tahoma"/>
            <family val="2"/>
          </rPr>
          <t xml:space="preserve">
SEGÚN LIQUIDACION DE EMPRESA</t>
        </r>
      </text>
    </comment>
    <comment ref="BB1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Candela:</t>
        </r>
        <r>
          <rPr>
            <sz val="9"/>
            <color indexed="81"/>
            <rFont val="Tahoma"/>
            <family val="2"/>
          </rPr>
          <t xml:space="preserve">
LAS HE SE LIQUIDAN COMO HS SIMPLES</t>
        </r>
      </text>
    </comment>
    <comment ref="BL1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Candela:</t>
        </r>
        <r>
          <rPr>
            <sz val="9"/>
            <color indexed="81"/>
            <rFont val="Tahoma"/>
            <family val="2"/>
          </rPr>
          <t xml:space="preserve">
PROPORCIONO SOLO A JORNALES IGUAL QUE LA EMPRESA</t>
        </r>
      </text>
    </comment>
    <comment ref="BM1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Candela:</t>
        </r>
        <r>
          <rPr>
            <sz val="9"/>
            <color indexed="81"/>
            <rFont val="Tahoma"/>
            <family val="2"/>
          </rPr>
          <t xml:space="preserve">
LIQUIDAMOS SEGÚN EMPRESA</t>
        </r>
      </text>
    </comment>
    <comment ref="BN1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Candela: según CCT aplicando % según novedades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O16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Candela:</t>
        </r>
        <r>
          <rPr>
            <sz val="9"/>
            <color indexed="81"/>
            <rFont val="Tahoma"/>
            <family val="2"/>
          </rPr>
          <t xml:space="preserve">
5% según indicacion de la empresa</t>
        </r>
      </text>
    </comment>
    <comment ref="CF16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Candela:</t>
        </r>
        <r>
          <rPr>
            <sz val="9"/>
            <color indexed="81"/>
            <rFont val="Tahoma"/>
            <family val="2"/>
          </rPr>
          <t xml:space="preserve">
HAY EMPLEADOS A QUIENES LES RETIENEN FEIA</t>
        </r>
      </text>
    </comment>
    <comment ref="CJ16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Candela:Según el punto CUARTO del ultimo acuerdo, es todo contribucion.</t>
        </r>
      </text>
    </comment>
    <comment ref="CR16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Candela:</t>
        </r>
        <r>
          <rPr>
            <sz val="9"/>
            <color indexed="81"/>
            <rFont val="Tahoma"/>
            <family val="2"/>
          </rPr>
          <t xml:space="preserve">
Importes fijos acordados, se liquidan solo en zafra</t>
        </r>
      </text>
    </comment>
    <comment ref="CT16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Candela:</t>
        </r>
        <r>
          <rPr>
            <sz val="9"/>
            <color indexed="81"/>
            <rFont val="Tahoma"/>
            <family val="2"/>
          </rPr>
          <t xml:space="preserve">
SEGÚN EMPRESA</t>
        </r>
      </text>
    </comment>
    <comment ref="CZ16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Candela:</t>
        </r>
        <r>
          <rPr>
            <sz val="9"/>
            <color indexed="81"/>
            <rFont val="Tahoma"/>
            <family val="2"/>
          </rPr>
          <t xml:space="preserve">
SEGÚN EMPRESA</t>
        </r>
      </text>
    </comment>
    <comment ref="DA16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Candela:</t>
        </r>
        <r>
          <rPr>
            <sz val="9"/>
            <color indexed="81"/>
            <rFont val="Tahoma"/>
            <family val="2"/>
          </rPr>
          <t xml:space="preserve">
SEGÚN EMPRESA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Candela</author>
  </authors>
  <commentList>
    <comment ref="O1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Candela:</t>
        </r>
        <r>
          <rPr>
            <sz val="9"/>
            <color indexed="81"/>
            <rFont val="Tahoma"/>
            <family val="2"/>
          </rPr>
          <t xml:space="preserve">
SEGÚN LIQUIDACION DE EMPRESA</t>
        </r>
      </text>
    </comment>
    <comment ref="BB1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Candela:</t>
        </r>
        <r>
          <rPr>
            <sz val="9"/>
            <color indexed="81"/>
            <rFont val="Tahoma"/>
            <family val="2"/>
          </rPr>
          <t xml:space="preserve">
LAS HE SE LIQUIDAN COMO HS SIMPLES</t>
        </r>
      </text>
    </comment>
    <comment ref="BL1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Candela:</t>
        </r>
        <r>
          <rPr>
            <sz val="9"/>
            <color indexed="81"/>
            <rFont val="Tahoma"/>
            <family val="2"/>
          </rPr>
          <t xml:space="preserve">
PROPORCIONO SOLO A JORNALES IGUAL QUE LA EMPRESA</t>
        </r>
      </text>
    </comment>
    <comment ref="BM1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Candela:</t>
        </r>
        <r>
          <rPr>
            <sz val="9"/>
            <color indexed="81"/>
            <rFont val="Tahoma"/>
            <family val="2"/>
          </rPr>
          <t xml:space="preserve">
LIQUIDAMOS SEGÚN EMPRESA</t>
        </r>
      </text>
    </comment>
    <comment ref="BN1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Candela: según CCT aplicando % según novedades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O1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Candela:</t>
        </r>
        <r>
          <rPr>
            <sz val="9"/>
            <color indexed="81"/>
            <rFont val="Tahoma"/>
            <family val="2"/>
          </rPr>
          <t xml:space="preserve">
5% según indicacion de la empresa</t>
        </r>
      </text>
    </comment>
    <comment ref="CF1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Candela:</t>
        </r>
        <r>
          <rPr>
            <sz val="9"/>
            <color indexed="81"/>
            <rFont val="Tahoma"/>
            <family val="2"/>
          </rPr>
          <t xml:space="preserve">
HAY EMPLEADOS A QUIENES LES RETIENEN FEIA</t>
        </r>
      </text>
    </comment>
    <comment ref="CJ1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Candela:Según el punto CUARTO del ultimo acuerdo, es todo contribucion.</t>
        </r>
      </text>
    </comment>
    <comment ref="CR1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Candela:</t>
        </r>
        <r>
          <rPr>
            <sz val="9"/>
            <color indexed="81"/>
            <rFont val="Tahoma"/>
            <family val="2"/>
          </rPr>
          <t xml:space="preserve">
Importes fijos acordados, se liquidan solo en zafra</t>
        </r>
      </text>
    </comment>
    <comment ref="CT1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Candela:</t>
        </r>
        <r>
          <rPr>
            <sz val="9"/>
            <color indexed="81"/>
            <rFont val="Tahoma"/>
            <family val="2"/>
          </rPr>
          <t xml:space="preserve">
SEGÚN EMPRESA</t>
        </r>
      </text>
    </comment>
    <comment ref="CZ1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Candela:</t>
        </r>
        <r>
          <rPr>
            <sz val="9"/>
            <color indexed="81"/>
            <rFont val="Tahoma"/>
            <family val="2"/>
          </rPr>
          <t xml:space="preserve">
SEGÚN EMPRESA</t>
        </r>
      </text>
    </comment>
    <comment ref="DA1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Candela:</t>
        </r>
        <r>
          <rPr>
            <sz val="9"/>
            <color indexed="81"/>
            <rFont val="Tahoma"/>
            <family val="2"/>
          </rPr>
          <t xml:space="preserve">
SEGÚN EMPRESA</t>
        </r>
      </text>
    </comment>
  </commentList>
</comments>
</file>

<file path=xl/sharedStrings.xml><?xml version="1.0" encoding="utf-8"?>
<sst xmlns="http://schemas.openxmlformats.org/spreadsheetml/2006/main" count="1448" uniqueCount="223">
  <si>
    <t>Cat.</t>
  </si>
  <si>
    <t>Basico</t>
  </si>
  <si>
    <t>No Rem</t>
  </si>
  <si>
    <t>Basico Conf.</t>
  </si>
  <si>
    <t>Escalafon</t>
  </si>
  <si>
    <t>escalafon NR</t>
  </si>
  <si>
    <t>Escalafon Conf.</t>
  </si>
  <si>
    <t>Q01</t>
  </si>
  <si>
    <t>Q02</t>
  </si>
  <si>
    <t>Q03</t>
  </si>
  <si>
    <t>Q04</t>
  </si>
  <si>
    <t>Q05</t>
  </si>
  <si>
    <t>Q06</t>
  </si>
  <si>
    <t>Q07</t>
  </si>
  <si>
    <t>Q08</t>
  </si>
  <si>
    <t>TOPE</t>
  </si>
  <si>
    <t>La Corona</t>
  </si>
  <si>
    <t>LIQ</t>
  </si>
  <si>
    <t>Leg.</t>
  </si>
  <si>
    <t>Sector</t>
  </si>
  <si>
    <t>Empleado</t>
  </si>
  <si>
    <t>OS FOTIA</t>
  </si>
  <si>
    <t>OSPAT</t>
  </si>
  <si>
    <t>Edad + 60</t>
  </si>
  <si>
    <t>Pensión s/ Rem</t>
  </si>
  <si>
    <t>Pensión s/ No Rem</t>
  </si>
  <si>
    <t>Cat. I</t>
  </si>
  <si>
    <t>Cat. II</t>
  </si>
  <si>
    <t>Dif de Cat.</t>
  </si>
  <si>
    <t xml:space="preserve">Antigüedad </t>
  </si>
  <si>
    <t>Años reconocidos</t>
  </si>
  <si>
    <t>Básico Rem</t>
  </si>
  <si>
    <t>Basico No Rem</t>
  </si>
  <si>
    <t>Titulo</t>
  </si>
  <si>
    <t>Jornales</t>
  </si>
  <si>
    <t>Jornales a liq</t>
  </si>
  <si>
    <t>Dias de Enfermedad</t>
  </si>
  <si>
    <t xml:space="preserve">Feriado </t>
  </si>
  <si>
    <t>Feriado Trabajado</t>
  </si>
  <si>
    <t>ART</t>
  </si>
  <si>
    <t>Retiro Anticipado</t>
  </si>
  <si>
    <t>HS Simples</t>
  </si>
  <si>
    <t>Faltas c/ aviso</t>
  </si>
  <si>
    <t>Faltas s/ aviso</t>
  </si>
  <si>
    <t>Llegada tarde</t>
  </si>
  <si>
    <t>Dias de Susp</t>
  </si>
  <si>
    <t>Lic c/ Goce</t>
  </si>
  <si>
    <t>Lic s/ Goce</t>
  </si>
  <si>
    <t xml:space="preserve">Altura </t>
  </si>
  <si>
    <t>Destajo</t>
  </si>
  <si>
    <t>Donacion de sangre</t>
  </si>
  <si>
    <t>HS 50%</t>
  </si>
  <si>
    <t>HS 100%</t>
  </si>
  <si>
    <t>Dest.P/Bls $ 67.134</t>
  </si>
  <si>
    <t>Dest.P/Bls. $ 52.674</t>
  </si>
  <si>
    <t>Dest.P/Bls $ 1,6226</t>
  </si>
  <si>
    <t>Dest.P/Bls $ 2.5053</t>
  </si>
  <si>
    <t>Dest.P/Bls $3.1374</t>
  </si>
  <si>
    <t>Presentismo</t>
  </si>
  <si>
    <t>Premio Asist.</t>
  </si>
  <si>
    <t>Reint de Mec</t>
  </si>
  <si>
    <t>Total Jornales</t>
  </si>
  <si>
    <t>Sueldo Basico</t>
  </si>
  <si>
    <t>Altura</t>
  </si>
  <si>
    <t>Donacion de Sangre</t>
  </si>
  <si>
    <t>Dedicación (clc)</t>
  </si>
  <si>
    <t>Dif. De Cat.</t>
  </si>
  <si>
    <t>1200 - Dif + VsX/ Importe Concepto</t>
  </si>
  <si>
    <t>Ajuste 1ra. Qna.</t>
  </si>
  <si>
    <t>Ajuste 2da. Qna.</t>
  </si>
  <si>
    <t>NR &gt; 60</t>
  </si>
  <si>
    <t>Bruto Total</t>
  </si>
  <si>
    <t>Jubilación</t>
  </si>
  <si>
    <t>Ley 19.032</t>
  </si>
  <si>
    <t>Obra social</t>
  </si>
  <si>
    <t>Sindicato</t>
  </si>
  <si>
    <t>Adic. De O.S.</t>
  </si>
  <si>
    <t>Club Azucarera Arg</t>
  </si>
  <si>
    <t xml:space="preserve">No Remunerativo </t>
  </si>
  <si>
    <t>O.S. NR</t>
  </si>
  <si>
    <t>Sindicato NR</t>
  </si>
  <si>
    <t>Reintegro de Medicamentos</t>
  </si>
  <si>
    <t>Tickey Canasta</t>
  </si>
  <si>
    <t>Fotia Ayuda Medica</t>
  </si>
  <si>
    <t>Socorro Social Cuota</t>
  </si>
  <si>
    <t>Socorro Social Ap</t>
  </si>
  <si>
    <t>Dif+VsX</t>
  </si>
  <si>
    <t>Embargos</t>
  </si>
  <si>
    <t>Pensiones</t>
  </si>
  <si>
    <t>Club Azucarera</t>
  </si>
  <si>
    <t>Fotia Ayuda Econ.</t>
  </si>
  <si>
    <t>Colecta</t>
  </si>
  <si>
    <t>Coleta II</t>
  </si>
  <si>
    <t>Anticipos</t>
  </si>
  <si>
    <t>Neto</t>
  </si>
  <si>
    <t>Sistema</t>
  </si>
  <si>
    <t>Diferencia</t>
  </si>
  <si>
    <t xml:space="preserve"> </t>
  </si>
  <si>
    <t>CAMPO</t>
  </si>
  <si>
    <t>POL JUAN FRANCISCO</t>
  </si>
  <si>
    <t>OGAS JULIO ISIDRO</t>
  </si>
  <si>
    <t>NUÑEZ JUAN PABLO</t>
  </si>
  <si>
    <t>ARAGON VICTOR DANIEL</t>
  </si>
  <si>
    <t>SORIA LUIS OSCAR</t>
  </si>
  <si>
    <t>ARIAS HORACIO OSCAR</t>
  </si>
  <si>
    <t>VARGAS LUIS MARIANO</t>
  </si>
  <si>
    <t>BELMONTE CESAR ANTONIO</t>
  </si>
  <si>
    <t>NUÑEZ HECTOR JAVIER</t>
  </si>
  <si>
    <t>GALVAN ANTONIO ROBERTO</t>
  </si>
  <si>
    <t>CISNEROS RAMON EXEQUIEL</t>
  </si>
  <si>
    <t>ARAUJO RODRIGO SEBASTIAN</t>
  </si>
  <si>
    <t>ARGAÑARAZ SERGIO VICTOR</t>
  </si>
  <si>
    <t>ARIAS SEGUNDO FRANCISCO</t>
  </si>
  <si>
    <t>BARRAZA RUBEN DAVID</t>
  </si>
  <si>
    <t>BORQUES VIRGILIO MARIO</t>
  </si>
  <si>
    <t>BORQUEZ JOSE ALBERTO</t>
  </si>
  <si>
    <t>CAÑA MARIO CESAR</t>
  </si>
  <si>
    <t>CARRAZANA VICTOR HUGO</t>
  </si>
  <si>
    <t>CARRERAS MERCEDES ROSENDO</t>
  </si>
  <si>
    <t>CASTRO MIGUEL ALEJANDRO</t>
  </si>
  <si>
    <t>DIAZ ENRIQUE ANTONIO</t>
  </si>
  <si>
    <t>DIAZ WALTER ENRIQUE</t>
  </si>
  <si>
    <t>DONAIRE JOSE ENRIQUE</t>
  </si>
  <si>
    <t>GALVAN JUSTO JOSE</t>
  </si>
  <si>
    <t>GALVAN MIGUEL ANGEL</t>
  </si>
  <si>
    <t>GOMEZ DANIEL ALEJANDRO</t>
  </si>
  <si>
    <t>GOMEZ MARIO ALFREDO</t>
  </si>
  <si>
    <t>GONZALEZ JUAN IGNACIO</t>
  </si>
  <si>
    <t>GONZALEZ LUCAS GUSTAVO</t>
  </si>
  <si>
    <t>HERRERA JUAN FRANCISCO</t>
  </si>
  <si>
    <t>HERRERA SEGUNDO DIONISIO</t>
  </si>
  <si>
    <t>JUAREZ HECTOR ARIEL</t>
  </si>
  <si>
    <t>JUAREZ JOSE CORNELIO</t>
  </si>
  <si>
    <t>JUAREZ JOSE LUIS</t>
  </si>
  <si>
    <t>JUAREZ VICTOR HUGO</t>
  </si>
  <si>
    <t>LEGUIZAMON MARIO ENRIQUE</t>
  </si>
  <si>
    <t>LUCENA JUAN MARCELO</t>
  </si>
  <si>
    <t>LUCENA SILVIO OMAR</t>
  </si>
  <si>
    <t>LUNA JULIO CESAR</t>
  </si>
  <si>
    <t>MEDINA JUAN ALBERTO</t>
  </si>
  <si>
    <t>NIETO JORGE LUIS</t>
  </si>
  <si>
    <t>ORONA VICTOR GONZALO</t>
  </si>
  <si>
    <t>RODRIGUEZ RAMÓN ANTONIO</t>
  </si>
  <si>
    <t>ROJAS JUAN GUILLERMO</t>
  </si>
  <si>
    <t>ROJAS MARCELO GABRIEL</t>
  </si>
  <si>
    <t>ROMERO ARIEL DAVID</t>
  </si>
  <si>
    <t>RUIZ DANIEL EVARISTO</t>
  </si>
  <si>
    <t>SANTILLAN JORGE ESTEBAN</t>
  </si>
  <si>
    <t>SERRANO FABIAN EDUARDO</t>
  </si>
  <si>
    <t>SERRANO JORGE RICARDO</t>
  </si>
  <si>
    <t>SILVA SERGIO GUILLERMO</t>
  </si>
  <si>
    <t>SORIA GABRIEL GUSTAVO</t>
  </si>
  <si>
    <t>SOSA OSCAR ALFREDO</t>
  </si>
  <si>
    <t>TARTALO JOSE OSCAR</t>
  </si>
  <si>
    <t>VALDEZ FLORINDO ARNALDO</t>
  </si>
  <si>
    <t>VISUARA MIGUEL ANGEL</t>
  </si>
  <si>
    <t>VARGAS ARNALDO VICENTE</t>
  </si>
  <si>
    <t>LUNA JORGE MIGUEL</t>
  </si>
  <si>
    <t>RODRIGUEZ MANUEL EDUARDO</t>
  </si>
  <si>
    <t>ALEMAN FELIX OMAR</t>
  </si>
  <si>
    <t>JEREZ RUBEN PASCUAL</t>
  </si>
  <si>
    <t>RODRIGUEZ MIGUEL RENE</t>
  </si>
  <si>
    <t>ARAGON JOSE ADRIAN</t>
  </si>
  <si>
    <t>COSTILLA CARLOS DAMIAN</t>
  </si>
  <si>
    <t>COSTILLA DANIEL ANTONIO</t>
  </si>
  <si>
    <t>ESCOBAR JUAN EDUARDO</t>
  </si>
  <si>
    <t>GRAMAJO JUAN JESUS ISAIAS</t>
  </si>
  <si>
    <t>MEDINA JORGE MARCELO</t>
  </si>
  <si>
    <t>ORELLANA FRANCO MICAEL</t>
  </si>
  <si>
    <t>TARTALO ANTONIO SEGUNDO RAFAEL</t>
  </si>
  <si>
    <t>TORRES DANIEL ALBERTO</t>
  </si>
  <si>
    <t>VARGAS FACUNDO ELISEO</t>
  </si>
  <si>
    <t>VARGAS JORGE DANIEL</t>
  </si>
  <si>
    <t>ARAGON ADRIAN ALEJANDRO</t>
  </si>
  <si>
    <t>OLIVERA ANDRES MAXIMILIANO</t>
  </si>
  <si>
    <t>ARGAÑARAZ FRANCO IVAN</t>
  </si>
  <si>
    <t>GUTIERREZ ELIO GUSTAVO</t>
  </si>
  <si>
    <t>HERRERA NELSON JESUS</t>
  </si>
  <si>
    <t>FERRATO MIGUEL ALBERTO</t>
  </si>
  <si>
    <t>VIDES DANIEL GUSTAVO</t>
  </si>
  <si>
    <t>ABREGU CRISTIAN ARIEL</t>
  </si>
  <si>
    <t>ARGAÑARAZ RODRIGO ALBERTO</t>
  </si>
  <si>
    <t>ARCE MARIO ALBERTO</t>
  </si>
  <si>
    <t>MEDINA JOSE FELIX</t>
  </si>
  <si>
    <t>MUÑOZ FERNANDO FEDERICO</t>
  </si>
  <si>
    <t>ALEGRE FRANCO RODRIGO</t>
  </si>
  <si>
    <t>TARTALO CRISTIAN IVAN</t>
  </si>
  <si>
    <t>LUCENA MATIAS ADRIAN</t>
  </si>
  <si>
    <t>BULACIO MIGUEL ALBERTO</t>
  </si>
  <si>
    <t>CASTILLO ROQUE TOMAS</t>
  </si>
  <si>
    <t>LEIVA GUILLERMO ADRIAN</t>
  </si>
  <si>
    <t>GONZALEZ JOSE LUIS</t>
  </si>
  <si>
    <t>ZERRIZUELA ALEXIS EDUARDO</t>
  </si>
  <si>
    <t>DIAZ JAVIER DANIEL</t>
  </si>
  <si>
    <t>OGAS LUIS</t>
  </si>
  <si>
    <t>Feia Ayuda Medica</t>
  </si>
  <si>
    <t>REINTMED</t>
  </si>
  <si>
    <t>AYUMED</t>
  </si>
  <si>
    <t>LEG SIS</t>
  </si>
  <si>
    <t>VALART</t>
  </si>
  <si>
    <t>sind</t>
  </si>
  <si>
    <t>FOTIA</t>
  </si>
  <si>
    <t>FEIA</t>
  </si>
  <si>
    <t>Beneficiaria</t>
  </si>
  <si>
    <t>CUIL</t>
  </si>
  <si>
    <t>Importe a pagar</t>
  </si>
  <si>
    <t>Fecha de Pago</t>
  </si>
  <si>
    <t xml:space="preserve">Firma </t>
  </si>
  <si>
    <t>PENSIONES ALIMENTICIAS PERSONAL JORNALIZADO CAMPO - 1 QUINCENA ENERO 2026</t>
  </si>
  <si>
    <t>INGENIO LA CORONA</t>
  </si>
  <si>
    <t>Concepcion - Tucumán</t>
  </si>
  <si>
    <t>2a Qna Diciembre 2025 - Jornalizados Campo V2</t>
  </si>
  <si>
    <t>T. Liq.</t>
  </si>
  <si>
    <t>Feriado</t>
  </si>
  <si>
    <t>Hs Simple</t>
  </si>
  <si>
    <t>V1</t>
  </si>
  <si>
    <t>V2</t>
  </si>
  <si>
    <t>Total</t>
  </si>
  <si>
    <t>Pensiones Alimenticias</t>
  </si>
  <si>
    <t>Firma</t>
  </si>
  <si>
    <t>2ª Qna</t>
  </si>
  <si>
    <t>Leí y Recibí conforme</t>
  </si>
  <si>
    <t>Has con cincel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</si>
</sst>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_-* #,##0.0000_-;\-* #,##0.0000_-;_-* &quot;-&quot;??_-;_-@_-"/>
    <numFmt numFmtId="166" formatCode="_ * #,##0.00000_ ;_ * \-#,##0.00000_ ;_ * &quot;-&quot;??_ ;_ @_ "/>
    <numFmt numFmtId="167" formatCode="_ * #,##0.0000_ ;_ * \-#,##0.0000_ ;_ * &quot;-&quot;??_ ;_ @_ "/>
    <numFmt numFmtId="168" formatCode="d/mm/yy"/>
    <numFmt numFmtId="169" formatCode="dd/mm/yy;@"/>
    <numFmt numFmtId="170" formatCode="_ * #,##0.000_ ;_ * \-#,##0.000_ ;_ * &quot;-&quot;??_ ;_ @_ "/>
    <numFmt numFmtId="171" formatCode="_ * #,##0_ ;_ * \-#,##0_ ;_ * &quot;-&quot;??_ ;_ @_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indexed="51"/>
      </patternFill>
    </fill>
    <fill>
      <patternFill patternType="solid">
        <fgColor theme="4" tint="-0.249977111117893"/>
        <bgColor indexed="51"/>
      </patternFill>
    </fill>
    <fill>
      <patternFill patternType="solid">
        <fgColor theme="3"/>
        <bgColor indexed="44"/>
      </patternFill>
    </fill>
    <fill>
      <patternFill patternType="solid">
        <fgColor theme="1" tint="0.499984740745262"/>
        <bgColor indexed="51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1" fillId="0" borderId="0"/>
  </cellStyleXfs>
  <cellXfs count="184">
    <xf numFmtId="0" fontId="0" fillId="0" borderId="0" xfId="0"/>
    <xf numFmtId="0" fontId="3" fillId="0" borderId="0" xfId="4" applyFont="1" applyAlignment="1">
      <alignment horizontal="center"/>
    </xf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3" fillId="0" borderId="0" xfId="4" applyFont="1" applyAlignment="1">
      <alignment horizontal="left"/>
    </xf>
    <xf numFmtId="0" fontId="5" fillId="0" borderId="0" xfId="4" applyFont="1"/>
    <xf numFmtId="0" fontId="3" fillId="0" borderId="1" xfId="4" applyFont="1" applyBorder="1" applyAlignment="1">
      <alignment horizontal="center"/>
    </xf>
    <xf numFmtId="0" fontId="3" fillId="0" borderId="1" xfId="4" applyFont="1" applyBorder="1"/>
    <xf numFmtId="4" fontId="3" fillId="0" borderId="0" xfId="4" applyNumberFormat="1" applyFont="1"/>
    <xf numFmtId="0" fontId="6" fillId="0" borderId="0" xfId="4" applyFont="1" applyAlignment="1">
      <alignment horizontal="left"/>
    </xf>
    <xf numFmtId="0" fontId="6" fillId="0" borderId="0" xfId="4" applyFont="1"/>
    <xf numFmtId="0" fontId="6" fillId="0" borderId="0" xfId="4" applyFont="1" applyAlignment="1">
      <alignment horizontal="center" vertical="center" wrapText="1"/>
    </xf>
    <xf numFmtId="164" fontId="3" fillId="0" borderId="0" xfId="1" applyFont="1"/>
    <xf numFmtId="164" fontId="1" fillId="0" borderId="0" xfId="1" applyFont="1"/>
    <xf numFmtId="164" fontId="5" fillId="0" borderId="0" xfId="1" applyFont="1" applyFill="1" applyBorder="1"/>
    <xf numFmtId="164" fontId="4" fillId="0" borderId="0" xfId="1" applyFont="1" applyBorder="1" applyAlignment="1">
      <alignment horizontal="left"/>
    </xf>
    <xf numFmtId="164" fontId="6" fillId="0" borderId="0" xfId="1" applyFont="1"/>
    <xf numFmtId="164" fontId="6" fillId="0" borderId="0" xfId="1" applyFont="1" applyBorder="1"/>
    <xf numFmtId="164" fontId="4" fillId="0" borderId="0" xfId="1" applyFont="1" applyBorder="1"/>
    <xf numFmtId="165" fontId="6" fillId="0" borderId="1" xfId="4" applyNumberFormat="1" applyFont="1" applyBorder="1" applyAlignment="1">
      <alignment horizontal="center"/>
    </xf>
    <xf numFmtId="0" fontId="3" fillId="0" borderId="2" xfId="4" applyFont="1" applyBorder="1" applyAlignment="1">
      <alignment horizontal="center"/>
    </xf>
    <xf numFmtId="164" fontId="3" fillId="0" borderId="2" xfId="1" applyFont="1" applyBorder="1"/>
    <xf numFmtId="164" fontId="7" fillId="0" borderId="2" xfId="1" applyFont="1" applyBorder="1"/>
    <xf numFmtId="164" fontId="5" fillId="2" borderId="2" xfId="1" applyFont="1" applyFill="1" applyBorder="1"/>
    <xf numFmtId="164" fontId="7" fillId="0" borderId="2" xfId="1" applyFont="1" applyBorder="1" applyAlignment="1">
      <alignment horizontal="center"/>
    </xf>
    <xf numFmtId="164" fontId="8" fillId="2" borderId="2" xfId="1" applyFont="1" applyFill="1" applyBorder="1"/>
    <xf numFmtId="166" fontId="3" fillId="0" borderId="0" xfId="1" applyNumberFormat="1" applyFont="1"/>
    <xf numFmtId="164" fontId="3" fillId="0" borderId="0" xfId="1" applyFont="1" applyAlignment="1">
      <alignment horizontal="center"/>
    </xf>
    <xf numFmtId="0" fontId="6" fillId="0" borderId="0" xfId="4" applyFont="1" applyAlignment="1">
      <alignment horizontal="center"/>
    </xf>
    <xf numFmtId="2" fontId="6" fillId="0" borderId="0" xfId="4" applyNumberFormat="1" applyFont="1"/>
    <xf numFmtId="164" fontId="6" fillId="0" borderId="1" xfId="1" applyFont="1" applyBorder="1" applyAlignment="1">
      <alignment horizontal="center"/>
    </xf>
    <xf numFmtId="164" fontId="3" fillId="0" borderId="2" xfId="1" applyFont="1" applyBorder="1" applyAlignment="1">
      <alignment horizontal="center"/>
    </xf>
    <xf numFmtId="164" fontId="9" fillId="2" borderId="2" xfId="1" applyFont="1" applyFill="1" applyBorder="1"/>
    <xf numFmtId="43" fontId="6" fillId="0" borderId="0" xfId="4" applyNumberFormat="1" applyFont="1" applyAlignment="1">
      <alignment horizontal="center"/>
    </xf>
    <xf numFmtId="43" fontId="6" fillId="0" borderId="0" xfId="4" applyNumberFormat="1" applyFont="1"/>
    <xf numFmtId="2" fontId="6" fillId="0" borderId="1" xfId="4" applyNumberFormat="1" applyFont="1" applyBorder="1" applyAlignment="1">
      <alignment horizontal="center"/>
    </xf>
    <xf numFmtId="164" fontId="5" fillId="0" borderId="0" xfId="1" applyFont="1"/>
    <xf numFmtId="0" fontId="6" fillId="0" borderId="1" xfId="4" applyFont="1" applyBorder="1" applyAlignment="1">
      <alignment horizontal="center"/>
    </xf>
    <xf numFmtId="167" fontId="3" fillId="0" borderId="0" xfId="1" applyNumberFormat="1" applyFont="1"/>
    <xf numFmtId="2" fontId="3" fillId="0" borderId="0" xfId="4" applyNumberFormat="1" applyFont="1" applyAlignment="1">
      <alignment horizontal="center"/>
    </xf>
    <xf numFmtId="2" fontId="3" fillId="0" borderId="0" xfId="4" applyNumberFormat="1" applyFont="1"/>
    <xf numFmtId="164" fontId="3" fillId="0" borderId="0" xfId="4" applyNumberFormat="1" applyFont="1"/>
    <xf numFmtId="2" fontId="3" fillId="0" borderId="0" xfId="0" applyNumberFormat="1" applyFont="1" applyAlignment="1">
      <alignment horizontal="center"/>
    </xf>
    <xf numFmtId="2" fontId="3" fillId="0" borderId="1" xfId="4" applyNumberFormat="1" applyFont="1" applyBorder="1" applyAlignment="1">
      <alignment horizontal="center"/>
    </xf>
    <xf numFmtId="17" fontId="3" fillId="0" borderId="0" xfId="4" applyNumberFormat="1" applyFont="1" applyAlignment="1">
      <alignment horizontal="center"/>
    </xf>
    <xf numFmtId="43" fontId="3" fillId="0" borderId="0" xfId="4" applyNumberFormat="1" applyFont="1"/>
    <xf numFmtId="0" fontId="3" fillId="0" borderId="0" xfId="0" applyFont="1" applyAlignment="1">
      <alignment horizontal="center"/>
    </xf>
    <xf numFmtId="167" fontId="3" fillId="0" borderId="0" xfId="1" applyNumberFormat="1" applyFont="1" applyAlignment="1">
      <alignment horizontal="center"/>
    </xf>
    <xf numFmtId="0" fontId="3" fillId="0" borderId="0" xfId="0" applyFont="1"/>
    <xf numFmtId="0" fontId="9" fillId="0" borderId="0" xfId="4" applyFont="1"/>
    <xf numFmtId="0" fontId="4" fillId="3" borderId="2" xfId="4" applyFont="1" applyFill="1" applyBorder="1" applyAlignment="1">
      <alignment horizontal="center"/>
    </xf>
    <xf numFmtId="0" fontId="5" fillId="0" borderId="0" xfId="4" applyFont="1" applyAlignment="1">
      <alignment horizontal="center"/>
    </xf>
    <xf numFmtId="168" fontId="3" fillId="0" borderId="0" xfId="4" applyNumberFormat="1" applyFont="1" applyAlignment="1">
      <alignment horizontal="center"/>
    </xf>
    <xf numFmtId="44" fontId="3" fillId="0" borderId="0" xfId="2" applyFont="1"/>
    <xf numFmtId="0" fontId="5" fillId="0" borderId="0" xfId="4" applyFont="1" applyAlignment="1">
      <alignment horizontal="left"/>
    </xf>
    <xf numFmtId="0" fontId="10" fillId="0" borderId="0" xfId="4" applyFont="1"/>
    <xf numFmtId="10" fontId="3" fillId="0" borderId="0" xfId="4" applyNumberFormat="1" applyFont="1"/>
    <xf numFmtId="4" fontId="3" fillId="0" borderId="0" xfId="4" applyNumberFormat="1" applyFont="1" applyAlignment="1">
      <alignment vertical="center"/>
    </xf>
    <xf numFmtId="2" fontId="5" fillId="0" borderId="0" xfId="4" applyNumberFormat="1" applyFont="1"/>
    <xf numFmtId="0" fontId="5" fillId="0" borderId="0" xfId="4" applyFont="1" applyAlignment="1">
      <alignment horizontal="left" vertical="center"/>
    </xf>
    <xf numFmtId="169" fontId="5" fillId="0" borderId="2" xfId="4" applyNumberFormat="1" applyFont="1" applyBorder="1" applyAlignment="1">
      <alignment horizontal="center"/>
    </xf>
    <xf numFmtId="169" fontId="5" fillId="0" borderId="0" xfId="4" applyNumberFormat="1" applyFont="1" applyAlignment="1">
      <alignment horizontal="center"/>
    </xf>
    <xf numFmtId="1" fontId="3" fillId="0" borderId="0" xfId="4" applyNumberFormat="1" applyFont="1" applyAlignment="1">
      <alignment horizontal="center"/>
    </xf>
    <xf numFmtId="9" fontId="3" fillId="0" borderId="0" xfId="3" applyFont="1" applyFill="1"/>
    <xf numFmtId="9" fontId="3" fillId="0" borderId="0" xfId="4" applyNumberFormat="1" applyFont="1"/>
    <xf numFmtId="164" fontId="3" fillId="0" borderId="0" xfId="1" applyFont="1" applyFill="1"/>
    <xf numFmtId="167" fontId="3" fillId="0" borderId="0" xfId="4" applyNumberFormat="1" applyFont="1"/>
    <xf numFmtId="9" fontId="3" fillId="0" borderId="0" xfId="4" applyNumberFormat="1" applyFont="1" applyAlignment="1">
      <alignment horizontal="center"/>
    </xf>
    <xf numFmtId="2" fontId="7" fillId="0" borderId="0" xfId="4" applyNumberFormat="1" applyFont="1"/>
    <xf numFmtId="0" fontId="4" fillId="4" borderId="3" xfId="4" applyFont="1" applyFill="1" applyBorder="1" applyAlignment="1">
      <alignment horizontal="center" vertical="center" wrapText="1"/>
    </xf>
    <xf numFmtId="20" fontId="4" fillId="4" borderId="3" xfId="4" applyNumberFormat="1" applyFont="1" applyFill="1" applyBorder="1" applyAlignment="1">
      <alignment horizontal="center" vertical="center" wrapText="1"/>
    </xf>
    <xf numFmtId="0" fontId="4" fillId="4" borderId="2" xfId="4" applyFont="1" applyFill="1" applyBorder="1" applyAlignment="1">
      <alignment horizontal="center" vertical="center" wrapText="1"/>
    </xf>
    <xf numFmtId="0" fontId="4" fillId="5" borderId="3" xfId="4" applyFont="1" applyFill="1" applyBorder="1" applyAlignment="1">
      <alignment horizontal="center" vertical="center" wrapText="1"/>
    </xf>
    <xf numFmtId="0" fontId="4" fillId="6" borderId="3" xfId="4" applyFont="1" applyFill="1" applyBorder="1" applyAlignment="1">
      <alignment horizontal="center" vertical="center" wrapText="1"/>
    </xf>
    <xf numFmtId="0" fontId="4" fillId="3" borderId="3" xfId="4" applyFont="1" applyFill="1" applyBorder="1" applyAlignment="1">
      <alignment horizontal="center" vertical="center" wrapText="1"/>
    </xf>
    <xf numFmtId="0" fontId="4" fillId="7" borderId="3" xfId="4" applyFont="1" applyFill="1" applyBorder="1" applyAlignment="1">
      <alignment horizontal="center" vertical="center" wrapText="1"/>
    </xf>
    <xf numFmtId="9" fontId="4" fillId="4" borderId="3" xfId="4" applyNumberFormat="1" applyFont="1" applyFill="1" applyBorder="1" applyAlignment="1">
      <alignment horizontal="center" vertical="center" wrapText="1"/>
    </xf>
    <xf numFmtId="0" fontId="5" fillId="0" borderId="0" xfId="4" applyFont="1" applyAlignment="1">
      <alignment horizontal="center" vertical="top" wrapText="1"/>
    </xf>
    <xf numFmtId="0" fontId="5" fillId="0" borderId="2" xfId="4" applyFont="1" applyBorder="1" applyAlignment="1">
      <alignment horizontal="center"/>
    </xf>
    <xf numFmtId="0" fontId="5" fillId="0" borderId="2" xfId="4" applyFont="1" applyBorder="1" applyAlignment="1">
      <alignment horizontal="left"/>
    </xf>
    <xf numFmtId="0" fontId="3" fillId="0" borderId="2" xfId="4" applyFont="1" applyBorder="1"/>
    <xf numFmtId="0" fontId="3" fillId="0" borderId="5" xfId="4" applyFont="1" applyBorder="1" applyAlignment="1">
      <alignment horizontal="center"/>
    </xf>
    <xf numFmtId="0" fontId="5" fillId="0" borderId="2" xfId="4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43" fontId="3" fillId="0" borderId="2" xfId="4" applyNumberFormat="1" applyFont="1" applyBorder="1" applyAlignment="1">
      <alignment horizontal="center"/>
    </xf>
    <xf numFmtId="1" fontId="3" fillId="0" borderId="2" xfId="4" applyNumberFormat="1" applyFont="1" applyBorder="1" applyAlignment="1">
      <alignment horizontal="center"/>
    </xf>
    <xf numFmtId="4" fontId="3" fillId="8" borderId="2" xfId="4" applyNumberFormat="1" applyFont="1" applyFill="1" applyBorder="1" applyAlignment="1">
      <alignment horizontal="center"/>
    </xf>
    <xf numFmtId="164" fontId="3" fillId="8" borderId="2" xfId="1" applyFont="1" applyFill="1" applyBorder="1" applyAlignment="1">
      <alignment horizontal="right"/>
    </xf>
    <xf numFmtId="4" fontId="3" fillId="0" borderId="2" xfId="4" applyNumberFormat="1" applyFont="1" applyBorder="1" applyAlignment="1">
      <alignment horizontal="center"/>
    </xf>
    <xf numFmtId="4" fontId="3" fillId="8" borderId="2" xfId="4" applyNumberFormat="1" applyFont="1" applyFill="1" applyBorder="1"/>
    <xf numFmtId="164" fontId="3" fillId="0" borderId="2" xfId="1" applyFont="1" applyFill="1" applyBorder="1" applyAlignment="1">
      <alignment horizontal="center"/>
    </xf>
    <xf numFmtId="43" fontId="3" fillId="8" borderId="2" xfId="4" applyNumberFormat="1" applyFont="1" applyFill="1" applyBorder="1" applyAlignment="1">
      <alignment horizontal="center"/>
    </xf>
    <xf numFmtId="164" fontId="3" fillId="0" borderId="2" xfId="1" applyFont="1" applyFill="1" applyBorder="1" applyAlignment="1">
      <alignment horizontal="right"/>
    </xf>
    <xf numFmtId="164" fontId="3" fillId="0" borderId="2" xfId="1" applyFont="1" applyFill="1" applyBorder="1"/>
    <xf numFmtId="164" fontId="8" fillId="8" borderId="2" xfId="1" applyFont="1" applyFill="1" applyBorder="1" applyAlignment="1">
      <alignment horizontal="right"/>
    </xf>
    <xf numFmtId="164" fontId="5" fillId="2" borderId="4" xfId="1" applyFont="1" applyFill="1" applyBorder="1" applyAlignment="1">
      <alignment horizontal="right"/>
    </xf>
    <xf numFmtId="164" fontId="3" fillId="0" borderId="4" xfId="1" applyFont="1" applyFill="1" applyBorder="1" applyAlignment="1">
      <alignment horizontal="right"/>
    </xf>
    <xf numFmtId="164" fontId="7" fillId="8" borderId="2" xfId="1" applyFont="1" applyFill="1" applyBorder="1"/>
    <xf numFmtId="0" fontId="7" fillId="0" borderId="2" xfId="0" applyFont="1" applyBorder="1" applyAlignment="1">
      <alignment horizontal="center"/>
    </xf>
    <xf numFmtId="0" fontId="3" fillId="9" borderId="2" xfId="0" applyFont="1" applyFill="1" applyBorder="1"/>
    <xf numFmtId="164" fontId="5" fillId="0" borderId="2" xfId="1" applyFont="1" applyFill="1" applyBorder="1" applyAlignment="1">
      <alignment horizontal="right"/>
    </xf>
    <xf numFmtId="0" fontId="3" fillId="10" borderId="2" xfId="4" applyFont="1" applyFill="1" applyBorder="1" applyAlignment="1">
      <alignment horizontal="center"/>
    </xf>
    <xf numFmtId="0" fontId="4" fillId="3" borderId="2" xfId="4" applyFont="1" applyFill="1" applyBorder="1"/>
    <xf numFmtId="4" fontId="4" fillId="3" borderId="2" xfId="4" applyNumberFormat="1" applyFont="1" applyFill="1" applyBorder="1" applyAlignment="1">
      <alignment horizontal="center"/>
    </xf>
    <xf numFmtId="165" fontId="3" fillId="0" borderId="0" xfId="4" applyNumberFormat="1" applyFont="1"/>
    <xf numFmtId="43" fontId="3" fillId="0" borderId="0" xfId="4" applyNumberFormat="1" applyFont="1" applyAlignment="1">
      <alignment horizontal="center"/>
    </xf>
    <xf numFmtId="164" fontId="3" fillId="0" borderId="0" xfId="1" applyFont="1" applyFill="1" applyAlignment="1">
      <alignment horizontal="center"/>
    </xf>
    <xf numFmtId="164" fontId="3" fillId="0" borderId="4" xfId="1" quotePrefix="1" applyFont="1" applyFill="1" applyBorder="1" applyAlignment="1">
      <alignment horizontal="right"/>
    </xf>
    <xf numFmtId="2" fontId="3" fillId="10" borderId="0" xfId="4" applyNumberFormat="1" applyFont="1" applyFill="1"/>
    <xf numFmtId="164" fontId="3" fillId="11" borderId="2" xfId="1" applyFont="1" applyFill="1" applyBorder="1" applyAlignment="1">
      <alignment horizontal="right"/>
    </xf>
    <xf numFmtId="170" fontId="3" fillId="0" borderId="2" xfId="1" applyNumberFormat="1" applyFont="1" applyBorder="1"/>
    <xf numFmtId="0" fontId="13" fillId="0" borderId="2" xfId="0" applyFont="1" applyBorder="1"/>
    <xf numFmtId="0" fontId="13" fillId="12" borderId="2" xfId="0" applyFont="1" applyFill="1" applyBorder="1"/>
    <xf numFmtId="4" fontId="3" fillId="0" borderId="0" xfId="4" applyNumberFormat="1" applyFon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16" fillId="0" borderId="2" xfId="4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43" fontId="16" fillId="0" borderId="2" xfId="0" applyNumberFormat="1" applyFont="1" applyBorder="1" applyAlignment="1">
      <alignment vertical="center"/>
    </xf>
    <xf numFmtId="164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2" xfId="4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171" fontId="17" fillId="0" borderId="2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171" fontId="16" fillId="0" borderId="0" xfId="0" applyNumberFormat="1" applyFont="1" applyAlignment="1">
      <alignment vertical="center"/>
    </xf>
    <xf numFmtId="0" fontId="15" fillId="0" borderId="0" xfId="0" applyFont="1"/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 wrapText="1"/>
    </xf>
    <xf numFmtId="171" fontId="14" fillId="0" borderId="0" xfId="0" applyNumberFormat="1" applyFont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44" fontId="15" fillId="0" borderId="2" xfId="2" applyFont="1" applyBorder="1" applyAlignment="1">
      <alignment horizontal="center" vertical="center"/>
    </xf>
    <xf numFmtId="0" fontId="15" fillId="0" borderId="0" xfId="0" applyFont="1" applyAlignment="1">
      <alignment wrapText="1"/>
    </xf>
    <xf numFmtId="14" fontId="16" fillId="0" borderId="0" xfId="0" applyNumberFormat="1" applyFont="1"/>
    <xf numFmtId="44" fontId="0" fillId="0" borderId="0" xfId="0" applyNumberFormat="1"/>
    <xf numFmtId="0" fontId="5" fillId="10" borderId="2" xfId="4" applyFont="1" applyFill="1" applyBorder="1" applyAlignment="1">
      <alignment horizontal="center"/>
    </xf>
    <xf numFmtId="0" fontId="5" fillId="10" borderId="2" xfId="0" applyFont="1" applyFill="1" applyBorder="1"/>
    <xf numFmtId="0" fontId="4" fillId="3" borderId="5" xfId="4" applyFont="1" applyFill="1" applyBorder="1" applyAlignment="1">
      <alignment horizontal="center" vertical="center"/>
    </xf>
    <xf numFmtId="0" fontId="4" fillId="3" borderId="6" xfId="4" applyFont="1" applyFill="1" applyBorder="1" applyAlignment="1">
      <alignment horizontal="center" vertical="center"/>
    </xf>
    <xf numFmtId="0" fontId="4" fillId="3" borderId="7" xfId="4" applyFont="1" applyFill="1" applyBorder="1" applyAlignment="1">
      <alignment horizontal="center" vertical="center"/>
    </xf>
    <xf numFmtId="0" fontId="3" fillId="0" borderId="2" xfId="4" applyFont="1" applyBorder="1" applyAlignment="1">
      <alignment horizontal="center" vertical="center" wrapText="1"/>
    </xf>
    <xf numFmtId="0" fontId="5" fillId="2" borderId="2" xfId="4" applyFont="1" applyFill="1" applyBorder="1" applyAlignment="1">
      <alignment horizontal="center" vertical="center" wrapText="1"/>
    </xf>
    <xf numFmtId="0" fontId="5" fillId="0" borderId="2" xfId="4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 wrapText="1"/>
    </xf>
    <xf numFmtId="0" fontId="3" fillId="0" borderId="2" xfId="4" applyFont="1" applyBorder="1" applyAlignment="1">
      <alignment horizontal="center" vertical="center"/>
    </xf>
    <xf numFmtId="0" fontId="3" fillId="0" borderId="3" xfId="4" applyFont="1" applyBorder="1" applyAlignment="1">
      <alignment horizontal="center" vertical="center" wrapText="1"/>
    </xf>
    <xf numFmtId="0" fontId="3" fillId="0" borderId="4" xfId="4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4" fillId="0" borderId="0" xfId="0" applyFont="1"/>
    <xf numFmtId="14" fontId="14" fillId="0" borderId="0" xfId="0" applyNumberFormat="1" applyFont="1"/>
    <xf numFmtId="14" fontId="0" fillId="0" borderId="0" xfId="0" applyNumberFormat="1"/>
    <xf numFmtId="4" fontId="4" fillId="0" borderId="0" xfId="4" applyNumberFormat="1" applyFont="1" applyAlignment="1">
      <alignment horizontal="center"/>
    </xf>
    <xf numFmtId="4" fontId="0" fillId="0" borderId="0" xfId="0" applyNumberFormat="1"/>
    <xf numFmtId="0" fontId="19" fillId="0" borderId="0" xfId="0" applyFont="1"/>
    <xf numFmtId="44" fontId="0" fillId="13" borderId="8" xfId="2" applyFont="1" applyFill="1" applyBorder="1" applyAlignment="1">
      <alignment horizontal="center"/>
    </xf>
    <xf numFmtId="164" fontId="20" fillId="14" borderId="2" xfId="0" applyNumberFormat="1" applyFont="1" applyFill="1" applyBorder="1"/>
    <xf numFmtId="164" fontId="21" fillId="0" borderId="0" xfId="0" applyNumberFormat="1" applyFont="1"/>
    <xf numFmtId="4" fontId="5" fillId="0" borderId="0" xfId="4" applyNumberFormat="1" applyFont="1"/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" fillId="0" borderId="2" xfId="4" applyFont="1" applyBorder="1" applyAlignment="1">
      <alignment horizontal="center" vertical="center"/>
    </xf>
    <xf numFmtId="164" fontId="15" fillId="0" borderId="2" xfId="1" applyFont="1" applyBorder="1" applyAlignment="1">
      <alignment horizontal="center" vertical="center"/>
    </xf>
    <xf numFmtId="164" fontId="15" fillId="0" borderId="2" xfId="1" applyFont="1" applyFill="1" applyBorder="1" applyAlignment="1">
      <alignment horizontal="center" vertical="center"/>
    </xf>
    <xf numFmtId="164" fontId="15" fillId="0" borderId="2" xfId="0" applyNumberFormat="1" applyFont="1" applyBorder="1" applyAlignment="1">
      <alignment horizontal="center" vertical="center"/>
    </xf>
    <xf numFmtId="43" fontId="15" fillId="0" borderId="2" xfId="0" applyNumberFormat="1" applyFont="1" applyBorder="1" applyAlignment="1">
      <alignment horizontal="center" vertical="center"/>
    </xf>
    <xf numFmtId="43" fontId="15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0" borderId="2" xfId="0" applyFont="1" applyBorder="1" applyAlignment="1">
      <alignment vertical="center"/>
    </xf>
    <xf numFmtId="164" fontId="15" fillId="0" borderId="2" xfId="1" applyFont="1" applyFill="1" applyBorder="1" applyAlignment="1">
      <alignment horizontal="center"/>
    </xf>
    <xf numFmtId="43" fontId="15" fillId="0" borderId="2" xfId="0" applyNumberFormat="1" applyFont="1" applyBorder="1"/>
    <xf numFmtId="43" fontId="15" fillId="0" borderId="2" xfId="0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15" fillId="0" borderId="2" xfId="0" applyFont="1" applyBorder="1"/>
    <xf numFmtId="0" fontId="15" fillId="0" borderId="2" xfId="4" applyFont="1" applyBorder="1" applyAlignment="1">
      <alignment horizontal="center"/>
    </xf>
    <xf numFmtId="164" fontId="15" fillId="0" borderId="2" xfId="1" applyFont="1" applyBorder="1" applyAlignment="1">
      <alignment horizontal="center"/>
    </xf>
    <xf numFmtId="164" fontId="0" fillId="0" borderId="0" xfId="0" applyNumberFormat="1"/>
  </cellXfs>
  <cellStyles count="7">
    <cellStyle name="Millares" xfId="1" builtinId="3"/>
    <cellStyle name="Millares 3" xfId="5" xr:uid="{00000000-0005-0000-0000-000001000000}"/>
    <cellStyle name="Moneda" xfId="2" builtinId="4"/>
    <cellStyle name="Normal" xfId="0" builtinId="0"/>
    <cellStyle name="Normal 2" xfId="4" xr:uid="{00000000-0005-0000-0000-000004000000}"/>
    <cellStyle name="Normal 3 2 2" xfId="6" xr:uid="{00000000-0005-0000-0000-000005000000}"/>
    <cellStyle name="Porcentaje" xfId="3" builtinId="5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931/liquidaciones/12-25/Liquidacion%202&#176;Q%20Diciembre%202025%20Camp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°Q 12 V1 CAMPO"/>
      <sheetName val="2°Q 12 V2 CAMPO"/>
      <sheetName val="Planilla de pago"/>
      <sheetName val="Pensiones"/>
      <sheetName val="Etiquetas"/>
    </sheetNames>
    <sheetDataSet>
      <sheetData sheetId="0">
        <row r="18">
          <cell r="D18" t="str">
            <v>ABREGU CRISTIAN ARIEL</v>
          </cell>
          <cell r="T18">
            <v>0</v>
          </cell>
          <cell r="W18">
            <v>0</v>
          </cell>
          <cell r="X18">
            <v>0</v>
          </cell>
        </row>
        <row r="19">
          <cell r="D19" t="str">
            <v>ALEGRE FRANCO RODRIGO</v>
          </cell>
          <cell r="T19">
            <v>0</v>
          </cell>
          <cell r="W19">
            <v>0</v>
          </cell>
          <cell r="X19">
            <v>0</v>
          </cell>
        </row>
        <row r="20">
          <cell r="D20" t="str">
            <v>ALEMAN FELIX OMAR</v>
          </cell>
          <cell r="T20">
            <v>0</v>
          </cell>
          <cell r="W20">
            <v>0</v>
          </cell>
          <cell r="X20">
            <v>0</v>
          </cell>
        </row>
        <row r="21">
          <cell r="D21" t="str">
            <v>ARAGON ADRIAN ALEJANDRO</v>
          </cell>
          <cell r="T21">
            <v>4</v>
          </cell>
          <cell r="W21">
            <v>0</v>
          </cell>
          <cell r="X21">
            <v>0</v>
          </cell>
        </row>
        <row r="22">
          <cell r="D22" t="str">
            <v>ARAGON JOSE ADRIAN</v>
          </cell>
          <cell r="T22">
            <v>7</v>
          </cell>
          <cell r="W22">
            <v>0</v>
          </cell>
          <cell r="X22">
            <v>0</v>
          </cell>
        </row>
        <row r="23">
          <cell r="D23" t="str">
            <v>ARAGON VICTOR DANIEL</v>
          </cell>
          <cell r="T23">
            <v>0</v>
          </cell>
          <cell r="W23">
            <v>0</v>
          </cell>
          <cell r="X23">
            <v>0</v>
          </cell>
        </row>
        <row r="24">
          <cell r="D24" t="str">
            <v>ARAUJO RODRIGO SEBASTIAN</v>
          </cell>
          <cell r="T24">
            <v>4</v>
          </cell>
          <cell r="W24">
            <v>0</v>
          </cell>
          <cell r="X24">
            <v>0</v>
          </cell>
        </row>
        <row r="25">
          <cell r="D25" t="str">
            <v>ARCE MARIO ALBERTO</v>
          </cell>
          <cell r="T25">
            <v>7</v>
          </cell>
          <cell r="W25">
            <v>0</v>
          </cell>
          <cell r="X25">
            <v>0</v>
          </cell>
        </row>
        <row r="26">
          <cell r="D26" t="str">
            <v>ARGAÑARAZ FRANCO IVAN</v>
          </cell>
          <cell r="T26">
            <v>4</v>
          </cell>
          <cell r="W26">
            <v>0</v>
          </cell>
          <cell r="X26">
            <v>0</v>
          </cell>
        </row>
        <row r="27">
          <cell r="D27" t="str">
            <v>ARGAÑARAZ RODRIGO ALBERTO</v>
          </cell>
          <cell r="T27">
            <v>7</v>
          </cell>
          <cell r="W27">
            <v>0</v>
          </cell>
          <cell r="X27">
            <v>0</v>
          </cell>
        </row>
        <row r="28">
          <cell r="D28" t="str">
            <v>ARGAÑARAZ SERGIO VICTOR</v>
          </cell>
          <cell r="T28">
            <v>0</v>
          </cell>
          <cell r="W28">
            <v>0</v>
          </cell>
          <cell r="X28">
            <v>0</v>
          </cell>
        </row>
        <row r="29">
          <cell r="D29" t="str">
            <v>ARIAS HORACIO OSCAR</v>
          </cell>
          <cell r="T29">
            <v>0</v>
          </cell>
          <cell r="W29">
            <v>0</v>
          </cell>
          <cell r="X29">
            <v>0</v>
          </cell>
        </row>
        <row r="30">
          <cell r="D30" t="str">
            <v>ARIAS SEGUNDO FRANCISCO</v>
          </cell>
          <cell r="T30">
            <v>0</v>
          </cell>
          <cell r="W30">
            <v>0</v>
          </cell>
          <cell r="X30">
            <v>0</v>
          </cell>
        </row>
        <row r="31">
          <cell r="D31" t="str">
            <v>BARRAZA RUBEN DAVID</v>
          </cell>
          <cell r="T31">
            <v>0</v>
          </cell>
          <cell r="W31">
            <v>0</v>
          </cell>
          <cell r="X31">
            <v>0</v>
          </cell>
        </row>
        <row r="32">
          <cell r="D32" t="str">
            <v>BELMONTE CESAR ANTONIO</v>
          </cell>
          <cell r="T32">
            <v>13</v>
          </cell>
          <cell r="W32">
            <v>1</v>
          </cell>
          <cell r="X32">
            <v>0</v>
          </cell>
        </row>
        <row r="33">
          <cell r="D33" t="str">
            <v>BORQUES VIRGILIO MARIO</v>
          </cell>
          <cell r="T33">
            <v>0</v>
          </cell>
          <cell r="W33">
            <v>0</v>
          </cell>
          <cell r="X33">
            <v>0</v>
          </cell>
        </row>
        <row r="34">
          <cell r="D34" t="str">
            <v>BORQUEZ JOSE ALBERTO</v>
          </cell>
          <cell r="T34">
            <v>6</v>
          </cell>
          <cell r="W34">
            <v>0</v>
          </cell>
          <cell r="X34">
            <v>0</v>
          </cell>
        </row>
        <row r="35">
          <cell r="D35" t="str">
            <v>BULACIO MIGUEL ALBERTO</v>
          </cell>
          <cell r="T35">
            <v>7</v>
          </cell>
          <cell r="W35">
            <v>0</v>
          </cell>
          <cell r="X35">
            <v>0</v>
          </cell>
        </row>
        <row r="36">
          <cell r="D36" t="str">
            <v>CAÑA MARIO CESAR</v>
          </cell>
          <cell r="T36">
            <v>14</v>
          </cell>
          <cell r="W36">
            <v>0</v>
          </cell>
          <cell r="X36">
            <v>1</v>
          </cell>
        </row>
        <row r="37">
          <cell r="D37" t="str">
            <v>CARRAZANA VICTOR HUGO</v>
          </cell>
          <cell r="T37">
            <v>0</v>
          </cell>
          <cell r="W37">
            <v>0</v>
          </cell>
          <cell r="X37">
            <v>0</v>
          </cell>
        </row>
        <row r="38">
          <cell r="D38" t="str">
            <v>CARRERAS MERCEDES ROSENDO</v>
          </cell>
          <cell r="T38">
            <v>0</v>
          </cell>
          <cell r="W38">
            <v>0</v>
          </cell>
          <cell r="X38">
            <v>0</v>
          </cell>
        </row>
        <row r="39">
          <cell r="D39" t="str">
            <v>CASTILLO ROQUE TOMAS</v>
          </cell>
          <cell r="T39">
            <v>0</v>
          </cell>
          <cell r="W39">
            <v>0</v>
          </cell>
          <cell r="X39">
            <v>0</v>
          </cell>
        </row>
        <row r="40">
          <cell r="D40" t="str">
            <v>CASTRO MIGUEL ALEJANDRO</v>
          </cell>
          <cell r="T40">
            <v>0</v>
          </cell>
          <cell r="W40">
            <v>0</v>
          </cell>
          <cell r="X40">
            <v>0</v>
          </cell>
        </row>
        <row r="41">
          <cell r="D41" t="str">
            <v>CISNEROS RAMON EXEQUIEL</v>
          </cell>
          <cell r="T41">
            <v>4</v>
          </cell>
          <cell r="W41">
            <v>0</v>
          </cell>
          <cell r="X41">
            <v>0</v>
          </cell>
        </row>
        <row r="42">
          <cell r="D42" t="str">
            <v>COSTILLA CARLOS DAMIAN</v>
          </cell>
          <cell r="T42">
            <v>7</v>
          </cell>
          <cell r="W42">
            <v>0</v>
          </cell>
          <cell r="X42">
            <v>0</v>
          </cell>
        </row>
        <row r="43">
          <cell r="D43" t="str">
            <v>COSTILLA DANIEL ANTONIO</v>
          </cell>
          <cell r="T43">
            <v>7</v>
          </cell>
          <cell r="W43">
            <v>0</v>
          </cell>
          <cell r="X43">
            <v>0</v>
          </cell>
        </row>
        <row r="44">
          <cell r="D44" t="str">
            <v>DIAZ ENRIQUE ANTONIO</v>
          </cell>
          <cell r="T44">
            <v>0</v>
          </cell>
          <cell r="W44">
            <v>0</v>
          </cell>
          <cell r="X44">
            <v>0</v>
          </cell>
        </row>
        <row r="45">
          <cell r="D45" t="str">
            <v>DIAZ JAVIER DANIEL</v>
          </cell>
          <cell r="T45">
            <v>0</v>
          </cell>
          <cell r="W45">
            <v>0</v>
          </cell>
          <cell r="X45">
            <v>0</v>
          </cell>
        </row>
        <row r="46">
          <cell r="D46" t="str">
            <v>DIAZ WALTER ENRIQUE</v>
          </cell>
          <cell r="T46">
            <v>0</v>
          </cell>
          <cell r="W46">
            <v>0</v>
          </cell>
          <cell r="X46">
            <v>0</v>
          </cell>
        </row>
        <row r="47">
          <cell r="D47" t="str">
            <v>DONAIRE JOSE ENRIQUE</v>
          </cell>
          <cell r="T47">
            <v>0</v>
          </cell>
          <cell r="W47">
            <v>0</v>
          </cell>
          <cell r="X47">
            <v>0</v>
          </cell>
        </row>
        <row r="48">
          <cell r="D48" t="str">
            <v>ESCOBAR JUAN EDUARDO</v>
          </cell>
          <cell r="T48">
            <v>13</v>
          </cell>
          <cell r="W48">
            <v>1</v>
          </cell>
          <cell r="X48">
            <v>0</v>
          </cell>
        </row>
        <row r="49">
          <cell r="D49" t="str">
            <v>FERRATO MIGUEL ALBERTO</v>
          </cell>
          <cell r="T49">
            <v>5</v>
          </cell>
          <cell r="W49">
            <v>0</v>
          </cell>
          <cell r="X49">
            <v>0</v>
          </cell>
        </row>
        <row r="50">
          <cell r="D50" t="str">
            <v>GALVAN ANTONIO ROBERTO</v>
          </cell>
          <cell r="T50">
            <v>4</v>
          </cell>
          <cell r="W50">
            <v>0</v>
          </cell>
          <cell r="X50">
            <v>0</v>
          </cell>
        </row>
        <row r="51">
          <cell r="D51" t="str">
            <v>GALVAN JUSTO JOSE</v>
          </cell>
          <cell r="T51">
            <v>0</v>
          </cell>
          <cell r="W51">
            <v>0</v>
          </cell>
          <cell r="X51">
            <v>0</v>
          </cell>
        </row>
        <row r="52">
          <cell r="D52" t="str">
            <v>GALVAN MIGUEL ANGEL</v>
          </cell>
          <cell r="T52">
            <v>0</v>
          </cell>
          <cell r="W52">
            <v>0</v>
          </cell>
          <cell r="X52">
            <v>0</v>
          </cell>
        </row>
        <row r="53">
          <cell r="D53" t="str">
            <v>GOMEZ DANIEL ALEJANDRO</v>
          </cell>
          <cell r="T53">
            <v>0</v>
          </cell>
          <cell r="W53">
            <v>0</v>
          </cell>
          <cell r="X53">
            <v>0</v>
          </cell>
        </row>
        <row r="54">
          <cell r="D54" t="str">
            <v>GOMEZ MARIO ALFREDO</v>
          </cell>
          <cell r="T54">
            <v>0</v>
          </cell>
          <cell r="W54">
            <v>0</v>
          </cell>
          <cell r="X54">
            <v>0</v>
          </cell>
        </row>
        <row r="55">
          <cell r="D55" t="str">
            <v>GONZALEZ JOSE LUIS</v>
          </cell>
          <cell r="T55">
            <v>5</v>
          </cell>
          <cell r="W55">
            <v>0</v>
          </cell>
          <cell r="X55">
            <v>0</v>
          </cell>
        </row>
        <row r="56">
          <cell r="D56" t="str">
            <v>GONZALEZ JUAN IGNACIO</v>
          </cell>
          <cell r="T56">
            <v>0</v>
          </cell>
          <cell r="W56">
            <v>0</v>
          </cell>
          <cell r="X56">
            <v>0</v>
          </cell>
        </row>
        <row r="57">
          <cell r="D57" t="str">
            <v>GONZALEZ LUCAS GUSTAVO</v>
          </cell>
          <cell r="T57">
            <v>0</v>
          </cell>
          <cell r="W57">
            <v>0</v>
          </cell>
          <cell r="X57">
            <v>0</v>
          </cell>
        </row>
        <row r="58">
          <cell r="D58" t="str">
            <v>GRAMAJO JUAN JESUS ISAIAS</v>
          </cell>
          <cell r="T58">
            <v>12</v>
          </cell>
          <cell r="W58">
            <v>1</v>
          </cell>
          <cell r="X58">
            <v>0</v>
          </cell>
        </row>
        <row r="59">
          <cell r="D59" t="str">
            <v>GUTIERREZ ELIO GUSTAVO</v>
          </cell>
          <cell r="T59">
            <v>0</v>
          </cell>
          <cell r="W59">
            <v>0</v>
          </cell>
          <cell r="X59">
            <v>0</v>
          </cell>
        </row>
        <row r="60">
          <cell r="D60" t="str">
            <v>HERRERA JUAN FRANCISCO</v>
          </cell>
          <cell r="T60">
            <v>0</v>
          </cell>
          <cell r="W60">
            <v>0</v>
          </cell>
          <cell r="X60">
            <v>0</v>
          </cell>
        </row>
        <row r="61">
          <cell r="D61" t="str">
            <v>HERRERA NELSON JESUS</v>
          </cell>
          <cell r="T61">
            <v>8.5</v>
          </cell>
          <cell r="W61">
            <v>1</v>
          </cell>
          <cell r="X61">
            <v>0</v>
          </cell>
        </row>
        <row r="62">
          <cell r="D62" t="str">
            <v>HERRERA SEGUNDO DIONISIO</v>
          </cell>
          <cell r="T62">
            <v>0</v>
          </cell>
          <cell r="W62">
            <v>0</v>
          </cell>
          <cell r="X62">
            <v>0</v>
          </cell>
        </row>
        <row r="63">
          <cell r="D63" t="str">
            <v>JEREZ RUBEN PASCUAL</v>
          </cell>
          <cell r="T63">
            <v>0</v>
          </cell>
          <cell r="W63">
            <v>0</v>
          </cell>
          <cell r="X63">
            <v>0</v>
          </cell>
        </row>
        <row r="64">
          <cell r="D64" t="str">
            <v>JUAREZ HECTOR ARIEL</v>
          </cell>
          <cell r="T64">
            <v>0</v>
          </cell>
          <cell r="W64">
            <v>0</v>
          </cell>
          <cell r="X64">
            <v>0</v>
          </cell>
        </row>
        <row r="65">
          <cell r="D65" t="str">
            <v>JUAREZ JOSE CORNELIO</v>
          </cell>
          <cell r="T65">
            <v>3</v>
          </cell>
          <cell r="W65">
            <v>0</v>
          </cell>
          <cell r="X65">
            <v>0</v>
          </cell>
        </row>
        <row r="66">
          <cell r="D66" t="str">
            <v>JUAREZ JOSE LUIS</v>
          </cell>
          <cell r="T66">
            <v>0</v>
          </cell>
          <cell r="W66">
            <v>0</v>
          </cell>
          <cell r="X66">
            <v>0</v>
          </cell>
        </row>
        <row r="67">
          <cell r="D67" t="str">
            <v>JUAREZ VICTOR HUGO</v>
          </cell>
          <cell r="T67">
            <v>0</v>
          </cell>
          <cell r="W67">
            <v>0</v>
          </cell>
          <cell r="X67">
            <v>0</v>
          </cell>
        </row>
        <row r="68">
          <cell r="D68" t="str">
            <v>LEGUIZAMON MARIO ENRIQUE</v>
          </cell>
          <cell r="T68">
            <v>0</v>
          </cell>
          <cell r="W68">
            <v>0</v>
          </cell>
          <cell r="X68">
            <v>0</v>
          </cell>
        </row>
        <row r="69">
          <cell r="D69" t="str">
            <v>LEIVA GUILLERMO ADRIAN</v>
          </cell>
          <cell r="T69">
            <v>0</v>
          </cell>
          <cell r="W69">
            <v>0</v>
          </cell>
          <cell r="X69">
            <v>0</v>
          </cell>
        </row>
        <row r="70">
          <cell r="D70" t="str">
            <v>LUCENA JUAN MARCELO</v>
          </cell>
          <cell r="T70">
            <v>14</v>
          </cell>
          <cell r="W70">
            <v>0</v>
          </cell>
          <cell r="X70">
            <v>1</v>
          </cell>
        </row>
        <row r="71">
          <cell r="D71" t="str">
            <v>LUCENA MATIAS ADRIAN</v>
          </cell>
          <cell r="T71">
            <v>0</v>
          </cell>
          <cell r="W71">
            <v>0</v>
          </cell>
          <cell r="X71">
            <v>0</v>
          </cell>
        </row>
        <row r="72">
          <cell r="D72" t="str">
            <v>LUCENA SILVIO OMAR</v>
          </cell>
          <cell r="T72">
            <v>0</v>
          </cell>
          <cell r="W72">
            <v>0</v>
          </cell>
          <cell r="X72">
            <v>0</v>
          </cell>
        </row>
        <row r="73">
          <cell r="D73" t="str">
            <v>LUNA JORGE MIGUEL</v>
          </cell>
          <cell r="T73">
            <v>0</v>
          </cell>
          <cell r="W73">
            <v>0</v>
          </cell>
          <cell r="X73">
            <v>0</v>
          </cell>
        </row>
        <row r="74">
          <cell r="D74" t="str">
            <v>LUNA JULIO CESAR</v>
          </cell>
          <cell r="T74">
            <v>13</v>
          </cell>
          <cell r="W74">
            <v>1</v>
          </cell>
          <cell r="X74">
            <v>0</v>
          </cell>
        </row>
        <row r="75">
          <cell r="D75" t="str">
            <v>MEDINA JORGE MARCELO</v>
          </cell>
          <cell r="T75">
            <v>0</v>
          </cell>
          <cell r="W75">
            <v>0</v>
          </cell>
          <cell r="X75">
            <v>0</v>
          </cell>
        </row>
        <row r="76">
          <cell r="D76" t="str">
            <v>MEDINA JOSE FELIX</v>
          </cell>
          <cell r="T76">
            <v>0</v>
          </cell>
          <cell r="W76">
            <v>0</v>
          </cell>
          <cell r="X76">
            <v>0</v>
          </cell>
        </row>
        <row r="77">
          <cell r="D77" t="str">
            <v>MEDINA JUAN ALBERTO</v>
          </cell>
          <cell r="T77">
            <v>7</v>
          </cell>
          <cell r="W77">
            <v>0</v>
          </cell>
          <cell r="X77">
            <v>0</v>
          </cell>
        </row>
        <row r="78">
          <cell r="D78" t="str">
            <v>MUÑOZ FERNANDO FEDERICO</v>
          </cell>
          <cell r="T78">
            <v>7</v>
          </cell>
          <cell r="W78">
            <v>0</v>
          </cell>
          <cell r="X78">
            <v>0</v>
          </cell>
        </row>
        <row r="79">
          <cell r="D79" t="str">
            <v>NIETO JORGE LUIS</v>
          </cell>
          <cell r="T79">
            <v>4</v>
          </cell>
          <cell r="W79">
            <v>0</v>
          </cell>
          <cell r="X79">
            <v>0</v>
          </cell>
        </row>
        <row r="80">
          <cell r="D80" t="str">
            <v>NUÑEZ HECTOR JAVIER</v>
          </cell>
          <cell r="T80">
            <v>4</v>
          </cell>
          <cell r="W80">
            <v>0</v>
          </cell>
          <cell r="X80">
            <v>0</v>
          </cell>
        </row>
        <row r="81">
          <cell r="D81" t="str">
            <v>NUÑEZ JUAN PABLO</v>
          </cell>
          <cell r="T81">
            <v>0</v>
          </cell>
          <cell r="W81">
            <v>0</v>
          </cell>
          <cell r="X81">
            <v>0</v>
          </cell>
        </row>
        <row r="82">
          <cell r="D82" t="str">
            <v>OGAS JULIO ISIDRO</v>
          </cell>
          <cell r="T82">
            <v>4</v>
          </cell>
          <cell r="W82">
            <v>0</v>
          </cell>
          <cell r="X82">
            <v>0</v>
          </cell>
        </row>
        <row r="83">
          <cell r="D83" t="str">
            <v>OGAS LUIS</v>
          </cell>
          <cell r="T83">
            <v>4</v>
          </cell>
          <cell r="W83">
            <v>0</v>
          </cell>
          <cell r="X83">
            <v>0</v>
          </cell>
        </row>
        <row r="84">
          <cell r="D84" t="str">
            <v>OLIVERA ANDRES MAXIMILIANO</v>
          </cell>
          <cell r="T84">
            <v>0</v>
          </cell>
          <cell r="W84">
            <v>0</v>
          </cell>
          <cell r="X84">
            <v>0</v>
          </cell>
        </row>
        <row r="85">
          <cell r="D85" t="str">
            <v>ORELLANA FRANCO MICAEL</v>
          </cell>
          <cell r="T85">
            <v>0</v>
          </cell>
          <cell r="W85">
            <v>0</v>
          </cell>
          <cell r="X85">
            <v>0</v>
          </cell>
        </row>
        <row r="86">
          <cell r="D86" t="str">
            <v>ORONA VICTOR GONZALO</v>
          </cell>
          <cell r="T86">
            <v>0</v>
          </cell>
          <cell r="W86">
            <v>0</v>
          </cell>
          <cell r="X86">
            <v>0</v>
          </cell>
        </row>
        <row r="87">
          <cell r="D87" t="str">
            <v>POL JUAN FRANCISCO</v>
          </cell>
          <cell r="T87">
            <v>0</v>
          </cell>
          <cell r="W87">
            <v>0</v>
          </cell>
          <cell r="X87">
            <v>0</v>
          </cell>
        </row>
        <row r="88">
          <cell r="D88" t="str">
            <v>RODRIGUEZ MANUEL EDUARDO</v>
          </cell>
          <cell r="T88">
            <v>6</v>
          </cell>
          <cell r="W88">
            <v>0</v>
          </cell>
          <cell r="X88">
            <v>0</v>
          </cell>
        </row>
        <row r="89">
          <cell r="D89" t="str">
            <v>RODRIGUEZ MIGUEL RENE</v>
          </cell>
          <cell r="T89">
            <v>0</v>
          </cell>
          <cell r="W89">
            <v>0</v>
          </cell>
          <cell r="X89">
            <v>0</v>
          </cell>
        </row>
        <row r="90">
          <cell r="D90" t="str">
            <v>RODRIGUEZ RAMÓN ANTONIO</v>
          </cell>
          <cell r="T90">
            <v>0</v>
          </cell>
          <cell r="W90">
            <v>0</v>
          </cell>
          <cell r="X90">
            <v>0</v>
          </cell>
        </row>
        <row r="91">
          <cell r="D91" t="str">
            <v>ROJAS JUAN GUILLERMO</v>
          </cell>
          <cell r="T91">
            <v>0</v>
          </cell>
          <cell r="W91">
            <v>0</v>
          </cell>
          <cell r="X91">
            <v>0</v>
          </cell>
        </row>
        <row r="92">
          <cell r="D92" t="str">
            <v>ROJAS MARCELO GABRIEL</v>
          </cell>
          <cell r="T92">
            <v>0</v>
          </cell>
          <cell r="W92">
            <v>0</v>
          </cell>
          <cell r="X92">
            <v>0</v>
          </cell>
        </row>
        <row r="93">
          <cell r="D93" t="str">
            <v>ROMERO ARIEL DAVID</v>
          </cell>
          <cell r="T93">
            <v>4</v>
          </cell>
          <cell r="W93">
            <v>0</v>
          </cell>
          <cell r="X93">
            <v>0</v>
          </cell>
        </row>
        <row r="94">
          <cell r="D94" t="str">
            <v>RUIZ DANIEL EVARISTO</v>
          </cell>
          <cell r="T94">
            <v>11</v>
          </cell>
          <cell r="W94">
            <v>1</v>
          </cell>
          <cell r="X94">
            <v>0</v>
          </cell>
        </row>
        <row r="95">
          <cell r="D95" t="str">
            <v>SANTILLAN JORGE ESTEBAN</v>
          </cell>
          <cell r="T95">
            <v>0</v>
          </cell>
          <cell r="W95">
            <v>0</v>
          </cell>
          <cell r="X95">
            <v>0</v>
          </cell>
        </row>
        <row r="96">
          <cell r="D96" t="str">
            <v>SERRANO FABIAN EDUARDO</v>
          </cell>
          <cell r="T96">
            <v>7</v>
          </cell>
          <cell r="W96">
            <v>0</v>
          </cell>
          <cell r="X96">
            <v>0</v>
          </cell>
        </row>
        <row r="97">
          <cell r="D97" t="str">
            <v>SERRANO JORGE RICARDO</v>
          </cell>
          <cell r="T97">
            <v>0</v>
          </cell>
          <cell r="W97">
            <v>0</v>
          </cell>
          <cell r="X97">
            <v>0</v>
          </cell>
        </row>
        <row r="98">
          <cell r="D98" t="str">
            <v>SILVA SERGIO GUILLERMO</v>
          </cell>
          <cell r="T98">
            <v>0</v>
          </cell>
          <cell r="W98">
            <v>0</v>
          </cell>
          <cell r="X98">
            <v>0</v>
          </cell>
        </row>
        <row r="99">
          <cell r="D99" t="str">
            <v>SORIA GABRIEL GUSTAVO</v>
          </cell>
          <cell r="T99">
            <v>0</v>
          </cell>
          <cell r="W99">
            <v>0</v>
          </cell>
          <cell r="X99">
            <v>0</v>
          </cell>
        </row>
        <row r="100">
          <cell r="D100" t="str">
            <v>SORIA LUIS OSCAR</v>
          </cell>
          <cell r="T100">
            <v>0</v>
          </cell>
          <cell r="W100">
            <v>0</v>
          </cell>
          <cell r="X100">
            <v>0</v>
          </cell>
        </row>
        <row r="101">
          <cell r="D101" t="str">
            <v>SOSA OSCAR ALFREDO</v>
          </cell>
          <cell r="T101">
            <v>5</v>
          </cell>
          <cell r="W101">
            <v>0</v>
          </cell>
          <cell r="X101">
            <v>0</v>
          </cell>
        </row>
        <row r="102">
          <cell r="D102" t="str">
            <v>TARTALO ANTONIO SEGUNDO RAFAEL</v>
          </cell>
          <cell r="T102">
            <v>0</v>
          </cell>
          <cell r="W102">
            <v>0</v>
          </cell>
          <cell r="X102">
            <v>0</v>
          </cell>
        </row>
        <row r="103">
          <cell r="D103" t="str">
            <v>TARTALO CRISTIAN IVAN</v>
          </cell>
          <cell r="T103">
            <v>0</v>
          </cell>
          <cell r="W103">
            <v>0</v>
          </cell>
          <cell r="X103">
            <v>0</v>
          </cell>
        </row>
        <row r="104">
          <cell r="D104" t="str">
            <v>TARTALO JOSE OSCAR</v>
          </cell>
          <cell r="T104">
            <v>6</v>
          </cell>
          <cell r="W104">
            <v>0</v>
          </cell>
          <cell r="X104">
            <v>0</v>
          </cell>
        </row>
        <row r="105">
          <cell r="D105" t="str">
            <v>TORRES DANIEL ALBERTO</v>
          </cell>
          <cell r="T105">
            <v>10</v>
          </cell>
          <cell r="W105">
            <v>1</v>
          </cell>
          <cell r="X105">
            <v>0</v>
          </cell>
        </row>
        <row r="106">
          <cell r="D106" t="str">
            <v>VALDEZ FLORINDO ARNALDO</v>
          </cell>
          <cell r="T106">
            <v>7</v>
          </cell>
          <cell r="W106">
            <v>0</v>
          </cell>
          <cell r="X106">
            <v>0</v>
          </cell>
        </row>
        <row r="107">
          <cell r="D107" t="str">
            <v>VARGAS ARNALDO VICENTE</v>
          </cell>
          <cell r="T107">
            <v>7</v>
          </cell>
          <cell r="W107">
            <v>0</v>
          </cell>
          <cell r="X107">
            <v>0</v>
          </cell>
        </row>
        <row r="108">
          <cell r="D108" t="str">
            <v>VARGAS FACUNDO ELISEO</v>
          </cell>
          <cell r="T108">
            <v>0</v>
          </cell>
          <cell r="W108">
            <v>0</v>
          </cell>
          <cell r="X108">
            <v>0</v>
          </cell>
        </row>
        <row r="109">
          <cell r="D109" t="str">
            <v>VARGAS JORGE DANIEL</v>
          </cell>
          <cell r="T109">
            <v>0</v>
          </cell>
          <cell r="W109">
            <v>0</v>
          </cell>
          <cell r="X109">
            <v>0</v>
          </cell>
        </row>
        <row r="110">
          <cell r="D110" t="str">
            <v>VARGAS LUIS MARIANO</v>
          </cell>
          <cell r="T110">
            <v>3</v>
          </cell>
          <cell r="W110">
            <v>0</v>
          </cell>
          <cell r="X110">
            <v>0</v>
          </cell>
        </row>
        <row r="111">
          <cell r="D111" t="str">
            <v>VIDES DANIEL GUSTAVO</v>
          </cell>
          <cell r="T111">
            <v>0</v>
          </cell>
          <cell r="W111">
            <v>0</v>
          </cell>
          <cell r="X111">
            <v>0</v>
          </cell>
        </row>
        <row r="112">
          <cell r="D112" t="str">
            <v>VISUARA MIGUEL ANGEL</v>
          </cell>
          <cell r="T112">
            <v>0</v>
          </cell>
          <cell r="W112">
            <v>0</v>
          </cell>
          <cell r="X112">
            <v>0</v>
          </cell>
        </row>
        <row r="113">
          <cell r="D113" t="str">
            <v>ZERRIZUELA ALEXIS EDUARDO</v>
          </cell>
          <cell r="T113">
            <v>0</v>
          </cell>
          <cell r="W113">
            <v>0</v>
          </cell>
          <cell r="X113">
            <v>0</v>
          </cell>
        </row>
      </sheetData>
      <sheetData sheetId="1">
        <row r="18">
          <cell r="D18" t="str">
            <v>ABREGU CRISTIAN ARIEL</v>
          </cell>
          <cell r="AA18">
            <v>0</v>
          </cell>
          <cell r="AI18">
            <v>0</v>
          </cell>
        </row>
        <row r="19">
          <cell r="D19" t="str">
            <v>ALEGRE FRANCO RODRIGO</v>
          </cell>
          <cell r="AA19">
            <v>0</v>
          </cell>
          <cell r="AI19">
            <v>0</v>
          </cell>
        </row>
        <row r="20">
          <cell r="D20" t="str">
            <v>ALEMAN FELIX OMAR</v>
          </cell>
          <cell r="AA20">
            <v>0</v>
          </cell>
          <cell r="AI20">
            <v>0</v>
          </cell>
        </row>
        <row r="21">
          <cell r="D21" t="str">
            <v>ARAGON ADRIAN ALEJANDRO</v>
          </cell>
          <cell r="AA21">
            <v>3</v>
          </cell>
          <cell r="AI21">
            <v>0</v>
          </cell>
        </row>
        <row r="22">
          <cell r="D22" t="str">
            <v>ARAGON JOSE ADRIAN</v>
          </cell>
          <cell r="AA22">
            <v>15</v>
          </cell>
          <cell r="AI22">
            <v>1</v>
          </cell>
        </row>
        <row r="23">
          <cell r="D23" t="str">
            <v>ARAGON VICTOR DANIEL</v>
          </cell>
          <cell r="AA23">
            <v>0</v>
          </cell>
          <cell r="AI23">
            <v>0</v>
          </cell>
        </row>
        <row r="24">
          <cell r="D24" t="str">
            <v>ARAUJO RODRIGO SEBASTIAN</v>
          </cell>
          <cell r="AA24">
            <v>10</v>
          </cell>
          <cell r="AI24">
            <v>0</v>
          </cell>
        </row>
        <row r="25">
          <cell r="D25" t="str">
            <v>ARCE MARIO ALBERTO</v>
          </cell>
          <cell r="AA25">
            <v>15</v>
          </cell>
          <cell r="AI25">
            <v>1.5</v>
          </cell>
        </row>
        <row r="26">
          <cell r="D26" t="str">
            <v>ARGAÑARAZ FRANCO IVAN</v>
          </cell>
          <cell r="AA26">
            <v>3</v>
          </cell>
          <cell r="AI26">
            <v>0</v>
          </cell>
        </row>
        <row r="27">
          <cell r="D27" t="str">
            <v>ARGAÑARAZ RODRIGO ALBERTO</v>
          </cell>
          <cell r="AA27">
            <v>15</v>
          </cell>
          <cell r="AI27">
            <v>0.625</v>
          </cell>
        </row>
        <row r="28">
          <cell r="D28" t="str">
            <v>ARGAÑARAZ SERGIO VICTOR</v>
          </cell>
          <cell r="AA28">
            <v>0</v>
          </cell>
          <cell r="AI28">
            <v>0</v>
          </cell>
        </row>
        <row r="29">
          <cell r="D29" t="str">
            <v>ARIAS HORACIO OSCAR</v>
          </cell>
          <cell r="AA29">
            <v>0</v>
          </cell>
          <cell r="AI29">
            <v>0</v>
          </cell>
        </row>
        <row r="30">
          <cell r="D30" t="str">
            <v>ARIAS SEGUNDO FRANCISCO</v>
          </cell>
          <cell r="AA30">
            <v>0</v>
          </cell>
          <cell r="AI30">
            <v>0</v>
          </cell>
        </row>
        <row r="31">
          <cell r="D31" t="str">
            <v>BARRAZA RUBEN DAVID</v>
          </cell>
          <cell r="AA31">
            <v>0</v>
          </cell>
          <cell r="AI31">
            <v>0</v>
          </cell>
        </row>
        <row r="32">
          <cell r="D32" t="str">
            <v>BELMONTE CESAR ANTONIO</v>
          </cell>
          <cell r="AA32">
            <v>15</v>
          </cell>
          <cell r="AI32">
            <v>0.125</v>
          </cell>
        </row>
        <row r="33">
          <cell r="D33" t="str">
            <v>BORQUES VIRGILIO MARIO</v>
          </cell>
          <cell r="AA33">
            <v>0</v>
          </cell>
          <cell r="AI33">
            <v>0</v>
          </cell>
        </row>
        <row r="34">
          <cell r="D34" t="str">
            <v>BORQUEZ JOSE ALBERTO</v>
          </cell>
          <cell r="AA34">
            <v>15</v>
          </cell>
          <cell r="AI34">
            <v>1</v>
          </cell>
        </row>
        <row r="35">
          <cell r="D35" t="str">
            <v>BULACIO MIGUEL ALBERTO</v>
          </cell>
          <cell r="AA35">
            <v>15</v>
          </cell>
          <cell r="AI35">
            <v>1.125</v>
          </cell>
        </row>
        <row r="36">
          <cell r="D36" t="str">
            <v>CAÑA MARIO CESAR</v>
          </cell>
          <cell r="AA36">
            <v>0</v>
          </cell>
          <cell r="AI36">
            <v>0</v>
          </cell>
        </row>
        <row r="37">
          <cell r="D37" t="str">
            <v>CARRAZANA VICTOR HUGO</v>
          </cell>
          <cell r="AA37">
            <v>0</v>
          </cell>
          <cell r="AI37">
            <v>0</v>
          </cell>
        </row>
        <row r="38">
          <cell r="D38" t="str">
            <v>CARRERAS MERCEDES ROSENDO</v>
          </cell>
          <cell r="AA38">
            <v>0</v>
          </cell>
          <cell r="AI38">
            <v>0</v>
          </cell>
        </row>
        <row r="39">
          <cell r="D39" t="str">
            <v>CASTILLO ROQUE TOMAS</v>
          </cell>
          <cell r="AA39">
            <v>0</v>
          </cell>
          <cell r="AI39">
            <v>0</v>
          </cell>
        </row>
        <row r="40">
          <cell r="D40" t="str">
            <v>CASTRO MIGUEL ALEJANDRO</v>
          </cell>
          <cell r="AA40">
            <v>0</v>
          </cell>
          <cell r="AI40">
            <v>0</v>
          </cell>
        </row>
        <row r="41">
          <cell r="D41" t="str">
            <v>CISNEROS RAMON EXEQUIEL</v>
          </cell>
          <cell r="AA41">
            <v>3</v>
          </cell>
          <cell r="AI41">
            <v>0</v>
          </cell>
        </row>
        <row r="42">
          <cell r="D42" t="str">
            <v>COSTILLA CARLOS DAMIAN</v>
          </cell>
          <cell r="AA42">
            <v>15</v>
          </cell>
          <cell r="AI42">
            <v>1.5</v>
          </cell>
        </row>
        <row r="43">
          <cell r="D43" t="str">
            <v>COSTILLA DANIEL ANTONIO</v>
          </cell>
          <cell r="AA43">
            <v>15</v>
          </cell>
          <cell r="AI43">
            <v>1.5</v>
          </cell>
        </row>
        <row r="44">
          <cell r="D44" t="str">
            <v>DIAZ ENRIQUE ANTONIO</v>
          </cell>
          <cell r="AA44">
            <v>0</v>
          </cell>
          <cell r="AI44">
            <v>0</v>
          </cell>
        </row>
        <row r="45">
          <cell r="D45" t="str">
            <v>DIAZ JAVIER DANIEL</v>
          </cell>
          <cell r="AA45">
            <v>0</v>
          </cell>
          <cell r="AI45">
            <v>0</v>
          </cell>
        </row>
        <row r="46">
          <cell r="D46" t="str">
            <v>DIAZ WALTER ENRIQUE</v>
          </cell>
          <cell r="AA46">
            <v>0</v>
          </cell>
          <cell r="AI46">
            <v>0</v>
          </cell>
        </row>
        <row r="47">
          <cell r="D47" t="str">
            <v>DONAIRE JOSE ENRIQUE</v>
          </cell>
          <cell r="AA47">
            <v>0</v>
          </cell>
          <cell r="AI47">
            <v>0</v>
          </cell>
        </row>
        <row r="48">
          <cell r="D48" t="str">
            <v>ESCOBAR JUAN EDUARDO</v>
          </cell>
          <cell r="AA48">
            <v>15</v>
          </cell>
          <cell r="AI48">
            <v>2.75</v>
          </cell>
        </row>
        <row r="49">
          <cell r="D49" t="str">
            <v>FERRATO MIGUEL ALBERTO</v>
          </cell>
          <cell r="AA49">
            <v>6</v>
          </cell>
          <cell r="AI49">
            <v>0</v>
          </cell>
        </row>
        <row r="50">
          <cell r="D50" t="str">
            <v>GALVAN ANTONIO ROBERTO</v>
          </cell>
          <cell r="AA50">
            <v>3</v>
          </cell>
          <cell r="AI50">
            <v>0</v>
          </cell>
        </row>
        <row r="51">
          <cell r="D51" t="str">
            <v>GALVAN JUSTO JOSE</v>
          </cell>
          <cell r="AA51">
            <v>0</v>
          </cell>
          <cell r="AI51">
            <v>0</v>
          </cell>
        </row>
        <row r="52">
          <cell r="D52" t="str">
            <v>GALVAN MIGUEL ANGEL</v>
          </cell>
          <cell r="AA52">
            <v>0</v>
          </cell>
          <cell r="AI52">
            <v>0</v>
          </cell>
        </row>
        <row r="53">
          <cell r="D53" t="str">
            <v>GOMEZ DANIEL ALEJANDRO</v>
          </cell>
          <cell r="AA53">
            <v>0</v>
          </cell>
          <cell r="AI53">
            <v>0</v>
          </cell>
        </row>
        <row r="54">
          <cell r="D54" t="str">
            <v>GOMEZ MARIO ALFREDO</v>
          </cell>
          <cell r="AA54">
            <v>0</v>
          </cell>
          <cell r="AI54">
            <v>0</v>
          </cell>
        </row>
        <row r="55">
          <cell r="D55" t="str">
            <v>GONZALEZ JOSE LUIS</v>
          </cell>
          <cell r="AA55">
            <v>15</v>
          </cell>
          <cell r="AI55">
            <v>1.125</v>
          </cell>
        </row>
        <row r="56">
          <cell r="D56" t="str">
            <v>GONZALEZ JUAN IGNACIO</v>
          </cell>
          <cell r="AA56">
            <v>0</v>
          </cell>
          <cell r="AI56">
            <v>0</v>
          </cell>
        </row>
        <row r="57">
          <cell r="D57" t="str">
            <v>GONZALEZ LUCAS GUSTAVO</v>
          </cell>
          <cell r="AA57">
            <v>0</v>
          </cell>
          <cell r="AI57">
            <v>0</v>
          </cell>
        </row>
        <row r="58">
          <cell r="D58" t="str">
            <v>GRAMAJO JUAN JESUS ISAIAS</v>
          </cell>
          <cell r="AA58">
            <v>15</v>
          </cell>
          <cell r="AI58">
            <v>2.9375</v>
          </cell>
        </row>
        <row r="59">
          <cell r="D59" t="str">
            <v>GUTIERREZ ELIO GUSTAVO</v>
          </cell>
          <cell r="AA59">
            <v>0</v>
          </cell>
          <cell r="AI59">
            <v>0</v>
          </cell>
        </row>
        <row r="60">
          <cell r="D60" t="str">
            <v>HERRERA JUAN FRANCISCO</v>
          </cell>
          <cell r="AA60">
            <v>0</v>
          </cell>
          <cell r="AI60">
            <v>0</v>
          </cell>
        </row>
        <row r="61">
          <cell r="D61" t="str">
            <v>HERRERA NELSON JESUS</v>
          </cell>
          <cell r="AA61">
            <v>0</v>
          </cell>
          <cell r="AI61">
            <v>0</v>
          </cell>
        </row>
        <row r="62">
          <cell r="D62" t="str">
            <v>HERRERA SEGUNDO DIONISIO</v>
          </cell>
          <cell r="AA62">
            <v>0</v>
          </cell>
          <cell r="AI62">
            <v>0</v>
          </cell>
        </row>
        <row r="63">
          <cell r="D63" t="str">
            <v>JEREZ RUBEN PASCUAL</v>
          </cell>
          <cell r="AA63">
            <v>0</v>
          </cell>
          <cell r="AI63">
            <v>0</v>
          </cell>
        </row>
        <row r="64">
          <cell r="D64" t="str">
            <v>JUAREZ HECTOR ARIEL</v>
          </cell>
          <cell r="AA64">
            <v>0</v>
          </cell>
          <cell r="AI64">
            <v>0</v>
          </cell>
        </row>
        <row r="65">
          <cell r="D65" t="str">
            <v>JUAREZ JOSE CORNELIO</v>
          </cell>
          <cell r="AA65">
            <v>0</v>
          </cell>
          <cell r="AI65">
            <v>0</v>
          </cell>
        </row>
        <row r="66">
          <cell r="D66" t="str">
            <v>JUAREZ JOSE LUIS</v>
          </cell>
          <cell r="AA66">
            <v>0</v>
          </cell>
          <cell r="AI66">
            <v>0</v>
          </cell>
        </row>
        <row r="67">
          <cell r="D67" t="str">
            <v>JUAREZ VICTOR HUGO</v>
          </cell>
          <cell r="AA67">
            <v>0</v>
          </cell>
          <cell r="AI67">
            <v>0</v>
          </cell>
        </row>
        <row r="68">
          <cell r="D68" t="str">
            <v>LEGUIZAMON MARIO ENRIQUE</v>
          </cell>
          <cell r="AA68">
            <v>0</v>
          </cell>
          <cell r="AI68">
            <v>0</v>
          </cell>
        </row>
        <row r="69">
          <cell r="D69" t="str">
            <v>LEIVA GUILLERMO ADRIAN</v>
          </cell>
          <cell r="AA69">
            <v>0</v>
          </cell>
          <cell r="AI69">
            <v>0</v>
          </cell>
        </row>
        <row r="70">
          <cell r="D70" t="str">
            <v>LUCENA JUAN MARCELO</v>
          </cell>
          <cell r="AA70">
            <v>15</v>
          </cell>
          <cell r="AI70">
            <v>7.625</v>
          </cell>
        </row>
        <row r="71">
          <cell r="D71" t="str">
            <v>LUCENA MATIAS ADRIAN</v>
          </cell>
          <cell r="AA71">
            <v>0</v>
          </cell>
          <cell r="AI71">
            <v>0</v>
          </cell>
        </row>
        <row r="72">
          <cell r="D72" t="str">
            <v>LUCENA SILVIO OMAR</v>
          </cell>
          <cell r="AA72">
            <v>0</v>
          </cell>
          <cell r="AI72">
            <v>0</v>
          </cell>
        </row>
        <row r="73">
          <cell r="D73" t="str">
            <v>LUNA JORGE MIGUEL</v>
          </cell>
          <cell r="AA73">
            <v>0</v>
          </cell>
          <cell r="AI73">
            <v>0</v>
          </cell>
        </row>
        <row r="74">
          <cell r="D74" t="str">
            <v>LUNA JULIO CESAR</v>
          </cell>
          <cell r="AA74">
            <v>0</v>
          </cell>
          <cell r="AI74">
            <v>0</v>
          </cell>
        </row>
        <row r="75">
          <cell r="D75" t="str">
            <v>MEDINA JORGE MARCELO</v>
          </cell>
          <cell r="AA75">
            <v>0</v>
          </cell>
          <cell r="AI75">
            <v>0</v>
          </cell>
        </row>
        <row r="76">
          <cell r="D76" t="str">
            <v>MEDINA JOSE FELIX</v>
          </cell>
          <cell r="AA76">
            <v>0</v>
          </cell>
          <cell r="AI76">
            <v>0</v>
          </cell>
        </row>
        <row r="77">
          <cell r="D77" t="str">
            <v>MEDINA JUAN ALBERTO</v>
          </cell>
          <cell r="AA77">
            <v>15</v>
          </cell>
          <cell r="AI77">
            <v>1.25</v>
          </cell>
        </row>
        <row r="78">
          <cell r="D78" t="str">
            <v>MUÑOZ FERNANDO FEDERICO</v>
          </cell>
          <cell r="AA78">
            <v>15</v>
          </cell>
          <cell r="AI78">
            <v>2.75</v>
          </cell>
        </row>
        <row r="79">
          <cell r="D79" t="str">
            <v>NIETO JORGE LUIS</v>
          </cell>
          <cell r="AA79">
            <v>3</v>
          </cell>
          <cell r="AI79">
            <v>0</v>
          </cell>
        </row>
        <row r="80">
          <cell r="D80" t="str">
            <v>NUÑEZ HECTOR JAVIER</v>
          </cell>
          <cell r="AA80">
            <v>3</v>
          </cell>
          <cell r="AI80">
            <v>0</v>
          </cell>
        </row>
        <row r="81">
          <cell r="D81" t="str">
            <v>NUÑEZ JUAN PABLO</v>
          </cell>
          <cell r="AA81">
            <v>0</v>
          </cell>
          <cell r="AI81">
            <v>0</v>
          </cell>
        </row>
        <row r="82">
          <cell r="D82" t="str">
            <v>OGAS JULIO ISIDRO</v>
          </cell>
          <cell r="AA82">
            <v>3</v>
          </cell>
          <cell r="AI82">
            <v>0</v>
          </cell>
        </row>
        <row r="83">
          <cell r="D83" t="str">
            <v>OGAS LUIS</v>
          </cell>
          <cell r="AA83">
            <v>3</v>
          </cell>
          <cell r="AI83">
            <v>0</v>
          </cell>
        </row>
        <row r="84">
          <cell r="D84" t="str">
            <v>OLIVERA ANDRES MAXIMILIANO</v>
          </cell>
          <cell r="AA84">
            <v>0</v>
          </cell>
          <cell r="AI84">
            <v>0</v>
          </cell>
        </row>
        <row r="85">
          <cell r="D85" t="str">
            <v>ORELLANA FRANCO MICAEL</v>
          </cell>
          <cell r="AA85">
            <v>0</v>
          </cell>
          <cell r="AI85">
            <v>0</v>
          </cell>
        </row>
        <row r="86">
          <cell r="D86" t="str">
            <v>ORONA VICTOR GONZALO</v>
          </cell>
          <cell r="AA86">
            <v>0</v>
          </cell>
          <cell r="AI86">
            <v>0</v>
          </cell>
        </row>
        <row r="87">
          <cell r="D87" t="str">
            <v>POL JUAN FRANCISCO</v>
          </cell>
          <cell r="AA87">
            <v>0</v>
          </cell>
          <cell r="AI87">
            <v>0</v>
          </cell>
        </row>
        <row r="88">
          <cell r="D88" t="str">
            <v>RODRIGUEZ MANUEL EDUARDO</v>
          </cell>
          <cell r="AA88">
            <v>15</v>
          </cell>
          <cell r="AI88">
            <v>1</v>
          </cell>
        </row>
        <row r="89">
          <cell r="D89" t="str">
            <v>RODRIGUEZ MIGUEL RENE</v>
          </cell>
          <cell r="AA89">
            <v>0</v>
          </cell>
          <cell r="AI89">
            <v>0</v>
          </cell>
        </row>
        <row r="90">
          <cell r="D90" t="str">
            <v>RODRIGUEZ RAMÓN ANTONIO</v>
          </cell>
          <cell r="AA90">
            <v>0</v>
          </cell>
          <cell r="AI90">
            <v>0</v>
          </cell>
        </row>
        <row r="91">
          <cell r="D91" t="str">
            <v>ROJAS JUAN GUILLERMO</v>
          </cell>
          <cell r="AA91">
            <v>0</v>
          </cell>
          <cell r="AI91">
            <v>0</v>
          </cell>
        </row>
        <row r="92">
          <cell r="D92" t="str">
            <v>ROJAS MARCELO GABRIEL</v>
          </cell>
          <cell r="AA92">
            <v>0</v>
          </cell>
          <cell r="AI92">
            <v>0</v>
          </cell>
        </row>
        <row r="93">
          <cell r="D93" t="str">
            <v>ROMERO ARIEL DAVID</v>
          </cell>
          <cell r="AA93">
            <v>3</v>
          </cell>
          <cell r="AI93">
            <v>0</v>
          </cell>
        </row>
        <row r="94">
          <cell r="D94" t="str">
            <v>RUIZ DANIEL EVARISTO</v>
          </cell>
          <cell r="AA94">
            <v>0</v>
          </cell>
          <cell r="AI94">
            <v>0</v>
          </cell>
        </row>
        <row r="95">
          <cell r="D95" t="str">
            <v>SANTILLAN JORGE ESTEBAN</v>
          </cell>
          <cell r="AA95">
            <v>0</v>
          </cell>
          <cell r="AI95">
            <v>0</v>
          </cell>
        </row>
        <row r="96">
          <cell r="D96" t="str">
            <v>SERRANO FABIAN EDUARDO</v>
          </cell>
          <cell r="AA96">
            <v>15</v>
          </cell>
          <cell r="AI96">
            <v>0.5</v>
          </cell>
        </row>
        <row r="97">
          <cell r="D97" t="str">
            <v>SERRANO JORGE RICARDO</v>
          </cell>
          <cell r="AA97">
            <v>0</v>
          </cell>
          <cell r="AI97">
            <v>0</v>
          </cell>
        </row>
        <row r="98">
          <cell r="D98" t="str">
            <v>SILVA SERGIO GUILLERMO</v>
          </cell>
          <cell r="AA98">
            <v>0</v>
          </cell>
          <cell r="AI98">
            <v>0</v>
          </cell>
        </row>
        <row r="99">
          <cell r="D99" t="str">
            <v>SORIA GABRIEL GUSTAVO</v>
          </cell>
          <cell r="AA99">
            <v>0</v>
          </cell>
          <cell r="AI99">
            <v>0</v>
          </cell>
        </row>
        <row r="100">
          <cell r="D100" t="str">
            <v>SORIA LUIS OSCAR</v>
          </cell>
          <cell r="AA100">
            <v>0</v>
          </cell>
          <cell r="AI100">
            <v>0</v>
          </cell>
        </row>
        <row r="101">
          <cell r="D101" t="str">
            <v>SOSA OSCAR ALFREDO</v>
          </cell>
          <cell r="AA101">
            <v>11</v>
          </cell>
          <cell r="AI101">
            <v>0</v>
          </cell>
        </row>
        <row r="102">
          <cell r="D102" t="str">
            <v>TARTALO ANTONIO SEGUNDO RAFAEL</v>
          </cell>
          <cell r="AA102">
            <v>0</v>
          </cell>
          <cell r="AI102">
            <v>0</v>
          </cell>
        </row>
        <row r="103">
          <cell r="D103" t="str">
            <v>TARTALO CRISTIAN IVAN</v>
          </cell>
          <cell r="AA103">
            <v>0</v>
          </cell>
          <cell r="AI103">
            <v>0</v>
          </cell>
        </row>
        <row r="104">
          <cell r="D104" t="str">
            <v>TARTALO JOSE OSCAR</v>
          </cell>
          <cell r="AA104">
            <v>15</v>
          </cell>
          <cell r="AI104">
            <v>0.25</v>
          </cell>
        </row>
        <row r="105">
          <cell r="D105" t="str">
            <v>TORRES DANIEL ALBERTO</v>
          </cell>
          <cell r="AA105">
            <v>15</v>
          </cell>
          <cell r="AI105">
            <v>0.5625</v>
          </cell>
        </row>
        <row r="106">
          <cell r="D106" t="str">
            <v>VALDEZ FLORINDO ARNALDO</v>
          </cell>
          <cell r="AA106">
            <v>15</v>
          </cell>
          <cell r="AI106">
            <v>1.375</v>
          </cell>
        </row>
        <row r="107">
          <cell r="D107" t="str">
            <v>VARGAS ARNALDO VICENTE</v>
          </cell>
          <cell r="AA107">
            <v>15</v>
          </cell>
          <cell r="AI107">
            <v>1.5</v>
          </cell>
        </row>
        <row r="108">
          <cell r="D108" t="str">
            <v>VARGAS FACUNDO ELISEO</v>
          </cell>
          <cell r="AA108">
            <v>0</v>
          </cell>
          <cell r="AI108">
            <v>0</v>
          </cell>
        </row>
        <row r="109">
          <cell r="D109" t="str">
            <v>VARGAS JORGE DANIEL</v>
          </cell>
          <cell r="AA109">
            <v>0</v>
          </cell>
          <cell r="AI109">
            <v>0</v>
          </cell>
        </row>
        <row r="110">
          <cell r="D110" t="str">
            <v>VARGAS LUIS MARIANO</v>
          </cell>
          <cell r="AA110">
            <v>3</v>
          </cell>
          <cell r="AI110">
            <v>0</v>
          </cell>
        </row>
        <row r="111">
          <cell r="D111" t="str">
            <v>VIDES DANIEL GUSTAVO</v>
          </cell>
          <cell r="AA111">
            <v>0</v>
          </cell>
          <cell r="AI111">
            <v>0</v>
          </cell>
        </row>
        <row r="112">
          <cell r="D112" t="str">
            <v>VISUARA MIGUEL ANGEL</v>
          </cell>
          <cell r="AA112">
            <v>0</v>
          </cell>
          <cell r="AI112">
            <v>0</v>
          </cell>
        </row>
        <row r="113">
          <cell r="D113" t="str">
            <v>ZERRIZUELA ALEXIS EDUARDO</v>
          </cell>
          <cell r="AA113">
            <v>0</v>
          </cell>
          <cell r="AI113">
            <v>0</v>
          </cell>
        </row>
        <row r="114">
          <cell r="AI114">
            <v>32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 filterMode="1"/>
  <dimension ref="A1:EZ123"/>
  <sheetViews>
    <sheetView showGridLines="0" zoomScale="80" zoomScaleNormal="80" workbookViewId="0">
      <pane xSplit="16" ySplit="17" topLeftCell="DA96" activePane="bottomRight" state="frozen"/>
      <selection activeCell="AP13" sqref="AP13"/>
      <selection pane="topRight" activeCell="AP13" sqref="AP13"/>
      <selection pane="bottomLeft" activeCell="AP13" sqref="AP13"/>
      <selection pane="bottomRight" activeCell="B16" sqref="B16:DB16"/>
    </sheetView>
  </sheetViews>
  <sheetFormatPr baseColWidth="10" defaultColWidth="9.140625" defaultRowHeight="12" x14ac:dyDescent="0.2"/>
  <cols>
    <col min="1" max="1" width="6.7109375" style="1" customWidth="1"/>
    <col min="2" max="2" width="6" style="1" customWidth="1"/>
    <col min="3" max="3" width="7.42578125" style="1" bestFit="1" customWidth="1"/>
    <col min="4" max="4" width="29.7109375" style="2" bestFit="1" customWidth="1"/>
    <col min="5" max="5" width="11.28515625" style="2" customWidth="1"/>
    <col min="6" max="6" width="4.28515625" style="1" bestFit="1" customWidth="1"/>
    <col min="7" max="7" width="6.7109375" style="2" customWidth="1"/>
    <col min="8" max="8" width="5.7109375" style="1" bestFit="1" customWidth="1"/>
    <col min="9" max="10" width="11.28515625" style="1" customWidth="1"/>
    <col min="11" max="11" width="6.7109375" style="5" customWidth="1"/>
    <col min="12" max="12" width="6" style="5" customWidth="1"/>
    <col min="13" max="13" width="8.28515625" style="5" bestFit="1" customWidth="1"/>
    <col min="14" max="14" width="9" style="2" bestFit="1" customWidth="1"/>
    <col min="15" max="15" width="10.42578125" style="2" customWidth="1"/>
    <col min="16" max="17" width="9.85546875" style="1" customWidth="1"/>
    <col min="18" max="18" width="10.42578125" style="1" customWidth="1"/>
    <col min="19" max="19" width="8.28515625" style="1" customWidth="1"/>
    <col min="20" max="20" width="8.85546875" style="1" bestFit="1" customWidth="1"/>
    <col min="21" max="21" width="8.85546875" style="7" bestFit="1" customWidth="1"/>
    <col min="22" max="22" width="10" style="1" bestFit="1" customWidth="1"/>
    <col min="23" max="23" width="7.42578125" style="1" customWidth="1"/>
    <col min="24" max="25" width="11.42578125" style="1" customWidth="1"/>
    <col min="26" max="26" width="9.85546875" style="1" bestFit="1" customWidth="1"/>
    <col min="27" max="27" width="9.140625" style="1" customWidth="1"/>
    <col min="28" max="29" width="9.28515625" style="1" customWidth="1"/>
    <col min="30" max="30" width="12.140625" style="1" bestFit="1" customWidth="1"/>
    <col min="31" max="31" width="10.7109375" style="1" bestFit="1" customWidth="1"/>
    <col min="32" max="32" width="6.7109375" style="1" bestFit="1" customWidth="1"/>
    <col min="33" max="34" width="6.28515625" style="1" customWidth="1"/>
    <col min="35" max="35" width="7" style="1" bestFit="1" customWidth="1"/>
    <col min="36" max="36" width="6.28515625" style="1" customWidth="1"/>
    <col min="37" max="37" width="7" style="1" bestFit="1" customWidth="1"/>
    <col min="38" max="38" width="8.28515625" style="1" bestFit="1" customWidth="1"/>
    <col min="39" max="41" width="9.140625" style="1" bestFit="1" customWidth="1"/>
    <col min="42" max="42" width="10" style="1" bestFit="1" customWidth="1"/>
    <col min="43" max="43" width="9.140625" style="1" bestFit="1" customWidth="1"/>
    <col min="44" max="44" width="10.7109375" style="1" customWidth="1"/>
    <col min="45" max="46" width="8.28515625" style="1" customWidth="1"/>
    <col min="47" max="47" width="8.28515625" style="1" bestFit="1" customWidth="1"/>
    <col min="48" max="48" width="12.140625" style="8" bestFit="1" customWidth="1"/>
    <col min="49" max="49" width="10.28515625" style="2" bestFit="1" customWidth="1"/>
    <col min="50" max="52" width="11.140625" style="2" bestFit="1" customWidth="1"/>
    <col min="53" max="53" width="10.28515625" style="2" bestFit="1" customWidth="1"/>
    <col min="54" max="54" width="10.42578125" style="2" bestFit="1" customWidth="1"/>
    <col min="55" max="56" width="13.42578125" style="2" customWidth="1"/>
    <col min="57" max="57" width="9" style="2" bestFit="1" customWidth="1"/>
    <col min="58" max="59" width="10.28515625" style="2" bestFit="1" customWidth="1"/>
    <col min="60" max="63" width="10.85546875" style="2" customWidth="1"/>
    <col min="64" max="64" width="11.28515625" style="2" bestFit="1" customWidth="1"/>
    <col min="65" max="65" width="9.85546875" style="2" bestFit="1" customWidth="1"/>
    <col min="66" max="66" width="11.140625" style="2" customWidth="1"/>
    <col min="67" max="67" width="9.85546875" style="2" bestFit="1" customWidth="1"/>
    <col min="68" max="68" width="11.28515625" style="2" bestFit="1" customWidth="1"/>
    <col min="69" max="69" width="10.140625" style="2" bestFit="1" customWidth="1"/>
    <col min="70" max="70" width="10.140625" style="2" customWidth="1"/>
    <col min="71" max="71" width="12.85546875" style="2" bestFit="1" customWidth="1"/>
    <col min="72" max="72" width="13.28515625" style="2" bestFit="1" customWidth="1"/>
    <col min="73" max="75" width="12.85546875" style="2" customWidth="1"/>
    <col min="76" max="76" width="10.42578125" style="2" bestFit="1" customWidth="1"/>
    <col min="77" max="77" width="10.42578125" style="2" customWidth="1"/>
    <col min="78" max="78" width="10.85546875" style="2" bestFit="1" customWidth="1"/>
    <col min="79" max="79" width="11.42578125" style="2" bestFit="1" customWidth="1"/>
    <col min="80" max="80" width="11.85546875" style="2" customWidth="1"/>
    <col min="81" max="81" width="12.7109375" style="2" bestFit="1" customWidth="1"/>
    <col min="82" max="83" width="11.7109375" style="2" bestFit="1" customWidth="1"/>
    <col min="84" max="84" width="12" style="2" bestFit="1" customWidth="1"/>
    <col min="85" max="86" width="9.7109375" style="2" customWidth="1"/>
    <col min="87" max="87" width="12" style="2" bestFit="1" customWidth="1"/>
    <col min="88" max="96" width="12" style="2" customWidth="1"/>
    <col min="97" max="98" width="11.42578125" style="2" customWidth="1"/>
    <col min="99" max="99" width="12.85546875" style="2" bestFit="1" customWidth="1"/>
    <col min="100" max="100" width="12" style="2" bestFit="1" customWidth="1"/>
    <col min="101" max="103" width="12" style="2" customWidth="1"/>
    <col min="104" max="104" width="12.5703125" style="2" customWidth="1"/>
    <col min="105" max="105" width="13.7109375" style="2" bestFit="1" customWidth="1"/>
    <col min="106" max="106" width="15.5703125" style="2" bestFit="1" customWidth="1"/>
    <col min="107" max="107" width="12.85546875" style="6" bestFit="1" customWidth="1"/>
    <col min="108" max="109" width="14.140625" style="6" bestFit="1" customWidth="1"/>
    <col min="110" max="110" width="12" style="2" bestFit="1" customWidth="1"/>
    <col min="111" max="111" width="9.140625" style="2"/>
    <col min="112" max="112" width="12" style="2" bestFit="1" customWidth="1"/>
    <col min="113" max="113" width="13.28515625" style="2" customWidth="1"/>
    <col min="114" max="16384" width="9.140625" style="2"/>
  </cols>
  <sheetData>
    <row r="1" spans="1:109" x14ac:dyDescent="0.2">
      <c r="E1" s="3"/>
      <c r="F1" s="4"/>
      <c r="G1" s="3"/>
      <c r="H1" s="4"/>
      <c r="I1" s="4"/>
      <c r="J1" s="4"/>
      <c r="P1" s="6"/>
      <c r="Q1" s="6"/>
      <c r="R1" s="2"/>
      <c r="DA1" s="9"/>
    </row>
    <row r="2" spans="1:109" x14ac:dyDescent="0.2">
      <c r="Q2" s="10"/>
      <c r="R2" s="11"/>
      <c r="S2" s="12"/>
      <c r="T2" s="12"/>
      <c r="U2" s="148"/>
      <c r="W2" s="149" t="s">
        <v>0</v>
      </c>
      <c r="X2" s="150" t="s">
        <v>1</v>
      </c>
      <c r="Y2" s="150" t="s">
        <v>2</v>
      </c>
      <c r="Z2" s="146" t="s">
        <v>3</v>
      </c>
      <c r="AA2" s="145" t="s">
        <v>4</v>
      </c>
      <c r="AB2" s="145" t="s">
        <v>5</v>
      </c>
      <c r="AC2" s="146" t="s">
        <v>6</v>
      </c>
      <c r="AD2" s="2"/>
      <c r="DA2" s="9"/>
    </row>
    <row r="3" spans="1:109" ht="12" customHeight="1" x14ac:dyDescent="0.25">
      <c r="Q3" s="10"/>
      <c r="R3" s="11"/>
      <c r="S3" s="12"/>
      <c r="T3" s="12"/>
      <c r="U3" s="148"/>
      <c r="W3" s="149"/>
      <c r="X3" s="151"/>
      <c r="Y3" s="151"/>
      <c r="Z3" s="146"/>
      <c r="AA3" s="145"/>
      <c r="AB3" s="145"/>
      <c r="AC3" s="146"/>
      <c r="AD3" s="2"/>
      <c r="CD3" s="13"/>
      <c r="CE3" s="13"/>
      <c r="CU3" s="14"/>
      <c r="DA3" s="9"/>
      <c r="DC3" s="15"/>
      <c r="DD3" s="15"/>
      <c r="DE3" s="15"/>
    </row>
    <row r="4" spans="1:109" x14ac:dyDescent="0.2">
      <c r="Q4" s="16">
        <f>+X4</f>
        <v>17212.41</v>
      </c>
      <c r="R4" s="17">
        <f>+Q4*155%</f>
        <v>26679.235499999999</v>
      </c>
      <c r="S4" s="18"/>
      <c r="T4" s="19">
        <f>+R4+S4</f>
        <v>26679.235499999999</v>
      </c>
      <c r="U4" s="20">
        <f>+U114</f>
        <v>296</v>
      </c>
      <c r="V4" s="108">
        <f>+Y4/X4*100</f>
        <v>138.91890850845405</v>
      </c>
      <c r="W4" s="21" t="s">
        <v>7</v>
      </c>
      <c r="X4" s="22">
        <v>17212.41</v>
      </c>
      <c r="Y4" s="23">
        <f>+Z4-X4</f>
        <v>23911.292099999995</v>
      </c>
      <c r="Z4" s="24">
        <v>41123.702099999995</v>
      </c>
      <c r="AA4" s="25">
        <f>+X4*0.3</f>
        <v>5163.723</v>
      </c>
      <c r="AB4" s="25">
        <f>+Y4*0.3</f>
        <v>7173.3876299999984</v>
      </c>
      <c r="AC4" s="26">
        <f t="shared" ref="AC4:AC11" si="0">+AA4+AB4</f>
        <v>12337.110629999999</v>
      </c>
      <c r="AD4" s="27"/>
      <c r="AE4" s="28"/>
      <c r="CD4" s="13"/>
      <c r="CE4" s="13"/>
      <c r="CU4" s="13"/>
      <c r="DA4" s="9"/>
      <c r="DC4" s="15"/>
      <c r="DD4" s="15"/>
      <c r="DE4" s="15"/>
    </row>
    <row r="5" spans="1:109" x14ac:dyDescent="0.2">
      <c r="Q5" s="29"/>
      <c r="S5" s="30"/>
      <c r="T5" s="30"/>
      <c r="U5" s="31">
        <f>+Q4*218.75%</f>
        <v>37652.146874999999</v>
      </c>
      <c r="W5" s="21" t="s">
        <v>8</v>
      </c>
      <c r="X5" s="22">
        <v>18004.12</v>
      </c>
      <c r="Y5" s="23">
        <f t="shared" ref="Y5:Y11" si="1">+Z5-X5</f>
        <v>25011.1211</v>
      </c>
      <c r="Z5" s="24">
        <v>43015.241099999999</v>
      </c>
      <c r="AA5" s="25">
        <f t="shared" ref="AA5:AB11" si="2">+X5*0.3</f>
        <v>5401.2359999999999</v>
      </c>
      <c r="AB5" s="25">
        <f t="shared" si="2"/>
        <v>7503.3363300000001</v>
      </c>
      <c r="AC5" s="33">
        <f t="shared" si="0"/>
        <v>12904.572329999999</v>
      </c>
      <c r="AD5" s="13"/>
      <c r="AE5" s="28"/>
      <c r="CD5" s="13"/>
      <c r="CE5" s="13"/>
      <c r="CU5" s="13"/>
      <c r="DA5" s="9"/>
      <c r="DC5" s="15"/>
      <c r="DD5" s="15"/>
      <c r="DE5" s="15"/>
    </row>
    <row r="6" spans="1:109" x14ac:dyDescent="0.2">
      <c r="P6" s="2"/>
      <c r="Q6" s="34">
        <f>+Q4+R4</f>
        <v>43891.645499999999</v>
      </c>
      <c r="R6" s="35">
        <f>+T4+Q4</f>
        <v>43891.645499999999</v>
      </c>
      <c r="S6" s="30"/>
      <c r="T6" s="30"/>
      <c r="U6" s="36"/>
      <c r="W6" s="21" t="s">
        <v>9</v>
      </c>
      <c r="X6" s="22">
        <v>18329.509999999998</v>
      </c>
      <c r="Y6" s="23">
        <f t="shared" si="1"/>
        <v>25463.1649</v>
      </c>
      <c r="Z6" s="24">
        <v>43792.674899999998</v>
      </c>
      <c r="AA6" s="25">
        <f t="shared" si="2"/>
        <v>5498.8529999999992</v>
      </c>
      <c r="AB6" s="25">
        <f t="shared" si="2"/>
        <v>7638.9494699999996</v>
      </c>
      <c r="AC6" s="33">
        <f t="shared" si="0"/>
        <v>13137.802469999999</v>
      </c>
      <c r="AD6" s="13"/>
      <c r="AE6" s="28"/>
      <c r="AX6" s="13"/>
      <c r="CE6" s="13"/>
      <c r="CU6" s="37"/>
      <c r="DA6" s="9"/>
    </row>
    <row r="7" spans="1:109" x14ac:dyDescent="0.2">
      <c r="Q7" s="29"/>
      <c r="R7" s="35">
        <f>+R6/Q6</f>
        <v>1</v>
      </c>
      <c r="S7" s="30"/>
      <c r="T7" s="30"/>
      <c r="U7" s="38"/>
      <c r="W7" s="21" t="s">
        <v>10</v>
      </c>
      <c r="X7" s="22">
        <v>19002.419999999998</v>
      </c>
      <c r="Y7" s="23">
        <f t="shared" si="1"/>
        <v>26397.963600000003</v>
      </c>
      <c r="Z7" s="24">
        <v>45400.383600000001</v>
      </c>
      <c r="AA7" s="25">
        <f t="shared" si="2"/>
        <v>5700.7259999999997</v>
      </c>
      <c r="AB7" s="25">
        <f t="shared" si="2"/>
        <v>7919.3890800000008</v>
      </c>
      <c r="AC7" s="26">
        <f t="shared" si="0"/>
        <v>13620.11508</v>
      </c>
      <c r="AD7" s="39"/>
      <c r="BK7" s="13"/>
      <c r="BL7" s="13"/>
      <c r="BM7" s="13"/>
      <c r="CU7" s="13"/>
      <c r="DA7" s="9"/>
    </row>
    <row r="8" spans="1:109" x14ac:dyDescent="0.2">
      <c r="P8" s="40"/>
      <c r="Q8" s="29"/>
      <c r="R8" s="11"/>
      <c r="S8" s="30"/>
      <c r="T8" s="30"/>
      <c r="U8" s="38"/>
      <c r="W8" s="21" t="s">
        <v>11</v>
      </c>
      <c r="X8" s="22">
        <v>19415.57</v>
      </c>
      <c r="Y8" s="23">
        <f t="shared" si="1"/>
        <v>26971.887999999999</v>
      </c>
      <c r="Z8" s="24">
        <v>46387.457999999999</v>
      </c>
      <c r="AA8" s="25">
        <f t="shared" si="2"/>
        <v>5824.6709999999994</v>
      </c>
      <c r="AB8" s="25">
        <f t="shared" si="2"/>
        <v>8091.5663999999997</v>
      </c>
      <c r="AC8" s="26">
        <f t="shared" si="0"/>
        <v>13916.237399999998</v>
      </c>
      <c r="AD8" s="13"/>
      <c r="BL8" s="13"/>
      <c r="BM8" s="13"/>
      <c r="BP8" s="41"/>
      <c r="CU8" s="42"/>
      <c r="DA8" s="9"/>
    </row>
    <row r="9" spans="1:109" x14ac:dyDescent="0.2">
      <c r="P9" s="40"/>
      <c r="Q9" s="29"/>
      <c r="R9" s="11"/>
      <c r="S9" s="30"/>
      <c r="T9" s="30"/>
      <c r="U9" s="38"/>
      <c r="W9" s="21" t="s">
        <v>12</v>
      </c>
      <c r="X9" s="22">
        <v>20104.080000000002</v>
      </c>
      <c r="Y9" s="23">
        <f t="shared" si="1"/>
        <v>27928.380449999997</v>
      </c>
      <c r="Z9" s="24">
        <v>48032.460449999999</v>
      </c>
      <c r="AA9" s="25">
        <f t="shared" si="2"/>
        <v>6031.2240000000002</v>
      </c>
      <c r="AB9" s="25">
        <f t="shared" si="2"/>
        <v>8378.5141349999994</v>
      </c>
      <c r="AC9" s="26">
        <f t="shared" si="0"/>
        <v>14409.738135</v>
      </c>
      <c r="AD9" s="13"/>
      <c r="BL9" s="13"/>
      <c r="BM9" s="13"/>
      <c r="DA9" s="9"/>
    </row>
    <row r="10" spans="1:109" x14ac:dyDescent="0.2">
      <c r="P10" s="43"/>
      <c r="S10" s="41"/>
      <c r="T10" s="41"/>
      <c r="U10" s="44"/>
      <c r="W10" s="21" t="s">
        <v>13</v>
      </c>
      <c r="X10" s="22">
        <v>20964.689999999999</v>
      </c>
      <c r="Y10" s="23">
        <f t="shared" si="1"/>
        <v>29123.932350000006</v>
      </c>
      <c r="Z10" s="24">
        <v>50088.622350000005</v>
      </c>
      <c r="AA10" s="25">
        <f t="shared" si="2"/>
        <v>6289.4069999999992</v>
      </c>
      <c r="AB10" s="25">
        <f t="shared" si="2"/>
        <v>8737.1797050000023</v>
      </c>
      <c r="AC10" s="26">
        <f t="shared" si="0"/>
        <v>15026.586705000002</v>
      </c>
      <c r="AD10" s="13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BL10" s="13"/>
      <c r="BM10" s="13"/>
      <c r="BX10" s="46"/>
      <c r="BY10" s="46"/>
      <c r="BZ10" s="46"/>
      <c r="CB10" s="9"/>
      <c r="CI10" s="13"/>
      <c r="CU10" s="42"/>
      <c r="DA10" s="9"/>
      <c r="DB10" s="6"/>
    </row>
    <row r="11" spans="1:109" x14ac:dyDescent="0.2">
      <c r="P11" s="47"/>
      <c r="Q11" s="48"/>
      <c r="R11" s="2"/>
      <c r="S11" s="41"/>
      <c r="T11" s="41"/>
      <c r="U11" s="44"/>
      <c r="V11" s="2"/>
      <c r="W11" s="21" t="s">
        <v>14</v>
      </c>
      <c r="X11" s="22">
        <v>21549.89</v>
      </c>
      <c r="Y11" s="23">
        <f t="shared" si="1"/>
        <v>29936.866750000001</v>
      </c>
      <c r="Z11" s="24">
        <v>51486.75675</v>
      </c>
      <c r="AA11" s="25">
        <f t="shared" si="2"/>
        <v>6464.9669999999996</v>
      </c>
      <c r="AB11" s="25">
        <f t="shared" si="2"/>
        <v>8981.0600250000007</v>
      </c>
      <c r="AC11" s="26">
        <f t="shared" si="0"/>
        <v>15446.027024999999</v>
      </c>
      <c r="AD11" s="13"/>
      <c r="AG11" s="49"/>
      <c r="AZ11" s="50"/>
      <c r="BC11" s="49"/>
      <c r="BD11" s="49"/>
      <c r="BE11" s="49"/>
      <c r="BF11" s="50"/>
      <c r="BG11" s="49"/>
      <c r="BH11" s="49"/>
      <c r="BI11" s="49"/>
      <c r="BJ11" s="49"/>
      <c r="BK11" s="49"/>
      <c r="BL11" s="49"/>
      <c r="BM11" s="49"/>
      <c r="BN11" s="49"/>
      <c r="CC11" s="2" t="s">
        <v>15</v>
      </c>
      <c r="CF11" s="41"/>
      <c r="CI11" s="42"/>
      <c r="DA11" s="9"/>
      <c r="DB11" s="6"/>
    </row>
    <row r="12" spans="1:109" ht="14.65" customHeight="1" x14ac:dyDescent="0.2">
      <c r="A12" s="142" t="s">
        <v>16</v>
      </c>
      <c r="B12" s="143"/>
      <c r="C12" s="143"/>
      <c r="D12" s="144"/>
      <c r="E12" s="52"/>
      <c r="F12" s="52"/>
      <c r="G12" s="52"/>
      <c r="H12" s="52"/>
      <c r="I12" s="52"/>
      <c r="J12" s="52"/>
      <c r="K12" s="2"/>
      <c r="L12" s="2"/>
      <c r="M12" s="2"/>
      <c r="P12" s="47"/>
      <c r="Q12" s="39"/>
      <c r="R12" s="2"/>
      <c r="S12" s="2"/>
      <c r="T12" s="2"/>
      <c r="V12" s="53"/>
      <c r="W12" s="53"/>
      <c r="X12" s="53"/>
      <c r="Y12" s="23"/>
      <c r="Z12" s="53"/>
      <c r="AA12" s="53"/>
      <c r="AB12" s="53"/>
      <c r="AC12" s="53"/>
      <c r="AD12" s="53"/>
      <c r="AE12" s="49"/>
      <c r="AF12" s="49"/>
      <c r="AG12" s="49"/>
      <c r="AZ12" s="41"/>
      <c r="BA12" s="41"/>
      <c r="BM12" s="6"/>
      <c r="BO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C12" s="54">
        <f>3645898/2</f>
        <v>1822949</v>
      </c>
      <c r="CF12" s="41"/>
      <c r="CI12" s="46"/>
      <c r="DA12" s="9"/>
      <c r="DB12" s="6"/>
    </row>
    <row r="13" spans="1:109" x14ac:dyDescent="0.2">
      <c r="A13" s="55"/>
      <c r="B13" s="55"/>
      <c r="C13" s="55"/>
      <c r="D13" s="52"/>
      <c r="E13" s="52"/>
      <c r="F13" s="52"/>
      <c r="G13" s="52"/>
      <c r="H13" s="52"/>
      <c r="I13" s="52"/>
      <c r="J13" s="52"/>
      <c r="K13" s="55"/>
      <c r="L13" s="55"/>
      <c r="M13" s="55"/>
      <c r="P13" s="47"/>
      <c r="Q13" s="13"/>
      <c r="R13" s="2"/>
      <c r="S13" s="2"/>
      <c r="T13" s="2"/>
      <c r="AE13" s="49"/>
      <c r="AF13" s="49"/>
      <c r="AG13" s="49"/>
      <c r="AZ13" s="41"/>
      <c r="BA13" s="41"/>
      <c r="CF13" s="41"/>
      <c r="CI13" s="13"/>
      <c r="CJ13" s="13"/>
      <c r="CK13" s="13"/>
      <c r="CL13" s="13"/>
      <c r="CM13" s="13"/>
      <c r="CN13" s="13"/>
      <c r="CO13" s="13"/>
      <c r="CP13" s="13"/>
      <c r="CQ13" s="13"/>
      <c r="CW13" s="56"/>
      <c r="CX13" s="56"/>
      <c r="CY13" s="56"/>
      <c r="DA13" s="9"/>
      <c r="DB13" s="6"/>
    </row>
    <row r="14" spans="1:109" x14ac:dyDescent="0.2">
      <c r="Q14" s="40"/>
      <c r="R14" s="40"/>
      <c r="S14" s="40"/>
      <c r="T14" s="40"/>
      <c r="X14" s="108">
        <f>+Y4/X4</f>
        <v>1.3891890850845405</v>
      </c>
      <c r="AZ14" s="57"/>
      <c r="BA14" s="57"/>
      <c r="BM14" s="13">
        <v>24365.479679100001</v>
      </c>
      <c r="BQ14" s="42"/>
      <c r="BR14" s="42"/>
      <c r="BS14" s="1">
        <v>1022</v>
      </c>
      <c r="BT14" s="1">
        <v>1023</v>
      </c>
      <c r="BU14" s="1">
        <v>1025</v>
      </c>
      <c r="BV14" s="1">
        <v>1026</v>
      </c>
      <c r="BW14" s="1"/>
      <c r="BX14" s="42"/>
      <c r="BY14" s="42"/>
      <c r="BZ14" s="42"/>
      <c r="CA14" s="42"/>
      <c r="CB14" s="9"/>
      <c r="CC14" s="58"/>
      <c r="CD14" s="58"/>
      <c r="CE14" s="58"/>
      <c r="CG14" s="41"/>
      <c r="CH14" s="41"/>
      <c r="CI14" s="13"/>
      <c r="CJ14" s="41"/>
      <c r="CK14" s="41"/>
      <c r="CL14" s="111" t="s">
        <v>196</v>
      </c>
      <c r="CM14" s="41"/>
      <c r="CN14" s="41"/>
      <c r="CO14" s="111" t="s">
        <v>197</v>
      </c>
      <c r="CP14" s="41"/>
      <c r="CQ14" s="41"/>
      <c r="CR14" s="41"/>
      <c r="DA14" s="9"/>
      <c r="DC14" s="59"/>
      <c r="DD14" s="59"/>
      <c r="DE14" s="59"/>
    </row>
    <row r="15" spans="1:109" x14ac:dyDescent="0.2">
      <c r="K15" s="147" t="s">
        <v>17</v>
      </c>
      <c r="L15" s="147"/>
      <c r="M15" s="60"/>
      <c r="N15" s="61">
        <v>46037</v>
      </c>
      <c r="O15" s="62"/>
      <c r="Q15" s="40"/>
      <c r="R15" s="40"/>
      <c r="S15" s="40"/>
      <c r="T15" s="63">
        <v>1003</v>
      </c>
      <c r="V15" s="1">
        <v>1061</v>
      </c>
      <c r="W15" s="1">
        <v>1009</v>
      </c>
      <c r="Y15" s="1">
        <v>1030</v>
      </c>
      <c r="Z15" s="1">
        <v>1072</v>
      </c>
      <c r="AB15" s="1">
        <v>1065</v>
      </c>
      <c r="AC15" s="1">
        <v>1066</v>
      </c>
      <c r="AD15" s="1">
        <v>1073</v>
      </c>
      <c r="AE15" s="1">
        <v>1304</v>
      </c>
      <c r="AH15" s="1">
        <v>1041</v>
      </c>
      <c r="AI15" s="1">
        <v>1007</v>
      </c>
      <c r="AK15" s="1">
        <v>1018</v>
      </c>
      <c r="AL15" s="1">
        <v>1019</v>
      </c>
      <c r="AM15" s="1">
        <v>1022</v>
      </c>
      <c r="AN15" s="1">
        <v>1023</v>
      </c>
      <c r="AO15" s="1">
        <v>1025</v>
      </c>
      <c r="AP15" s="1">
        <v>1026</v>
      </c>
      <c r="AQ15" s="1">
        <v>1108</v>
      </c>
      <c r="AR15" s="1">
        <v>1109</v>
      </c>
      <c r="AS15" s="1">
        <v>1110</v>
      </c>
      <c r="AT15" s="1">
        <v>1201</v>
      </c>
      <c r="AV15" s="8">
        <v>30</v>
      </c>
      <c r="AX15" s="2">
        <v>30</v>
      </c>
      <c r="AY15" s="2">
        <v>30</v>
      </c>
      <c r="AZ15" s="64">
        <v>0.01</v>
      </c>
      <c r="BA15" s="65"/>
      <c r="BC15" s="56"/>
      <c r="BD15" s="56"/>
      <c r="BE15" s="65"/>
      <c r="BF15" s="41">
        <v>1.5</v>
      </c>
      <c r="BG15" s="41">
        <v>2</v>
      </c>
      <c r="BH15" s="65"/>
      <c r="BI15" s="65"/>
      <c r="BJ15" s="65"/>
      <c r="BK15" s="65"/>
      <c r="BL15" s="65"/>
      <c r="BM15" s="66">
        <v>19290.416267249999</v>
      </c>
      <c r="BN15" s="6"/>
      <c r="BQ15" s="42"/>
      <c r="BR15" s="42"/>
      <c r="BS15" s="42">
        <v>67.134</v>
      </c>
      <c r="BT15" s="42">
        <v>52.673999999999999</v>
      </c>
      <c r="BU15" s="67">
        <v>1.6226</v>
      </c>
      <c r="BV15" s="67">
        <v>2.5053000000000001</v>
      </c>
      <c r="BW15" s="67">
        <v>3.1374</v>
      </c>
      <c r="BX15" s="42"/>
      <c r="BY15" s="42"/>
      <c r="BZ15" s="42"/>
      <c r="CA15" s="42"/>
      <c r="CC15" s="68">
        <v>0.11</v>
      </c>
      <c r="CD15" s="68">
        <v>0.03</v>
      </c>
      <c r="CE15" s="68">
        <v>0.03</v>
      </c>
      <c r="CF15" s="68"/>
      <c r="CG15" s="68">
        <v>0.03</v>
      </c>
      <c r="CH15" s="68"/>
      <c r="CI15" s="68"/>
      <c r="CJ15" s="68"/>
      <c r="CK15" s="68"/>
      <c r="CL15" s="1">
        <v>1201</v>
      </c>
      <c r="CM15" s="1">
        <v>1220</v>
      </c>
      <c r="CN15" s="1">
        <v>2803</v>
      </c>
      <c r="CO15" s="1"/>
      <c r="CP15" s="1">
        <v>2895</v>
      </c>
      <c r="CQ15" s="1">
        <v>2896</v>
      </c>
      <c r="CR15" s="68"/>
      <c r="CS15" s="69"/>
      <c r="CT15" s="69"/>
      <c r="CU15" s="69"/>
      <c r="CV15" s="69"/>
      <c r="CW15" s="69"/>
      <c r="CX15" s="69"/>
      <c r="CY15" s="69"/>
      <c r="CZ15" s="41"/>
      <c r="DA15" s="41"/>
    </row>
    <row r="16" spans="1:109" s="78" customFormat="1" ht="38.450000000000003" customHeight="1" x14ac:dyDescent="0.25">
      <c r="A16" s="70" t="s">
        <v>198</v>
      </c>
      <c r="B16" s="70" t="s">
        <v>18</v>
      </c>
      <c r="C16" s="70" t="s">
        <v>19</v>
      </c>
      <c r="D16" s="71" t="s">
        <v>20</v>
      </c>
      <c r="E16" s="71" t="s">
        <v>200</v>
      </c>
      <c r="F16" s="71" t="s">
        <v>21</v>
      </c>
      <c r="G16" s="71" t="s">
        <v>22</v>
      </c>
      <c r="H16" s="71" t="s">
        <v>23</v>
      </c>
      <c r="I16" s="72" t="s">
        <v>24</v>
      </c>
      <c r="J16" s="72" t="s">
        <v>25</v>
      </c>
      <c r="K16" s="72" t="s">
        <v>26</v>
      </c>
      <c r="L16" s="72" t="s">
        <v>27</v>
      </c>
      <c r="M16" s="70" t="s">
        <v>28</v>
      </c>
      <c r="N16" s="70" t="s">
        <v>29</v>
      </c>
      <c r="O16" s="70" t="s">
        <v>30</v>
      </c>
      <c r="P16" s="70" t="s">
        <v>4</v>
      </c>
      <c r="Q16" s="70" t="s">
        <v>31</v>
      </c>
      <c r="R16" s="70" t="s">
        <v>32</v>
      </c>
      <c r="S16" s="70" t="s">
        <v>33</v>
      </c>
      <c r="T16" s="73" t="s">
        <v>34</v>
      </c>
      <c r="U16" s="70" t="s">
        <v>35</v>
      </c>
      <c r="V16" s="74" t="s">
        <v>36</v>
      </c>
      <c r="W16" s="70" t="s">
        <v>37</v>
      </c>
      <c r="X16" s="70" t="s">
        <v>38</v>
      </c>
      <c r="Y16" s="70" t="s">
        <v>39</v>
      </c>
      <c r="Z16" s="70" t="s">
        <v>40</v>
      </c>
      <c r="AA16" s="70" t="s">
        <v>41</v>
      </c>
      <c r="AB16" s="75" t="s">
        <v>42</v>
      </c>
      <c r="AC16" s="75" t="s">
        <v>43</v>
      </c>
      <c r="AD16" s="70" t="s">
        <v>44</v>
      </c>
      <c r="AE16" s="70" t="s">
        <v>45</v>
      </c>
      <c r="AF16" s="70" t="s">
        <v>46</v>
      </c>
      <c r="AG16" s="70" t="s">
        <v>47</v>
      </c>
      <c r="AH16" s="70" t="s">
        <v>48</v>
      </c>
      <c r="AI16" s="70" t="s">
        <v>49</v>
      </c>
      <c r="AJ16" s="70" t="s">
        <v>50</v>
      </c>
      <c r="AK16" s="70" t="s">
        <v>51</v>
      </c>
      <c r="AL16" s="70" t="s">
        <v>52</v>
      </c>
      <c r="AM16" s="70" t="s">
        <v>53</v>
      </c>
      <c r="AN16" s="70" t="s">
        <v>54</v>
      </c>
      <c r="AO16" s="70" t="s">
        <v>55</v>
      </c>
      <c r="AP16" s="70" t="s">
        <v>56</v>
      </c>
      <c r="AQ16" s="76" t="s">
        <v>57</v>
      </c>
      <c r="AR16" s="70" t="s">
        <v>58</v>
      </c>
      <c r="AS16" s="70" t="s">
        <v>59</v>
      </c>
      <c r="AT16" s="70" t="s">
        <v>60</v>
      </c>
      <c r="AU16" s="70" t="s">
        <v>61</v>
      </c>
      <c r="AV16" s="70" t="s">
        <v>62</v>
      </c>
      <c r="AW16" s="74" t="s">
        <v>36</v>
      </c>
      <c r="AX16" s="70" t="s">
        <v>37</v>
      </c>
      <c r="AY16" s="70" t="s">
        <v>38</v>
      </c>
      <c r="AZ16" s="70" t="s">
        <v>39</v>
      </c>
      <c r="BA16" s="70" t="s">
        <v>40</v>
      </c>
      <c r="BB16" s="70" t="s">
        <v>41</v>
      </c>
      <c r="BC16" s="75" t="s">
        <v>42</v>
      </c>
      <c r="BD16" s="75" t="s">
        <v>43</v>
      </c>
      <c r="BE16" s="70" t="s">
        <v>44</v>
      </c>
      <c r="BF16" s="70" t="s">
        <v>45</v>
      </c>
      <c r="BG16" s="70" t="s">
        <v>46</v>
      </c>
      <c r="BH16" s="70" t="s">
        <v>47</v>
      </c>
      <c r="BI16" s="70" t="s">
        <v>49</v>
      </c>
      <c r="BJ16" s="70" t="s">
        <v>63</v>
      </c>
      <c r="BK16" s="70" t="s">
        <v>64</v>
      </c>
      <c r="BL16" s="70" t="s">
        <v>4</v>
      </c>
      <c r="BM16" s="70" t="s">
        <v>33</v>
      </c>
      <c r="BN16" s="70" t="s">
        <v>58</v>
      </c>
      <c r="BO16" s="70" t="s">
        <v>65</v>
      </c>
      <c r="BP16" s="70" t="s">
        <v>66</v>
      </c>
      <c r="BQ16" s="70" t="s">
        <v>51</v>
      </c>
      <c r="BR16" s="70" t="s">
        <v>52</v>
      </c>
      <c r="BS16" s="70" t="s">
        <v>53</v>
      </c>
      <c r="BT16" s="70" t="s">
        <v>54</v>
      </c>
      <c r="BU16" s="70" t="s">
        <v>55</v>
      </c>
      <c r="BV16" s="70" t="s">
        <v>56</v>
      </c>
      <c r="BW16" s="76" t="s">
        <v>57</v>
      </c>
      <c r="BX16" s="70" t="s">
        <v>67</v>
      </c>
      <c r="BY16" s="70" t="s">
        <v>68</v>
      </c>
      <c r="BZ16" s="70" t="s">
        <v>69</v>
      </c>
      <c r="CA16" s="77" t="s">
        <v>70</v>
      </c>
      <c r="CB16" s="70" t="s">
        <v>71</v>
      </c>
      <c r="CC16" s="70" t="s">
        <v>72</v>
      </c>
      <c r="CD16" s="70" t="s">
        <v>73</v>
      </c>
      <c r="CE16" s="70" t="s">
        <v>74</v>
      </c>
      <c r="CF16" s="70" t="s">
        <v>75</v>
      </c>
      <c r="CG16" s="75" t="s">
        <v>76</v>
      </c>
      <c r="CH16" s="75" t="s">
        <v>77</v>
      </c>
      <c r="CI16" s="75" t="s">
        <v>78</v>
      </c>
      <c r="CJ16" s="75" t="s">
        <v>79</v>
      </c>
      <c r="CK16" s="70" t="s">
        <v>80</v>
      </c>
      <c r="CL16" s="70" t="s">
        <v>81</v>
      </c>
      <c r="CM16" s="70" t="s">
        <v>82</v>
      </c>
      <c r="CN16" s="70" t="s">
        <v>83</v>
      </c>
      <c r="CO16" s="70" t="s">
        <v>195</v>
      </c>
      <c r="CP16" s="70" t="s">
        <v>84</v>
      </c>
      <c r="CQ16" s="70" t="s">
        <v>85</v>
      </c>
      <c r="CR16" s="75" t="s">
        <v>86</v>
      </c>
      <c r="CS16" s="72" t="s">
        <v>87</v>
      </c>
      <c r="CT16" s="72" t="s">
        <v>88</v>
      </c>
      <c r="CU16" s="72" t="s">
        <v>89</v>
      </c>
      <c r="CV16" s="72" t="s">
        <v>90</v>
      </c>
      <c r="CW16" s="72" t="s">
        <v>91</v>
      </c>
      <c r="CX16" s="72" t="s">
        <v>92</v>
      </c>
      <c r="CY16" s="72" t="s">
        <v>93</v>
      </c>
      <c r="CZ16" s="72" t="s">
        <v>24</v>
      </c>
      <c r="DA16" s="72" t="s">
        <v>25</v>
      </c>
      <c r="DB16" s="70" t="s">
        <v>94</v>
      </c>
      <c r="DC16" s="70" t="s">
        <v>94</v>
      </c>
      <c r="DD16" s="70" t="s">
        <v>95</v>
      </c>
      <c r="DE16" s="70" t="s">
        <v>96</v>
      </c>
    </row>
    <row r="17" spans="1:156" x14ac:dyDescent="0.2">
      <c r="A17" s="79"/>
      <c r="B17" s="21"/>
      <c r="C17" s="21"/>
      <c r="D17" s="21" t="s">
        <v>97</v>
      </c>
      <c r="E17" s="21"/>
      <c r="F17" s="21"/>
      <c r="G17" s="21"/>
      <c r="H17" s="21"/>
      <c r="I17" s="21"/>
      <c r="J17" s="21"/>
      <c r="K17" s="80"/>
      <c r="L17" s="80"/>
      <c r="M17" s="80"/>
      <c r="N17" s="81"/>
      <c r="O17" s="81"/>
      <c r="P17" s="21"/>
      <c r="Q17" s="21"/>
      <c r="R17" s="21"/>
      <c r="S17" s="82"/>
      <c r="T17" s="82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81"/>
      <c r="BD17" s="81"/>
      <c r="BE17" s="21"/>
      <c r="BF17" s="81"/>
      <c r="BG17" s="81"/>
      <c r="BH17" s="81"/>
      <c r="BI17" s="81"/>
      <c r="BJ17" s="81"/>
      <c r="BK17" s="81"/>
      <c r="BL17" s="81"/>
      <c r="BM17" s="21"/>
      <c r="BN17" s="21"/>
      <c r="BO17" s="21"/>
      <c r="BP17" s="2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3"/>
      <c r="DD17" s="83"/>
      <c r="DE17" s="83"/>
    </row>
    <row r="18" spans="1:156" s="1" customFormat="1" ht="12" customHeight="1" x14ac:dyDescent="0.2">
      <c r="A18" s="88">
        <f t="shared" ref="A18:A49" si="3">500000+B18</f>
        <v>509831</v>
      </c>
      <c r="B18" s="21">
        <v>9831</v>
      </c>
      <c r="C18" s="21" t="s">
        <v>98</v>
      </c>
      <c r="D18" s="84" t="s">
        <v>180</v>
      </c>
      <c r="E18" s="114" t="s">
        <v>201</v>
      </c>
      <c r="F18" s="85">
        <v>0</v>
      </c>
      <c r="G18" s="84"/>
      <c r="H18" s="85"/>
      <c r="I18" s="86"/>
      <c r="J18" s="85">
        <v>0.25</v>
      </c>
      <c r="K18" s="21" t="s">
        <v>8</v>
      </c>
      <c r="L18" s="21"/>
      <c r="M18" s="87"/>
      <c r="N18" s="88"/>
      <c r="O18" s="88">
        <v>0</v>
      </c>
      <c r="P18" s="89">
        <f t="shared" ref="P18" si="4">+VLOOKUP(K18,$W$4:$AC$11,5,0)</f>
        <v>5401.2359999999999</v>
      </c>
      <c r="Q18" s="90">
        <f t="shared" ref="Q18" si="5">+VLOOKUP(K18,$W$4:$Z$11,2,0)</f>
        <v>18004.12</v>
      </c>
      <c r="R18" s="90">
        <f t="shared" ref="R18" si="6">+VLOOKUP(K18,$W$4:$Y$11,3,0)</f>
        <v>25011.1211</v>
      </c>
      <c r="S18" s="91"/>
      <c r="T18" s="92">
        <v>1</v>
      </c>
      <c r="U18" s="32">
        <f>+T18</f>
        <v>1</v>
      </c>
      <c r="V18" s="32">
        <v>0</v>
      </c>
      <c r="W18" s="32">
        <v>0</v>
      </c>
      <c r="X18" s="93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93">
        <v>0</v>
      </c>
      <c r="AE18" s="32">
        <v>0</v>
      </c>
      <c r="AF18" s="32">
        <v>0</v>
      </c>
      <c r="AG18" s="32">
        <v>0</v>
      </c>
      <c r="AH18" s="93">
        <v>0</v>
      </c>
      <c r="AI18" s="93">
        <v>0</v>
      </c>
      <c r="AJ18" s="93">
        <v>0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  <c r="AP18" s="32">
        <v>0</v>
      </c>
      <c r="AQ18" s="32">
        <v>0</v>
      </c>
      <c r="AR18" s="32">
        <v>0</v>
      </c>
      <c r="AS18" s="32">
        <v>0</v>
      </c>
      <c r="AT18" s="32">
        <v>0</v>
      </c>
      <c r="AU18" s="94">
        <f t="shared" ref="AU18:AU49" si="7">+U18+V18+W18+Y18-Z18-AB18-AC18-AD18-AE18+AF18-AG18+AJ18</f>
        <v>1</v>
      </c>
      <c r="AV18" s="95">
        <f t="shared" ref="AV18:AV49" si="8">+Q18*U18</f>
        <v>18004.12</v>
      </c>
      <c r="AW18" s="95">
        <f t="shared" ref="AW18:AW49" si="9">+Q18*V18</f>
        <v>0</v>
      </c>
      <c r="AX18" s="95">
        <f t="shared" ref="AX18:AX49" si="10">+Q18*W18</f>
        <v>0</v>
      </c>
      <c r="AY18" s="95">
        <f t="shared" ref="AY18:AY49" si="11">+Q18*X18</f>
        <v>0</v>
      </c>
      <c r="AZ18" s="95">
        <f t="shared" ref="AZ18:AZ49" si="12">+(Q18*1.0833*Y18)+((P18*O18)/25*Y18)</f>
        <v>0</v>
      </c>
      <c r="BA18" s="95">
        <f t="shared" ref="BA18:BA49" si="13">-Q18/8*Z18</f>
        <v>0</v>
      </c>
      <c r="BB18" s="95">
        <f t="shared" ref="BB18:BB49" si="14">+Q18/8*AA18</f>
        <v>0</v>
      </c>
      <c r="BC18" s="96">
        <f t="shared" ref="BC18:BC49" si="15">-Q18*AB18</f>
        <v>0</v>
      </c>
      <c r="BD18" s="96">
        <f t="shared" ref="BD18:BD49" si="16">-Q18*AC18</f>
        <v>0</v>
      </c>
      <c r="BE18" s="96">
        <f t="shared" ref="BE18:BE49" si="17">-Q18/8*AD18</f>
        <v>0</v>
      </c>
      <c r="BF18" s="96">
        <f t="shared" ref="BF18:BF49" si="18">-Q18*AE18</f>
        <v>0</v>
      </c>
      <c r="BG18" s="96">
        <f t="shared" ref="BG18:BG49" si="19">+Q18*AF18</f>
        <v>0</v>
      </c>
      <c r="BH18" s="96">
        <f t="shared" ref="BH18:BH49" si="20">-Q18*AG18</f>
        <v>0</v>
      </c>
      <c r="BI18" s="96">
        <f t="shared" ref="BI18:BI49" si="21">+Q18*AI18</f>
        <v>0</v>
      </c>
      <c r="BJ18" s="96">
        <f t="shared" ref="BJ18:BJ49" si="22">+Q18*AH18</f>
        <v>0</v>
      </c>
      <c r="BK18" s="96">
        <f t="shared" ref="BK18:BK49" si="23">+Q18*AJ18</f>
        <v>0</v>
      </c>
      <c r="BL18" s="96">
        <f t="shared" ref="BL18:BL49" si="24">+(P18*O18)/25*(U18+V18+W18-Z18-AB18-AC18-AD18-AE18+AF18-AG18)</f>
        <v>0</v>
      </c>
      <c r="BM18" s="96">
        <f t="shared" ref="BM18:BM49" si="25">+$BM$15/25*(U18+V18+Y18+AF18+AH18+AI18)*0</f>
        <v>0</v>
      </c>
      <c r="BN18" s="96"/>
      <c r="BO18" s="95"/>
      <c r="BP18" s="95">
        <f t="shared" ref="BP18:BP49" si="26">+M18*(AU18+AH18+AI18)</f>
        <v>0</v>
      </c>
      <c r="BQ18" s="95"/>
      <c r="BR18" s="95"/>
      <c r="BS18" s="95">
        <f t="shared" ref="BS18:BS49" si="27">+$BS$15*AM18</f>
        <v>0</v>
      </c>
      <c r="BT18" s="95">
        <f t="shared" ref="BT18:BT49" si="28">+$BT$15*AN18</f>
        <v>0</v>
      </c>
      <c r="BU18" s="95">
        <f t="shared" ref="BU18:BU49" si="29">+$BU$15*AO18</f>
        <v>0</v>
      </c>
      <c r="BV18" s="95">
        <f t="shared" ref="BV18:BV49" si="30">+$BV$15*AP18</f>
        <v>0</v>
      </c>
      <c r="BW18" s="95"/>
      <c r="BX18" s="95"/>
      <c r="BY18" s="95"/>
      <c r="BZ18" s="95"/>
      <c r="CA18" s="95">
        <f>+IF(H18&gt;59,+SUM(AV18:BX18)*138.92%,0)</f>
        <v>0</v>
      </c>
      <c r="CB18" s="97">
        <f t="shared" ref="CB18:CB49" si="31">SUM(AV18:CA18)</f>
        <v>18004.12</v>
      </c>
      <c r="CC18" s="95"/>
      <c r="CD18" s="95"/>
      <c r="CE18" s="95">
        <f t="shared" ref="CE18:CE49" si="32">-MIN(CB18,$CC$12)*$CD$15</f>
        <v>-540.1235999999999</v>
      </c>
      <c r="CF18" s="95">
        <f>-IF(E18="FOTIA",(CB18-AZ18)*1%,(CB18-AZ18)*1.5%)</f>
        <v>-180.0412</v>
      </c>
      <c r="CG18" s="113"/>
      <c r="CH18" s="22"/>
      <c r="CI18" s="98">
        <f t="shared" ref="CI18:CI49" si="33">+IF(H18&gt;59,0,(CB18*138.92%))</f>
        <v>25011.323503999993</v>
      </c>
      <c r="CJ18" s="95">
        <f t="shared" ref="CJ18:CJ49" si="34">-MIN(CI18,$CC$12)*$CD$15</f>
        <v>-750.33970511999973</v>
      </c>
      <c r="CK18" s="95">
        <f>-IF(E18="FOTIA",(CI18-BE18)*1%,(CI18-BE18)*1.5%)</f>
        <v>-250.11323503999992</v>
      </c>
      <c r="CL18" s="95">
        <v>0</v>
      </c>
      <c r="CM18" s="99"/>
      <c r="CN18" s="99">
        <v>0</v>
      </c>
      <c r="CO18" s="110"/>
      <c r="CP18" s="99"/>
      <c r="CQ18" s="99"/>
      <c r="CR18" s="99"/>
      <c r="CS18" s="95"/>
      <c r="CT18" s="95"/>
      <c r="CU18" s="96"/>
      <c r="CV18" s="96"/>
      <c r="CW18" s="96"/>
      <c r="CX18" s="96"/>
      <c r="CY18" s="96"/>
      <c r="CZ18" s="93">
        <f t="shared" ref="CZ18:CZ49" si="35">-SUM(CB18+CC18+CD18+CE18+CF18)*I18</f>
        <v>0</v>
      </c>
      <c r="DA18" s="93">
        <f t="shared" ref="DA18:DA49" si="36">-SUM(CB18+CC18+CD18+CE18+CF18+CI18+CJ18+CK18)*J18</f>
        <v>-10323.706440959999</v>
      </c>
      <c r="DB18" s="95">
        <f t="shared" ref="DB18:DB49" si="37">SUM(CB18:DA18)</f>
        <v>30971.119322879997</v>
      </c>
      <c r="DC18" s="100">
        <f t="shared" ref="DC18:DC49" si="38">ROUND(DB18,0)</f>
        <v>30971</v>
      </c>
      <c r="DD18" s="100"/>
      <c r="DE18" s="100">
        <f t="shared" ref="DE18:DE49" si="39">+DD18-DC18</f>
        <v>-30971</v>
      </c>
      <c r="DF18" s="13"/>
      <c r="DG18" s="2"/>
      <c r="DH18" s="46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</row>
    <row r="19" spans="1:156" s="1" customFormat="1" ht="12" hidden="1" customHeight="1" x14ac:dyDescent="0.2">
      <c r="A19" s="88">
        <f t="shared" si="3"/>
        <v>509850</v>
      </c>
      <c r="B19" s="21">
        <v>9850</v>
      </c>
      <c r="C19" s="21" t="s">
        <v>98</v>
      </c>
      <c r="D19" s="84" t="s">
        <v>185</v>
      </c>
      <c r="E19" s="114" t="s">
        <v>201</v>
      </c>
      <c r="F19" s="85">
        <v>0</v>
      </c>
      <c r="G19" s="84"/>
      <c r="H19" s="85"/>
      <c r="I19" s="86"/>
      <c r="J19" s="85"/>
      <c r="K19" s="21" t="s">
        <v>8</v>
      </c>
      <c r="L19" s="21"/>
      <c r="M19" s="87"/>
      <c r="N19" s="88"/>
      <c r="O19" s="88">
        <v>0</v>
      </c>
      <c r="P19" s="89">
        <f t="shared" ref="P19:P82" si="40">+VLOOKUP(K19,$W$4:$AC$11,5,0)</f>
        <v>5401.2359999999999</v>
      </c>
      <c r="Q19" s="90">
        <f t="shared" ref="Q19:Q82" si="41">+VLOOKUP(K19,$W$4:$Z$11,2,0)</f>
        <v>18004.12</v>
      </c>
      <c r="R19" s="90">
        <f t="shared" ref="R19:R82" si="42">+VLOOKUP(K19,$W$4:$Y$11,3,0)</f>
        <v>25011.1211</v>
      </c>
      <c r="S19" s="91"/>
      <c r="T19" s="92">
        <v>0</v>
      </c>
      <c r="U19" s="32">
        <f t="shared" ref="U19:U82" si="43">+T19</f>
        <v>0</v>
      </c>
      <c r="V19" s="32">
        <v>0</v>
      </c>
      <c r="W19" s="32">
        <v>0</v>
      </c>
      <c r="X19" s="93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93">
        <v>0</v>
      </c>
      <c r="AE19" s="32">
        <v>0</v>
      </c>
      <c r="AF19" s="32">
        <v>0</v>
      </c>
      <c r="AG19" s="32">
        <v>0</v>
      </c>
      <c r="AH19" s="93">
        <v>0</v>
      </c>
      <c r="AI19" s="93">
        <v>0</v>
      </c>
      <c r="AJ19" s="93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0</v>
      </c>
      <c r="AT19" s="32">
        <v>0</v>
      </c>
      <c r="AU19" s="94">
        <f t="shared" si="7"/>
        <v>0</v>
      </c>
      <c r="AV19" s="95">
        <f t="shared" si="8"/>
        <v>0</v>
      </c>
      <c r="AW19" s="95">
        <f t="shared" si="9"/>
        <v>0</v>
      </c>
      <c r="AX19" s="95">
        <f t="shared" si="10"/>
        <v>0</v>
      </c>
      <c r="AY19" s="95">
        <f t="shared" si="11"/>
        <v>0</v>
      </c>
      <c r="AZ19" s="95">
        <f t="shared" si="12"/>
        <v>0</v>
      </c>
      <c r="BA19" s="95">
        <f t="shared" si="13"/>
        <v>0</v>
      </c>
      <c r="BB19" s="95">
        <f t="shared" si="14"/>
        <v>0</v>
      </c>
      <c r="BC19" s="96">
        <f t="shared" si="15"/>
        <v>0</v>
      </c>
      <c r="BD19" s="96">
        <f t="shared" si="16"/>
        <v>0</v>
      </c>
      <c r="BE19" s="96">
        <f t="shared" si="17"/>
        <v>0</v>
      </c>
      <c r="BF19" s="96">
        <f t="shared" si="18"/>
        <v>0</v>
      </c>
      <c r="BG19" s="96">
        <f t="shared" si="19"/>
        <v>0</v>
      </c>
      <c r="BH19" s="96">
        <f t="shared" si="20"/>
        <v>0</v>
      </c>
      <c r="BI19" s="96">
        <f t="shared" si="21"/>
        <v>0</v>
      </c>
      <c r="BJ19" s="96">
        <f t="shared" si="22"/>
        <v>0</v>
      </c>
      <c r="BK19" s="96">
        <f t="shared" si="23"/>
        <v>0</v>
      </c>
      <c r="BL19" s="96">
        <f t="shared" si="24"/>
        <v>0</v>
      </c>
      <c r="BM19" s="96">
        <f t="shared" si="25"/>
        <v>0</v>
      </c>
      <c r="BN19" s="96"/>
      <c r="BO19" s="95"/>
      <c r="BP19" s="95">
        <f t="shared" si="26"/>
        <v>0</v>
      </c>
      <c r="BQ19" s="95"/>
      <c r="BR19" s="95"/>
      <c r="BS19" s="95">
        <f t="shared" si="27"/>
        <v>0</v>
      </c>
      <c r="BT19" s="95">
        <f t="shared" si="28"/>
        <v>0</v>
      </c>
      <c r="BU19" s="95">
        <f t="shared" si="29"/>
        <v>0</v>
      </c>
      <c r="BV19" s="95">
        <f t="shared" si="30"/>
        <v>0</v>
      </c>
      <c r="BW19" s="95"/>
      <c r="BX19" s="95"/>
      <c r="BY19" s="95"/>
      <c r="BZ19" s="95"/>
      <c r="CA19" s="95">
        <f t="shared" ref="CA19:CA82" si="44">+IF(H19&gt;59,+SUM(AV19:BX19)*138.92%,0)</f>
        <v>0</v>
      </c>
      <c r="CB19" s="97">
        <f t="shared" si="31"/>
        <v>0</v>
      </c>
      <c r="CC19" s="95"/>
      <c r="CD19" s="95"/>
      <c r="CE19" s="95">
        <f t="shared" si="32"/>
        <v>0</v>
      </c>
      <c r="CF19" s="95">
        <f t="shared" ref="CF19:CF82" si="45">-IF(E19="FOTIA",(CB19-AZ19)*1%,(CB19-AZ19)*1.5%)</f>
        <v>0</v>
      </c>
      <c r="CG19" s="113"/>
      <c r="CH19" s="22"/>
      <c r="CI19" s="98">
        <f t="shared" si="33"/>
        <v>0</v>
      </c>
      <c r="CJ19" s="95">
        <f t="shared" si="34"/>
        <v>0</v>
      </c>
      <c r="CK19" s="95">
        <f t="shared" ref="CK19:CK82" si="46">-IF(E19="FOTIA",(CI19-BE19)*1%,(CI19-BE19)*1.5%)</f>
        <v>0</v>
      </c>
      <c r="CL19" s="95">
        <v>0</v>
      </c>
      <c r="CM19" s="99"/>
      <c r="CN19" s="99">
        <v>0</v>
      </c>
      <c r="CO19" s="110"/>
      <c r="CP19" s="99"/>
      <c r="CQ19" s="99"/>
      <c r="CR19" s="99"/>
      <c r="CS19" s="95"/>
      <c r="CT19" s="95"/>
      <c r="CU19" s="96"/>
      <c r="CV19" s="96"/>
      <c r="CW19" s="96"/>
      <c r="CX19" s="96"/>
      <c r="CY19" s="96"/>
      <c r="CZ19" s="93">
        <f t="shared" si="35"/>
        <v>0</v>
      </c>
      <c r="DA19" s="93">
        <f t="shared" si="36"/>
        <v>0</v>
      </c>
      <c r="DB19" s="95">
        <f t="shared" si="37"/>
        <v>0</v>
      </c>
      <c r="DC19" s="100">
        <f t="shared" si="38"/>
        <v>0</v>
      </c>
      <c r="DD19" s="100"/>
      <c r="DE19" s="100">
        <f t="shared" si="39"/>
        <v>0</v>
      </c>
      <c r="DF19" s="13"/>
      <c r="DG19" s="2"/>
      <c r="DH19" s="46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</row>
    <row r="20" spans="1:156" s="1" customFormat="1" ht="12" hidden="1" customHeight="1" x14ac:dyDescent="0.2">
      <c r="A20" s="88">
        <f t="shared" si="3"/>
        <v>509743</v>
      </c>
      <c r="B20" s="21">
        <v>9743</v>
      </c>
      <c r="C20" s="21" t="s">
        <v>98</v>
      </c>
      <c r="D20" s="84" t="s">
        <v>159</v>
      </c>
      <c r="E20" s="114" t="s">
        <v>201</v>
      </c>
      <c r="F20" s="85">
        <v>0</v>
      </c>
      <c r="G20" s="84"/>
      <c r="H20" s="85">
        <v>63</v>
      </c>
      <c r="I20" s="86"/>
      <c r="J20" s="85"/>
      <c r="K20" s="21" t="s">
        <v>12</v>
      </c>
      <c r="L20" s="21"/>
      <c r="M20" s="87"/>
      <c r="N20" s="88"/>
      <c r="O20" s="88">
        <v>3</v>
      </c>
      <c r="P20" s="89">
        <f t="shared" si="40"/>
        <v>6031.2240000000002</v>
      </c>
      <c r="Q20" s="90">
        <f t="shared" si="41"/>
        <v>20104.080000000002</v>
      </c>
      <c r="R20" s="90">
        <f t="shared" si="42"/>
        <v>27928.380449999997</v>
      </c>
      <c r="S20" s="91"/>
      <c r="T20" s="92">
        <v>0</v>
      </c>
      <c r="U20" s="32">
        <f t="shared" si="43"/>
        <v>0</v>
      </c>
      <c r="V20" s="32">
        <v>0</v>
      </c>
      <c r="W20" s="32">
        <v>0</v>
      </c>
      <c r="X20" s="93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93">
        <v>0</v>
      </c>
      <c r="AE20" s="32">
        <v>0</v>
      </c>
      <c r="AF20" s="32">
        <v>0</v>
      </c>
      <c r="AG20" s="32">
        <v>0</v>
      </c>
      <c r="AH20" s="93">
        <v>0</v>
      </c>
      <c r="AI20" s="93">
        <v>0</v>
      </c>
      <c r="AJ20" s="93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2">
        <v>0</v>
      </c>
      <c r="AU20" s="94">
        <f t="shared" si="7"/>
        <v>0</v>
      </c>
      <c r="AV20" s="95">
        <f t="shared" si="8"/>
        <v>0</v>
      </c>
      <c r="AW20" s="95">
        <f t="shared" si="9"/>
        <v>0</v>
      </c>
      <c r="AX20" s="95">
        <f t="shared" si="10"/>
        <v>0</v>
      </c>
      <c r="AY20" s="95">
        <f t="shared" si="11"/>
        <v>0</v>
      </c>
      <c r="AZ20" s="95">
        <f t="shared" si="12"/>
        <v>0</v>
      </c>
      <c r="BA20" s="95">
        <f t="shared" si="13"/>
        <v>0</v>
      </c>
      <c r="BB20" s="95">
        <f t="shared" si="14"/>
        <v>0</v>
      </c>
      <c r="BC20" s="96">
        <f t="shared" si="15"/>
        <v>0</v>
      </c>
      <c r="BD20" s="96">
        <f t="shared" si="16"/>
        <v>0</v>
      </c>
      <c r="BE20" s="96">
        <f t="shared" si="17"/>
        <v>0</v>
      </c>
      <c r="BF20" s="96">
        <f t="shared" si="18"/>
        <v>0</v>
      </c>
      <c r="BG20" s="96">
        <f t="shared" si="19"/>
        <v>0</v>
      </c>
      <c r="BH20" s="96">
        <f t="shared" si="20"/>
        <v>0</v>
      </c>
      <c r="BI20" s="96">
        <f t="shared" si="21"/>
        <v>0</v>
      </c>
      <c r="BJ20" s="96">
        <f t="shared" si="22"/>
        <v>0</v>
      </c>
      <c r="BK20" s="96">
        <f t="shared" si="23"/>
        <v>0</v>
      </c>
      <c r="BL20" s="96">
        <f t="shared" si="24"/>
        <v>0</v>
      </c>
      <c r="BM20" s="96">
        <f t="shared" si="25"/>
        <v>0</v>
      </c>
      <c r="BN20" s="96"/>
      <c r="BO20" s="95"/>
      <c r="BP20" s="95">
        <f t="shared" si="26"/>
        <v>0</v>
      </c>
      <c r="BQ20" s="95"/>
      <c r="BR20" s="95"/>
      <c r="BS20" s="95">
        <f t="shared" si="27"/>
        <v>0</v>
      </c>
      <c r="BT20" s="95">
        <f t="shared" si="28"/>
        <v>0</v>
      </c>
      <c r="BU20" s="95">
        <f t="shared" si="29"/>
        <v>0</v>
      </c>
      <c r="BV20" s="95">
        <f t="shared" si="30"/>
        <v>0</v>
      </c>
      <c r="BW20" s="95"/>
      <c r="BX20" s="95"/>
      <c r="BY20" s="95"/>
      <c r="BZ20" s="95"/>
      <c r="CA20" s="95">
        <f t="shared" si="44"/>
        <v>0</v>
      </c>
      <c r="CB20" s="97">
        <f t="shared" si="31"/>
        <v>0</v>
      </c>
      <c r="CC20" s="95"/>
      <c r="CD20" s="95"/>
      <c r="CE20" s="95">
        <f t="shared" si="32"/>
        <v>0</v>
      </c>
      <c r="CF20" s="95">
        <f t="shared" si="45"/>
        <v>0</v>
      </c>
      <c r="CG20" s="113"/>
      <c r="CH20" s="22"/>
      <c r="CI20" s="98">
        <f t="shared" si="33"/>
        <v>0</v>
      </c>
      <c r="CJ20" s="95">
        <f t="shared" si="34"/>
        <v>0</v>
      </c>
      <c r="CK20" s="95">
        <f t="shared" si="46"/>
        <v>0</v>
      </c>
      <c r="CL20" s="95">
        <v>0</v>
      </c>
      <c r="CM20" s="99"/>
      <c r="CN20" s="99">
        <v>0</v>
      </c>
      <c r="CO20" s="110"/>
      <c r="CP20" s="99"/>
      <c r="CQ20" s="99"/>
      <c r="CR20" s="99"/>
      <c r="CS20" s="95"/>
      <c r="CT20" s="95"/>
      <c r="CU20" s="96"/>
      <c r="CV20" s="96"/>
      <c r="CW20" s="96"/>
      <c r="CX20" s="96"/>
      <c r="CY20" s="96"/>
      <c r="CZ20" s="93">
        <f t="shared" si="35"/>
        <v>0</v>
      </c>
      <c r="DA20" s="93">
        <f t="shared" si="36"/>
        <v>0</v>
      </c>
      <c r="DB20" s="95">
        <f t="shared" si="37"/>
        <v>0</v>
      </c>
      <c r="DC20" s="100">
        <f t="shared" si="38"/>
        <v>0</v>
      </c>
      <c r="DD20" s="100"/>
      <c r="DE20" s="100">
        <f t="shared" si="39"/>
        <v>0</v>
      </c>
      <c r="DF20" s="13"/>
      <c r="DG20" s="2"/>
      <c r="DH20" s="46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</row>
    <row r="21" spans="1:156" s="1" customFormat="1" ht="12" customHeight="1" x14ac:dyDescent="0.2">
      <c r="A21" s="88">
        <f t="shared" si="3"/>
        <v>509759</v>
      </c>
      <c r="B21" s="21">
        <v>9759</v>
      </c>
      <c r="C21" s="21" t="s">
        <v>98</v>
      </c>
      <c r="D21" s="84" t="s">
        <v>173</v>
      </c>
      <c r="E21" s="114" t="s">
        <v>201</v>
      </c>
      <c r="F21" s="85">
        <v>0</v>
      </c>
      <c r="G21" s="84"/>
      <c r="H21" s="85"/>
      <c r="I21" s="86"/>
      <c r="J21" s="85"/>
      <c r="K21" s="21" t="s">
        <v>10</v>
      </c>
      <c r="L21" s="21"/>
      <c r="M21" s="87"/>
      <c r="N21" s="88"/>
      <c r="O21" s="88">
        <v>3</v>
      </c>
      <c r="P21" s="89">
        <f t="shared" si="40"/>
        <v>5700.7259999999997</v>
      </c>
      <c r="Q21" s="90">
        <f t="shared" si="41"/>
        <v>19002.419999999998</v>
      </c>
      <c r="R21" s="90">
        <f t="shared" si="42"/>
        <v>26397.963600000003</v>
      </c>
      <c r="S21" s="91"/>
      <c r="T21" s="92">
        <v>6</v>
      </c>
      <c r="U21" s="32">
        <f t="shared" si="43"/>
        <v>6</v>
      </c>
      <c r="V21" s="32">
        <v>0</v>
      </c>
      <c r="W21" s="32">
        <v>0</v>
      </c>
      <c r="X21" s="93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93">
        <v>0</v>
      </c>
      <c r="AE21" s="32">
        <v>0</v>
      </c>
      <c r="AF21" s="32">
        <v>0</v>
      </c>
      <c r="AG21" s="32">
        <v>0</v>
      </c>
      <c r="AH21" s="93">
        <v>0</v>
      </c>
      <c r="AI21" s="93">
        <v>0</v>
      </c>
      <c r="AJ21" s="93">
        <v>0</v>
      </c>
      <c r="AK21" s="32">
        <v>0</v>
      </c>
      <c r="AL21" s="32">
        <v>0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>
        <v>0</v>
      </c>
      <c r="AS21" s="32">
        <v>0</v>
      </c>
      <c r="AT21" s="32">
        <v>0</v>
      </c>
      <c r="AU21" s="94">
        <f t="shared" si="7"/>
        <v>6</v>
      </c>
      <c r="AV21" s="95">
        <f t="shared" si="8"/>
        <v>114014.51999999999</v>
      </c>
      <c r="AW21" s="95">
        <f t="shared" si="9"/>
        <v>0</v>
      </c>
      <c r="AX21" s="95">
        <f t="shared" si="10"/>
        <v>0</v>
      </c>
      <c r="AY21" s="95">
        <f t="shared" si="11"/>
        <v>0</v>
      </c>
      <c r="AZ21" s="95">
        <f t="shared" si="12"/>
        <v>0</v>
      </c>
      <c r="BA21" s="95">
        <f t="shared" si="13"/>
        <v>0</v>
      </c>
      <c r="BB21" s="95">
        <f t="shared" si="14"/>
        <v>0</v>
      </c>
      <c r="BC21" s="96">
        <f t="shared" si="15"/>
        <v>0</v>
      </c>
      <c r="BD21" s="96">
        <f t="shared" si="16"/>
        <v>0</v>
      </c>
      <c r="BE21" s="96">
        <f t="shared" si="17"/>
        <v>0</v>
      </c>
      <c r="BF21" s="96">
        <f t="shared" si="18"/>
        <v>0</v>
      </c>
      <c r="BG21" s="96">
        <f t="shared" si="19"/>
        <v>0</v>
      </c>
      <c r="BH21" s="96">
        <f t="shared" si="20"/>
        <v>0</v>
      </c>
      <c r="BI21" s="96">
        <f t="shared" si="21"/>
        <v>0</v>
      </c>
      <c r="BJ21" s="96">
        <f t="shared" si="22"/>
        <v>0</v>
      </c>
      <c r="BK21" s="96">
        <f t="shared" si="23"/>
        <v>0</v>
      </c>
      <c r="BL21" s="96">
        <f t="shared" si="24"/>
        <v>4104.5227199999999</v>
      </c>
      <c r="BM21" s="96">
        <f t="shared" si="25"/>
        <v>0</v>
      </c>
      <c r="BN21" s="96"/>
      <c r="BO21" s="95"/>
      <c r="BP21" s="95">
        <f t="shared" si="26"/>
        <v>0</v>
      </c>
      <c r="BQ21" s="95"/>
      <c r="BR21" s="95"/>
      <c r="BS21" s="95">
        <f t="shared" si="27"/>
        <v>0</v>
      </c>
      <c r="BT21" s="95">
        <f t="shared" si="28"/>
        <v>0</v>
      </c>
      <c r="BU21" s="95">
        <f t="shared" si="29"/>
        <v>0</v>
      </c>
      <c r="BV21" s="95">
        <f t="shared" si="30"/>
        <v>0</v>
      </c>
      <c r="BW21" s="95"/>
      <c r="BX21" s="95"/>
      <c r="BY21" s="95"/>
      <c r="BZ21" s="95"/>
      <c r="CA21" s="95">
        <f t="shared" si="44"/>
        <v>0</v>
      </c>
      <c r="CB21" s="97">
        <f t="shared" si="31"/>
        <v>118119.04271999998</v>
      </c>
      <c r="CC21" s="95"/>
      <c r="CD21" s="95"/>
      <c r="CE21" s="95">
        <f t="shared" si="32"/>
        <v>-3543.5712815999996</v>
      </c>
      <c r="CF21" s="95">
        <f t="shared" si="45"/>
        <v>-1181.1904271999999</v>
      </c>
      <c r="CG21" s="113"/>
      <c r="CH21" s="22"/>
      <c r="CI21" s="98">
        <f t="shared" si="33"/>
        <v>164090.97414662395</v>
      </c>
      <c r="CJ21" s="95">
        <f t="shared" si="34"/>
        <v>-4922.7292243987185</v>
      </c>
      <c r="CK21" s="95">
        <f t="shared" si="46"/>
        <v>-1640.9097414662394</v>
      </c>
      <c r="CL21" s="95">
        <v>0</v>
      </c>
      <c r="CM21" s="99"/>
      <c r="CN21" s="99">
        <v>0</v>
      </c>
      <c r="CO21" s="110"/>
      <c r="CP21" s="99"/>
      <c r="CQ21" s="99"/>
      <c r="CR21" s="99"/>
      <c r="CS21" s="95"/>
      <c r="CT21" s="95"/>
      <c r="CU21" s="96"/>
      <c r="CV21" s="96"/>
      <c r="CW21" s="96"/>
      <c r="CX21" s="96"/>
      <c r="CY21" s="96"/>
      <c r="CZ21" s="93">
        <f t="shared" si="35"/>
        <v>0</v>
      </c>
      <c r="DA21" s="93">
        <f t="shared" si="36"/>
        <v>0</v>
      </c>
      <c r="DB21" s="95">
        <f t="shared" si="37"/>
        <v>270921.61619195895</v>
      </c>
      <c r="DC21" s="100">
        <f t="shared" si="38"/>
        <v>270922</v>
      </c>
      <c r="DD21" s="100"/>
      <c r="DE21" s="100">
        <f t="shared" si="39"/>
        <v>-270922</v>
      </c>
      <c r="DF21" s="13"/>
      <c r="DG21" s="2"/>
      <c r="DH21" s="46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</row>
    <row r="22" spans="1:156" s="1" customFormat="1" ht="12" customHeight="1" x14ac:dyDescent="0.2">
      <c r="A22" s="88">
        <f t="shared" si="3"/>
        <v>509746</v>
      </c>
      <c r="B22" s="21">
        <v>9746</v>
      </c>
      <c r="C22" s="21" t="s">
        <v>98</v>
      </c>
      <c r="D22" s="84" t="s">
        <v>162</v>
      </c>
      <c r="E22" s="114" t="s">
        <v>201</v>
      </c>
      <c r="F22" s="85">
        <v>0</v>
      </c>
      <c r="G22" s="84"/>
      <c r="H22" s="85"/>
      <c r="I22" s="86"/>
      <c r="J22" s="85"/>
      <c r="K22" s="21" t="s">
        <v>10</v>
      </c>
      <c r="L22" s="21"/>
      <c r="M22" s="87"/>
      <c r="N22" s="88"/>
      <c r="O22" s="88">
        <v>2</v>
      </c>
      <c r="P22" s="89">
        <f t="shared" si="40"/>
        <v>5700.7259999999997</v>
      </c>
      <c r="Q22" s="90">
        <f t="shared" si="41"/>
        <v>19002.419999999998</v>
      </c>
      <c r="R22" s="90">
        <f t="shared" si="42"/>
        <v>26397.963600000003</v>
      </c>
      <c r="S22" s="91"/>
      <c r="T22" s="92">
        <v>6</v>
      </c>
      <c r="U22" s="32">
        <f t="shared" si="43"/>
        <v>6</v>
      </c>
      <c r="V22" s="32">
        <v>0</v>
      </c>
      <c r="W22" s="32">
        <v>1</v>
      </c>
      <c r="X22" s="93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93">
        <v>0</v>
      </c>
      <c r="AE22" s="32">
        <v>0</v>
      </c>
      <c r="AF22" s="32">
        <v>0</v>
      </c>
      <c r="AG22" s="32">
        <v>0</v>
      </c>
      <c r="AH22" s="93">
        <v>0</v>
      </c>
      <c r="AI22" s="93">
        <v>0</v>
      </c>
      <c r="AJ22" s="93">
        <v>0</v>
      </c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2">
        <v>0</v>
      </c>
      <c r="AU22" s="94">
        <f t="shared" si="7"/>
        <v>7</v>
      </c>
      <c r="AV22" s="95">
        <f t="shared" si="8"/>
        <v>114014.51999999999</v>
      </c>
      <c r="AW22" s="95">
        <f t="shared" si="9"/>
        <v>0</v>
      </c>
      <c r="AX22" s="95">
        <f t="shared" si="10"/>
        <v>19002.419999999998</v>
      </c>
      <c r="AY22" s="95">
        <f t="shared" si="11"/>
        <v>0</v>
      </c>
      <c r="AZ22" s="95">
        <f t="shared" si="12"/>
        <v>0</v>
      </c>
      <c r="BA22" s="95">
        <f t="shared" si="13"/>
        <v>0</v>
      </c>
      <c r="BB22" s="95">
        <f t="shared" si="14"/>
        <v>0</v>
      </c>
      <c r="BC22" s="96">
        <f t="shared" si="15"/>
        <v>0</v>
      </c>
      <c r="BD22" s="96">
        <f t="shared" si="16"/>
        <v>0</v>
      </c>
      <c r="BE22" s="96">
        <f t="shared" si="17"/>
        <v>0</v>
      </c>
      <c r="BF22" s="96">
        <f t="shared" si="18"/>
        <v>0</v>
      </c>
      <c r="BG22" s="96">
        <f t="shared" si="19"/>
        <v>0</v>
      </c>
      <c r="BH22" s="96">
        <f t="shared" si="20"/>
        <v>0</v>
      </c>
      <c r="BI22" s="96">
        <f t="shared" si="21"/>
        <v>0</v>
      </c>
      <c r="BJ22" s="96">
        <f t="shared" si="22"/>
        <v>0</v>
      </c>
      <c r="BK22" s="96">
        <f t="shared" si="23"/>
        <v>0</v>
      </c>
      <c r="BL22" s="96">
        <f t="shared" si="24"/>
        <v>3192.4065599999999</v>
      </c>
      <c r="BM22" s="96">
        <f t="shared" si="25"/>
        <v>0</v>
      </c>
      <c r="BN22" s="96"/>
      <c r="BO22" s="95"/>
      <c r="BP22" s="95">
        <f t="shared" si="26"/>
        <v>0</v>
      </c>
      <c r="BQ22" s="95"/>
      <c r="BR22" s="95"/>
      <c r="BS22" s="95">
        <f t="shared" si="27"/>
        <v>0</v>
      </c>
      <c r="BT22" s="95">
        <f t="shared" si="28"/>
        <v>0</v>
      </c>
      <c r="BU22" s="95">
        <f t="shared" si="29"/>
        <v>0</v>
      </c>
      <c r="BV22" s="95">
        <f t="shared" si="30"/>
        <v>0</v>
      </c>
      <c r="BW22" s="95"/>
      <c r="BX22" s="95"/>
      <c r="BY22" s="95"/>
      <c r="BZ22" s="95"/>
      <c r="CA22" s="95">
        <f t="shared" si="44"/>
        <v>0</v>
      </c>
      <c r="CB22" s="97">
        <f t="shared" si="31"/>
        <v>136209.34656000001</v>
      </c>
      <c r="CC22" s="95"/>
      <c r="CD22" s="95"/>
      <c r="CE22" s="95">
        <f t="shared" si="32"/>
        <v>-4086.2803967999998</v>
      </c>
      <c r="CF22" s="95">
        <f t="shared" si="45"/>
        <v>-1362.0934656000002</v>
      </c>
      <c r="CG22" s="113"/>
      <c r="CH22" s="22"/>
      <c r="CI22" s="98">
        <f t="shared" si="33"/>
        <v>189222.02424115199</v>
      </c>
      <c r="CJ22" s="95">
        <f t="shared" si="34"/>
        <v>-5676.6607272345591</v>
      </c>
      <c r="CK22" s="95">
        <f t="shared" si="46"/>
        <v>-1892.2202424115198</v>
      </c>
      <c r="CL22" s="95">
        <v>0</v>
      </c>
      <c r="CM22" s="99"/>
      <c r="CN22" s="99">
        <v>0</v>
      </c>
      <c r="CO22" s="110"/>
      <c r="CP22" s="99"/>
      <c r="CQ22" s="99"/>
      <c r="CR22" s="99"/>
      <c r="CS22" s="95"/>
      <c r="CT22" s="95"/>
      <c r="CU22" s="96"/>
      <c r="CV22" s="96"/>
      <c r="CW22" s="96"/>
      <c r="CX22" s="96"/>
      <c r="CY22" s="96"/>
      <c r="CZ22" s="93">
        <f t="shared" si="35"/>
        <v>0</v>
      </c>
      <c r="DA22" s="93">
        <f t="shared" si="36"/>
        <v>0</v>
      </c>
      <c r="DB22" s="95">
        <f t="shared" si="37"/>
        <v>312414.11596910591</v>
      </c>
      <c r="DC22" s="100">
        <f t="shared" si="38"/>
        <v>312414</v>
      </c>
      <c r="DD22" s="100"/>
      <c r="DE22" s="100">
        <f t="shared" si="39"/>
        <v>-312414</v>
      </c>
      <c r="DF22" s="13"/>
      <c r="DG22" s="2"/>
      <c r="DH22" s="46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</row>
    <row r="23" spans="1:156" s="1" customFormat="1" ht="12" hidden="1" customHeight="1" x14ac:dyDescent="0.2">
      <c r="A23" s="88">
        <f t="shared" si="3"/>
        <v>509639</v>
      </c>
      <c r="B23" s="21">
        <v>9639</v>
      </c>
      <c r="C23" s="21" t="s">
        <v>98</v>
      </c>
      <c r="D23" s="84" t="s">
        <v>102</v>
      </c>
      <c r="E23" s="115" t="s">
        <v>202</v>
      </c>
      <c r="F23" s="85">
        <v>3</v>
      </c>
      <c r="G23" s="84"/>
      <c r="H23" s="85"/>
      <c r="I23" s="86"/>
      <c r="J23" s="85"/>
      <c r="K23" s="21" t="s">
        <v>10</v>
      </c>
      <c r="L23" s="21"/>
      <c r="M23" s="87"/>
      <c r="N23" s="88"/>
      <c r="O23" s="88">
        <v>10</v>
      </c>
      <c r="P23" s="89">
        <f t="shared" si="40"/>
        <v>5700.7259999999997</v>
      </c>
      <c r="Q23" s="90">
        <f t="shared" si="41"/>
        <v>19002.419999999998</v>
      </c>
      <c r="R23" s="90">
        <f t="shared" si="42"/>
        <v>26397.963600000003</v>
      </c>
      <c r="S23" s="91"/>
      <c r="T23" s="92">
        <v>0</v>
      </c>
      <c r="U23" s="32">
        <f t="shared" si="43"/>
        <v>0</v>
      </c>
      <c r="V23" s="32">
        <v>0</v>
      </c>
      <c r="W23" s="32">
        <v>0</v>
      </c>
      <c r="X23" s="93">
        <v>0</v>
      </c>
      <c r="Y23" s="32">
        <v>0</v>
      </c>
      <c r="Z23" s="32">
        <v>0</v>
      </c>
      <c r="AA23" s="32">
        <v>0</v>
      </c>
      <c r="AB23" s="32">
        <v>0</v>
      </c>
      <c r="AC23" s="32">
        <v>0</v>
      </c>
      <c r="AD23" s="93">
        <v>0</v>
      </c>
      <c r="AE23" s="32">
        <v>0</v>
      </c>
      <c r="AF23" s="32">
        <v>0</v>
      </c>
      <c r="AG23" s="32">
        <v>0</v>
      </c>
      <c r="AH23" s="93">
        <v>0</v>
      </c>
      <c r="AI23" s="93">
        <v>0</v>
      </c>
      <c r="AJ23" s="93">
        <v>0</v>
      </c>
      <c r="AK23" s="32"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2">
        <v>0</v>
      </c>
      <c r="AU23" s="94">
        <f t="shared" si="7"/>
        <v>0</v>
      </c>
      <c r="AV23" s="95">
        <f t="shared" si="8"/>
        <v>0</v>
      </c>
      <c r="AW23" s="95">
        <f t="shared" si="9"/>
        <v>0</v>
      </c>
      <c r="AX23" s="95">
        <f t="shared" si="10"/>
        <v>0</v>
      </c>
      <c r="AY23" s="95">
        <f t="shared" si="11"/>
        <v>0</v>
      </c>
      <c r="AZ23" s="95">
        <f t="shared" si="12"/>
        <v>0</v>
      </c>
      <c r="BA23" s="95">
        <f t="shared" si="13"/>
        <v>0</v>
      </c>
      <c r="BB23" s="95">
        <f t="shared" si="14"/>
        <v>0</v>
      </c>
      <c r="BC23" s="96">
        <f t="shared" si="15"/>
        <v>0</v>
      </c>
      <c r="BD23" s="96">
        <f t="shared" si="16"/>
        <v>0</v>
      </c>
      <c r="BE23" s="96">
        <f t="shared" si="17"/>
        <v>0</v>
      </c>
      <c r="BF23" s="96">
        <f t="shared" si="18"/>
        <v>0</v>
      </c>
      <c r="BG23" s="96">
        <f t="shared" si="19"/>
        <v>0</v>
      </c>
      <c r="BH23" s="96">
        <f t="shared" si="20"/>
        <v>0</v>
      </c>
      <c r="BI23" s="96">
        <f t="shared" si="21"/>
        <v>0</v>
      </c>
      <c r="BJ23" s="96">
        <f t="shared" si="22"/>
        <v>0</v>
      </c>
      <c r="BK23" s="96">
        <f t="shared" si="23"/>
        <v>0</v>
      </c>
      <c r="BL23" s="96">
        <f t="shared" si="24"/>
        <v>0</v>
      </c>
      <c r="BM23" s="96">
        <f t="shared" si="25"/>
        <v>0</v>
      </c>
      <c r="BN23" s="96"/>
      <c r="BO23" s="95"/>
      <c r="BP23" s="95">
        <f t="shared" si="26"/>
        <v>0</v>
      </c>
      <c r="BQ23" s="95"/>
      <c r="BR23" s="95"/>
      <c r="BS23" s="95">
        <f t="shared" si="27"/>
        <v>0</v>
      </c>
      <c r="BT23" s="95">
        <f t="shared" si="28"/>
        <v>0</v>
      </c>
      <c r="BU23" s="95">
        <f t="shared" si="29"/>
        <v>0</v>
      </c>
      <c r="BV23" s="95">
        <f t="shared" si="30"/>
        <v>0</v>
      </c>
      <c r="BW23" s="95"/>
      <c r="BX23" s="95"/>
      <c r="BY23" s="95"/>
      <c r="BZ23" s="95"/>
      <c r="CA23" s="95">
        <f t="shared" si="44"/>
        <v>0</v>
      </c>
      <c r="CB23" s="97">
        <f t="shared" si="31"/>
        <v>0</v>
      </c>
      <c r="CC23" s="95"/>
      <c r="CD23" s="95"/>
      <c r="CE23" s="95">
        <f t="shared" si="32"/>
        <v>0</v>
      </c>
      <c r="CF23" s="95">
        <f t="shared" si="45"/>
        <v>0</v>
      </c>
      <c r="CG23" s="113"/>
      <c r="CH23" s="22"/>
      <c r="CI23" s="98">
        <f t="shared" si="33"/>
        <v>0</v>
      </c>
      <c r="CJ23" s="95">
        <f t="shared" si="34"/>
        <v>0</v>
      </c>
      <c r="CK23" s="95">
        <f t="shared" si="46"/>
        <v>0</v>
      </c>
      <c r="CL23" s="95">
        <v>0</v>
      </c>
      <c r="CM23" s="99"/>
      <c r="CN23" s="99">
        <v>0</v>
      </c>
      <c r="CO23" s="110"/>
      <c r="CP23" s="99"/>
      <c r="CQ23" s="99"/>
      <c r="CR23" s="99"/>
      <c r="CS23" s="95"/>
      <c r="CT23" s="95"/>
      <c r="CU23" s="96"/>
      <c r="CV23" s="96"/>
      <c r="CW23" s="96"/>
      <c r="CX23" s="96"/>
      <c r="CY23" s="96"/>
      <c r="CZ23" s="93">
        <f t="shared" si="35"/>
        <v>0</v>
      </c>
      <c r="DA23" s="93">
        <f t="shared" si="36"/>
        <v>0</v>
      </c>
      <c r="DB23" s="95">
        <f t="shared" si="37"/>
        <v>0</v>
      </c>
      <c r="DC23" s="100">
        <f t="shared" si="38"/>
        <v>0</v>
      </c>
      <c r="DD23" s="100"/>
      <c r="DE23" s="100">
        <f t="shared" si="39"/>
        <v>0</v>
      </c>
      <c r="DF23" s="13"/>
      <c r="DG23" s="2"/>
      <c r="DH23" s="46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</row>
    <row r="24" spans="1:156" s="1" customFormat="1" ht="12" customHeight="1" x14ac:dyDescent="0.2">
      <c r="A24" s="88">
        <f t="shared" si="3"/>
        <v>509652</v>
      </c>
      <c r="B24" s="21">
        <v>9652</v>
      </c>
      <c r="C24" s="21" t="s">
        <v>98</v>
      </c>
      <c r="D24" s="84" t="s">
        <v>110</v>
      </c>
      <c r="E24" s="115" t="s">
        <v>202</v>
      </c>
      <c r="F24" s="85">
        <v>3</v>
      </c>
      <c r="G24" s="84"/>
      <c r="H24" s="85"/>
      <c r="I24" s="86"/>
      <c r="J24" s="85"/>
      <c r="K24" s="21" t="s">
        <v>10</v>
      </c>
      <c r="L24" s="21"/>
      <c r="M24" s="87"/>
      <c r="N24" s="88"/>
      <c r="O24" s="88">
        <v>7</v>
      </c>
      <c r="P24" s="89">
        <f t="shared" si="40"/>
        <v>5700.7259999999997</v>
      </c>
      <c r="Q24" s="90">
        <f t="shared" si="41"/>
        <v>19002.419999999998</v>
      </c>
      <c r="R24" s="90">
        <f t="shared" si="42"/>
        <v>26397.963600000003</v>
      </c>
      <c r="S24" s="91"/>
      <c r="T24" s="92">
        <v>6</v>
      </c>
      <c r="U24" s="32">
        <f t="shared" si="43"/>
        <v>6</v>
      </c>
      <c r="V24" s="32">
        <v>0</v>
      </c>
      <c r="W24" s="32">
        <v>1</v>
      </c>
      <c r="X24" s="93">
        <v>0</v>
      </c>
      <c r="Y24" s="32">
        <v>0</v>
      </c>
      <c r="Z24" s="32">
        <v>0</v>
      </c>
      <c r="AA24" s="32">
        <v>0</v>
      </c>
      <c r="AB24" s="32">
        <v>0</v>
      </c>
      <c r="AC24" s="32">
        <v>0</v>
      </c>
      <c r="AD24" s="93">
        <v>0</v>
      </c>
      <c r="AE24" s="32">
        <v>0</v>
      </c>
      <c r="AF24" s="32">
        <v>0</v>
      </c>
      <c r="AG24" s="32">
        <v>0</v>
      </c>
      <c r="AH24" s="93">
        <v>0</v>
      </c>
      <c r="AI24" s="93">
        <v>0</v>
      </c>
      <c r="AJ24" s="93">
        <v>0</v>
      </c>
      <c r="AK24" s="32">
        <v>0</v>
      </c>
      <c r="AL24" s="32">
        <v>0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2">
        <v>0</v>
      </c>
      <c r="AU24" s="94">
        <f t="shared" si="7"/>
        <v>7</v>
      </c>
      <c r="AV24" s="95">
        <f t="shared" si="8"/>
        <v>114014.51999999999</v>
      </c>
      <c r="AW24" s="95">
        <f t="shared" si="9"/>
        <v>0</v>
      </c>
      <c r="AX24" s="95">
        <f t="shared" si="10"/>
        <v>19002.419999999998</v>
      </c>
      <c r="AY24" s="95">
        <f t="shared" si="11"/>
        <v>0</v>
      </c>
      <c r="AZ24" s="95">
        <f t="shared" si="12"/>
        <v>0</v>
      </c>
      <c r="BA24" s="95">
        <f t="shared" si="13"/>
        <v>0</v>
      </c>
      <c r="BB24" s="95">
        <f t="shared" si="14"/>
        <v>0</v>
      </c>
      <c r="BC24" s="96">
        <f t="shared" si="15"/>
        <v>0</v>
      </c>
      <c r="BD24" s="96">
        <f t="shared" si="16"/>
        <v>0</v>
      </c>
      <c r="BE24" s="96">
        <f t="shared" si="17"/>
        <v>0</v>
      </c>
      <c r="BF24" s="96">
        <f t="shared" si="18"/>
        <v>0</v>
      </c>
      <c r="BG24" s="96">
        <f t="shared" si="19"/>
        <v>0</v>
      </c>
      <c r="BH24" s="96">
        <f t="shared" si="20"/>
        <v>0</v>
      </c>
      <c r="BI24" s="96">
        <f t="shared" si="21"/>
        <v>0</v>
      </c>
      <c r="BJ24" s="96">
        <f t="shared" si="22"/>
        <v>0</v>
      </c>
      <c r="BK24" s="96">
        <f t="shared" si="23"/>
        <v>0</v>
      </c>
      <c r="BL24" s="96">
        <f t="shared" si="24"/>
        <v>11173.422959999998</v>
      </c>
      <c r="BM24" s="96">
        <f t="shared" si="25"/>
        <v>0</v>
      </c>
      <c r="BN24" s="96"/>
      <c r="BO24" s="95"/>
      <c r="BP24" s="95">
        <f t="shared" si="26"/>
        <v>0</v>
      </c>
      <c r="BQ24" s="95"/>
      <c r="BR24" s="95"/>
      <c r="BS24" s="95">
        <f t="shared" si="27"/>
        <v>0</v>
      </c>
      <c r="BT24" s="95">
        <f t="shared" si="28"/>
        <v>0</v>
      </c>
      <c r="BU24" s="95">
        <f t="shared" si="29"/>
        <v>0</v>
      </c>
      <c r="BV24" s="95">
        <f t="shared" si="30"/>
        <v>0</v>
      </c>
      <c r="BW24" s="95"/>
      <c r="BX24" s="95"/>
      <c r="BY24" s="95"/>
      <c r="BZ24" s="95"/>
      <c r="CA24" s="95">
        <f t="shared" si="44"/>
        <v>0</v>
      </c>
      <c r="CB24" s="97">
        <f t="shared" si="31"/>
        <v>144190.36296</v>
      </c>
      <c r="CC24" s="95"/>
      <c r="CD24" s="95"/>
      <c r="CE24" s="95">
        <f t="shared" si="32"/>
        <v>-4325.7108888000002</v>
      </c>
      <c r="CF24" s="95">
        <f t="shared" si="45"/>
        <v>-2162.8554444000001</v>
      </c>
      <c r="CG24" s="113"/>
      <c r="CH24" s="22"/>
      <c r="CI24" s="98">
        <f t="shared" si="33"/>
        <v>200309.25222403195</v>
      </c>
      <c r="CJ24" s="95">
        <f t="shared" si="34"/>
        <v>-6009.277566720958</v>
      </c>
      <c r="CK24" s="95">
        <f t="shared" si="46"/>
        <v>-3004.638783360479</v>
      </c>
      <c r="CL24" s="95">
        <v>0</v>
      </c>
      <c r="CM24" s="99"/>
      <c r="CN24" s="99">
        <v>0</v>
      </c>
      <c r="CO24" s="110"/>
      <c r="CP24" s="99"/>
      <c r="CQ24" s="99"/>
      <c r="CR24" s="99"/>
      <c r="CS24" s="95"/>
      <c r="CT24" s="95"/>
      <c r="CU24" s="96"/>
      <c r="CV24" s="96"/>
      <c r="CW24" s="96"/>
      <c r="CX24" s="96"/>
      <c r="CY24" s="96"/>
      <c r="CZ24" s="93">
        <f t="shared" si="35"/>
        <v>0</v>
      </c>
      <c r="DA24" s="93">
        <f t="shared" si="36"/>
        <v>0</v>
      </c>
      <c r="DB24" s="95">
        <f t="shared" si="37"/>
        <v>328997.13250075048</v>
      </c>
      <c r="DC24" s="100">
        <f t="shared" si="38"/>
        <v>328997</v>
      </c>
      <c r="DD24" s="100"/>
      <c r="DE24" s="100">
        <f t="shared" si="39"/>
        <v>-328997</v>
      </c>
      <c r="DF24" s="13"/>
      <c r="DG24" s="2"/>
      <c r="DH24" s="46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</row>
    <row r="25" spans="1:156" s="1" customFormat="1" ht="12" customHeight="1" x14ac:dyDescent="0.2">
      <c r="A25" s="88">
        <f t="shared" si="3"/>
        <v>509833</v>
      </c>
      <c r="B25" s="21">
        <v>9833</v>
      </c>
      <c r="C25" s="21" t="s">
        <v>98</v>
      </c>
      <c r="D25" s="84" t="s">
        <v>182</v>
      </c>
      <c r="E25" s="114" t="s">
        <v>201</v>
      </c>
      <c r="F25" s="85">
        <v>0</v>
      </c>
      <c r="G25" s="84"/>
      <c r="H25" s="85"/>
      <c r="I25" s="86"/>
      <c r="J25" s="85"/>
      <c r="K25" s="21" t="s">
        <v>8</v>
      </c>
      <c r="L25" s="21"/>
      <c r="M25" s="87"/>
      <c r="N25" s="88"/>
      <c r="O25" s="88">
        <v>0</v>
      </c>
      <c r="P25" s="89">
        <f t="shared" si="40"/>
        <v>5401.2359999999999</v>
      </c>
      <c r="Q25" s="90">
        <f t="shared" si="41"/>
        <v>18004.12</v>
      </c>
      <c r="R25" s="90">
        <f t="shared" si="42"/>
        <v>25011.1211</v>
      </c>
      <c r="S25" s="91"/>
      <c r="T25" s="92">
        <v>11</v>
      </c>
      <c r="U25" s="32">
        <f t="shared" si="43"/>
        <v>11</v>
      </c>
      <c r="V25" s="32">
        <v>0</v>
      </c>
      <c r="W25" s="32">
        <v>1</v>
      </c>
      <c r="X25" s="93">
        <v>0</v>
      </c>
      <c r="Y25" s="32">
        <v>0</v>
      </c>
      <c r="Z25" s="32">
        <v>0</v>
      </c>
      <c r="AA25" s="32">
        <v>0</v>
      </c>
      <c r="AB25" s="32">
        <v>0</v>
      </c>
      <c r="AC25" s="32">
        <v>0</v>
      </c>
      <c r="AD25" s="93">
        <v>0</v>
      </c>
      <c r="AE25" s="32">
        <v>0</v>
      </c>
      <c r="AF25" s="32">
        <v>0</v>
      </c>
      <c r="AG25" s="32">
        <v>0</v>
      </c>
      <c r="AH25" s="93">
        <v>0</v>
      </c>
      <c r="AI25" s="93">
        <v>0</v>
      </c>
      <c r="AJ25" s="93">
        <v>0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2">
        <v>0</v>
      </c>
      <c r="AU25" s="94">
        <f t="shared" si="7"/>
        <v>12</v>
      </c>
      <c r="AV25" s="95">
        <f t="shared" si="8"/>
        <v>198045.31999999998</v>
      </c>
      <c r="AW25" s="95">
        <f t="shared" si="9"/>
        <v>0</v>
      </c>
      <c r="AX25" s="95">
        <f t="shared" si="10"/>
        <v>18004.12</v>
      </c>
      <c r="AY25" s="95">
        <f t="shared" si="11"/>
        <v>0</v>
      </c>
      <c r="AZ25" s="95">
        <f t="shared" si="12"/>
        <v>0</v>
      </c>
      <c r="BA25" s="95">
        <f t="shared" si="13"/>
        <v>0</v>
      </c>
      <c r="BB25" s="95">
        <f t="shared" si="14"/>
        <v>0</v>
      </c>
      <c r="BC25" s="96">
        <f t="shared" si="15"/>
        <v>0</v>
      </c>
      <c r="BD25" s="96">
        <f t="shared" si="16"/>
        <v>0</v>
      </c>
      <c r="BE25" s="96">
        <f t="shared" si="17"/>
        <v>0</v>
      </c>
      <c r="BF25" s="96">
        <f t="shared" si="18"/>
        <v>0</v>
      </c>
      <c r="BG25" s="96">
        <f t="shared" si="19"/>
        <v>0</v>
      </c>
      <c r="BH25" s="96">
        <f t="shared" si="20"/>
        <v>0</v>
      </c>
      <c r="BI25" s="96">
        <f t="shared" si="21"/>
        <v>0</v>
      </c>
      <c r="BJ25" s="96">
        <f t="shared" si="22"/>
        <v>0</v>
      </c>
      <c r="BK25" s="96">
        <f t="shared" si="23"/>
        <v>0</v>
      </c>
      <c r="BL25" s="96">
        <f t="shared" si="24"/>
        <v>0</v>
      </c>
      <c r="BM25" s="96">
        <f t="shared" si="25"/>
        <v>0</v>
      </c>
      <c r="BN25" s="96"/>
      <c r="BO25" s="95"/>
      <c r="BP25" s="95">
        <f t="shared" si="26"/>
        <v>0</v>
      </c>
      <c r="BQ25" s="95"/>
      <c r="BR25" s="95"/>
      <c r="BS25" s="95">
        <f t="shared" si="27"/>
        <v>0</v>
      </c>
      <c r="BT25" s="95">
        <f t="shared" si="28"/>
        <v>0</v>
      </c>
      <c r="BU25" s="95">
        <f t="shared" si="29"/>
        <v>0</v>
      </c>
      <c r="BV25" s="95">
        <f t="shared" si="30"/>
        <v>0</v>
      </c>
      <c r="BW25" s="95"/>
      <c r="BX25" s="95"/>
      <c r="BY25" s="95"/>
      <c r="BZ25" s="95"/>
      <c r="CA25" s="95">
        <f t="shared" si="44"/>
        <v>0</v>
      </c>
      <c r="CB25" s="97">
        <f t="shared" si="31"/>
        <v>216049.43999999997</v>
      </c>
      <c r="CC25" s="95"/>
      <c r="CD25" s="95"/>
      <c r="CE25" s="95">
        <f t="shared" si="32"/>
        <v>-6481.4831999999988</v>
      </c>
      <c r="CF25" s="95">
        <f t="shared" si="45"/>
        <v>-2160.4943999999996</v>
      </c>
      <c r="CG25" s="113"/>
      <c r="CH25" s="22"/>
      <c r="CI25" s="98">
        <f t="shared" si="33"/>
        <v>300135.88204799994</v>
      </c>
      <c r="CJ25" s="95">
        <f t="shared" si="34"/>
        <v>-9004.0764614399977</v>
      </c>
      <c r="CK25" s="95">
        <f t="shared" si="46"/>
        <v>-3001.3588204799994</v>
      </c>
      <c r="CL25" s="95">
        <v>0</v>
      </c>
      <c r="CM25" s="99"/>
      <c r="CN25" s="99">
        <v>0</v>
      </c>
      <c r="CO25" s="110"/>
      <c r="CP25" s="99"/>
      <c r="CQ25" s="99"/>
      <c r="CR25" s="99"/>
      <c r="CS25" s="95"/>
      <c r="CT25" s="95"/>
      <c r="CU25" s="96"/>
      <c r="CV25" s="96"/>
      <c r="CW25" s="96"/>
      <c r="CX25" s="96"/>
      <c r="CY25" s="96"/>
      <c r="CZ25" s="93">
        <f t="shared" si="35"/>
        <v>0</v>
      </c>
      <c r="DA25" s="93">
        <f t="shared" si="36"/>
        <v>0</v>
      </c>
      <c r="DB25" s="95">
        <f t="shared" si="37"/>
        <v>495537.90916607995</v>
      </c>
      <c r="DC25" s="100">
        <f t="shared" si="38"/>
        <v>495538</v>
      </c>
      <c r="DD25" s="100"/>
      <c r="DE25" s="100">
        <f t="shared" si="39"/>
        <v>-495538</v>
      </c>
      <c r="DF25" s="13"/>
      <c r="DG25" s="2"/>
      <c r="DH25" s="46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</row>
    <row r="26" spans="1:156" s="1" customFormat="1" ht="12" customHeight="1" x14ac:dyDescent="0.2">
      <c r="A26" s="88">
        <f t="shared" si="3"/>
        <v>509812</v>
      </c>
      <c r="B26" s="21">
        <v>9812</v>
      </c>
      <c r="C26" s="21" t="s">
        <v>98</v>
      </c>
      <c r="D26" s="84" t="s">
        <v>175</v>
      </c>
      <c r="E26" s="114" t="s">
        <v>201</v>
      </c>
      <c r="F26" s="85">
        <v>0</v>
      </c>
      <c r="G26" s="84"/>
      <c r="H26" s="85"/>
      <c r="I26" s="86"/>
      <c r="J26" s="85"/>
      <c r="K26" s="21" t="s">
        <v>8</v>
      </c>
      <c r="L26" s="21"/>
      <c r="M26" s="87"/>
      <c r="N26" s="88"/>
      <c r="O26" s="88">
        <v>0</v>
      </c>
      <c r="P26" s="89">
        <f t="shared" si="40"/>
        <v>5401.2359999999999</v>
      </c>
      <c r="Q26" s="90">
        <f t="shared" si="41"/>
        <v>18004.12</v>
      </c>
      <c r="R26" s="90">
        <f t="shared" si="42"/>
        <v>25011.1211</v>
      </c>
      <c r="S26" s="91"/>
      <c r="T26" s="92">
        <v>7</v>
      </c>
      <c r="U26" s="32">
        <f t="shared" si="43"/>
        <v>7</v>
      </c>
      <c r="V26" s="32">
        <v>0</v>
      </c>
      <c r="W26" s="32">
        <v>0</v>
      </c>
      <c r="X26" s="93">
        <v>0</v>
      </c>
      <c r="Y26" s="32">
        <v>0</v>
      </c>
      <c r="Z26" s="32">
        <v>0</v>
      </c>
      <c r="AA26" s="32">
        <v>0</v>
      </c>
      <c r="AB26" s="32">
        <v>0</v>
      </c>
      <c r="AC26" s="32">
        <v>0</v>
      </c>
      <c r="AD26" s="93">
        <v>0</v>
      </c>
      <c r="AE26" s="32">
        <v>0</v>
      </c>
      <c r="AF26" s="32">
        <v>0</v>
      </c>
      <c r="AG26" s="32">
        <v>0</v>
      </c>
      <c r="AH26" s="93">
        <v>0</v>
      </c>
      <c r="AI26" s="93">
        <v>0</v>
      </c>
      <c r="AJ26" s="93">
        <v>0</v>
      </c>
      <c r="AK26" s="32">
        <v>0</v>
      </c>
      <c r="AL26" s="32">
        <v>0</v>
      </c>
      <c r="AM26" s="32">
        <v>0</v>
      </c>
      <c r="AN26" s="32">
        <v>0</v>
      </c>
      <c r="AO26" s="32">
        <v>0</v>
      </c>
      <c r="AP26" s="32">
        <v>0</v>
      </c>
      <c r="AQ26" s="32">
        <v>0</v>
      </c>
      <c r="AR26" s="32">
        <v>0</v>
      </c>
      <c r="AS26" s="32">
        <v>0</v>
      </c>
      <c r="AT26" s="32">
        <v>0</v>
      </c>
      <c r="AU26" s="94">
        <f t="shared" si="7"/>
        <v>7</v>
      </c>
      <c r="AV26" s="95">
        <f t="shared" si="8"/>
        <v>126028.84</v>
      </c>
      <c r="AW26" s="95">
        <f t="shared" si="9"/>
        <v>0</v>
      </c>
      <c r="AX26" s="95">
        <f t="shared" si="10"/>
        <v>0</v>
      </c>
      <c r="AY26" s="95">
        <f t="shared" si="11"/>
        <v>0</v>
      </c>
      <c r="AZ26" s="95">
        <f t="shared" si="12"/>
        <v>0</v>
      </c>
      <c r="BA26" s="95">
        <f t="shared" si="13"/>
        <v>0</v>
      </c>
      <c r="BB26" s="95">
        <f t="shared" si="14"/>
        <v>0</v>
      </c>
      <c r="BC26" s="96">
        <f t="shared" si="15"/>
        <v>0</v>
      </c>
      <c r="BD26" s="96">
        <f t="shared" si="16"/>
        <v>0</v>
      </c>
      <c r="BE26" s="96">
        <f t="shared" si="17"/>
        <v>0</v>
      </c>
      <c r="BF26" s="96">
        <f t="shared" si="18"/>
        <v>0</v>
      </c>
      <c r="BG26" s="96">
        <f t="shared" si="19"/>
        <v>0</v>
      </c>
      <c r="BH26" s="96">
        <f t="shared" si="20"/>
        <v>0</v>
      </c>
      <c r="BI26" s="96">
        <f t="shared" si="21"/>
        <v>0</v>
      </c>
      <c r="BJ26" s="96">
        <f t="shared" si="22"/>
        <v>0</v>
      </c>
      <c r="BK26" s="96">
        <f t="shared" si="23"/>
        <v>0</v>
      </c>
      <c r="BL26" s="96">
        <f t="shared" si="24"/>
        <v>0</v>
      </c>
      <c r="BM26" s="96">
        <f t="shared" si="25"/>
        <v>0</v>
      </c>
      <c r="BN26" s="96"/>
      <c r="BO26" s="95"/>
      <c r="BP26" s="95">
        <f t="shared" si="26"/>
        <v>0</v>
      </c>
      <c r="BQ26" s="95"/>
      <c r="BR26" s="95"/>
      <c r="BS26" s="95">
        <f t="shared" si="27"/>
        <v>0</v>
      </c>
      <c r="BT26" s="95">
        <f t="shared" si="28"/>
        <v>0</v>
      </c>
      <c r="BU26" s="95">
        <f t="shared" si="29"/>
        <v>0</v>
      </c>
      <c r="BV26" s="95">
        <f t="shared" si="30"/>
        <v>0</v>
      </c>
      <c r="BW26" s="95"/>
      <c r="BX26" s="95"/>
      <c r="BY26" s="95"/>
      <c r="BZ26" s="95"/>
      <c r="CA26" s="95">
        <f t="shared" si="44"/>
        <v>0</v>
      </c>
      <c r="CB26" s="97">
        <f t="shared" si="31"/>
        <v>126028.84</v>
      </c>
      <c r="CC26" s="95"/>
      <c r="CD26" s="95"/>
      <c r="CE26" s="95">
        <f t="shared" si="32"/>
        <v>-3780.8651999999997</v>
      </c>
      <c r="CF26" s="95">
        <f t="shared" si="45"/>
        <v>-1260.2883999999999</v>
      </c>
      <c r="CG26" s="113"/>
      <c r="CH26" s="22"/>
      <c r="CI26" s="98">
        <f t="shared" si="33"/>
        <v>175079.26452799997</v>
      </c>
      <c r="CJ26" s="95">
        <f t="shared" si="34"/>
        <v>-5252.3779358399988</v>
      </c>
      <c r="CK26" s="95">
        <f t="shared" si="46"/>
        <v>-1750.7926452799998</v>
      </c>
      <c r="CL26" s="95">
        <v>0</v>
      </c>
      <c r="CM26" s="99"/>
      <c r="CN26" s="99">
        <v>0</v>
      </c>
      <c r="CO26" s="110"/>
      <c r="CP26" s="99"/>
      <c r="CQ26" s="99"/>
      <c r="CR26" s="99"/>
      <c r="CS26" s="95"/>
      <c r="CT26" s="95"/>
      <c r="CU26" s="96"/>
      <c r="CV26" s="96"/>
      <c r="CW26" s="96"/>
      <c r="CX26" s="96"/>
      <c r="CY26" s="96"/>
      <c r="CZ26" s="93">
        <f t="shared" si="35"/>
        <v>0</v>
      </c>
      <c r="DA26" s="93">
        <f t="shared" si="36"/>
        <v>0</v>
      </c>
      <c r="DB26" s="95">
        <f t="shared" si="37"/>
        <v>289063.78034687997</v>
      </c>
      <c r="DC26" s="100">
        <f t="shared" si="38"/>
        <v>289064</v>
      </c>
      <c r="DD26" s="100"/>
      <c r="DE26" s="100">
        <f t="shared" si="39"/>
        <v>-289064</v>
      </c>
      <c r="DF26" s="13"/>
      <c r="DG26" s="2"/>
      <c r="DH26" s="46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</row>
    <row r="27" spans="1:156" s="1" customFormat="1" ht="12" customHeight="1" x14ac:dyDescent="0.2">
      <c r="A27" s="88">
        <f t="shared" si="3"/>
        <v>509832</v>
      </c>
      <c r="B27" s="21">
        <v>9832</v>
      </c>
      <c r="C27" s="21" t="s">
        <v>98</v>
      </c>
      <c r="D27" s="81" t="s">
        <v>181</v>
      </c>
      <c r="E27" s="114" t="s">
        <v>201</v>
      </c>
      <c r="F27" s="85">
        <v>0</v>
      </c>
      <c r="G27" s="84"/>
      <c r="H27" s="85"/>
      <c r="I27" s="86"/>
      <c r="J27" s="85"/>
      <c r="K27" s="21" t="s">
        <v>8</v>
      </c>
      <c r="L27" s="21"/>
      <c r="M27" s="87"/>
      <c r="N27" s="88"/>
      <c r="O27" s="88">
        <v>0</v>
      </c>
      <c r="P27" s="89">
        <f t="shared" si="40"/>
        <v>5401.2359999999999</v>
      </c>
      <c r="Q27" s="90">
        <f t="shared" si="41"/>
        <v>18004.12</v>
      </c>
      <c r="R27" s="90">
        <f t="shared" si="42"/>
        <v>25011.1211</v>
      </c>
      <c r="S27" s="91"/>
      <c r="T27" s="92">
        <v>11</v>
      </c>
      <c r="U27" s="32">
        <f t="shared" si="43"/>
        <v>11</v>
      </c>
      <c r="V27" s="32">
        <v>0</v>
      </c>
      <c r="W27" s="32">
        <v>1</v>
      </c>
      <c r="X27" s="93">
        <v>0</v>
      </c>
      <c r="Y27" s="32">
        <v>0</v>
      </c>
      <c r="Z27" s="32">
        <v>0</v>
      </c>
      <c r="AA27" s="32">
        <v>0</v>
      </c>
      <c r="AB27" s="32">
        <v>0</v>
      </c>
      <c r="AC27" s="32">
        <v>0</v>
      </c>
      <c r="AD27" s="93">
        <v>0</v>
      </c>
      <c r="AE27" s="32">
        <v>0</v>
      </c>
      <c r="AF27" s="32">
        <v>0</v>
      </c>
      <c r="AG27" s="32">
        <v>0</v>
      </c>
      <c r="AH27" s="93">
        <v>0</v>
      </c>
      <c r="AI27" s="93">
        <v>0</v>
      </c>
      <c r="AJ27" s="93">
        <v>0</v>
      </c>
      <c r="AK27" s="32">
        <v>0</v>
      </c>
      <c r="AL27" s="32">
        <v>0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2">
        <v>0</v>
      </c>
      <c r="AS27" s="32">
        <v>0</v>
      </c>
      <c r="AT27" s="32">
        <v>0</v>
      </c>
      <c r="AU27" s="94">
        <f t="shared" si="7"/>
        <v>12</v>
      </c>
      <c r="AV27" s="95">
        <f t="shared" si="8"/>
        <v>198045.31999999998</v>
      </c>
      <c r="AW27" s="95">
        <f t="shared" si="9"/>
        <v>0</v>
      </c>
      <c r="AX27" s="95">
        <f t="shared" si="10"/>
        <v>18004.12</v>
      </c>
      <c r="AY27" s="95">
        <f t="shared" si="11"/>
        <v>0</v>
      </c>
      <c r="AZ27" s="95">
        <f t="shared" si="12"/>
        <v>0</v>
      </c>
      <c r="BA27" s="95">
        <f t="shared" si="13"/>
        <v>0</v>
      </c>
      <c r="BB27" s="95">
        <f t="shared" si="14"/>
        <v>0</v>
      </c>
      <c r="BC27" s="96">
        <f t="shared" si="15"/>
        <v>0</v>
      </c>
      <c r="BD27" s="96">
        <f t="shared" si="16"/>
        <v>0</v>
      </c>
      <c r="BE27" s="96">
        <f t="shared" si="17"/>
        <v>0</v>
      </c>
      <c r="BF27" s="96">
        <f t="shared" si="18"/>
        <v>0</v>
      </c>
      <c r="BG27" s="96">
        <f t="shared" si="19"/>
        <v>0</v>
      </c>
      <c r="BH27" s="96">
        <f t="shared" si="20"/>
        <v>0</v>
      </c>
      <c r="BI27" s="96">
        <f t="shared" si="21"/>
        <v>0</v>
      </c>
      <c r="BJ27" s="96">
        <f t="shared" si="22"/>
        <v>0</v>
      </c>
      <c r="BK27" s="96">
        <f t="shared" si="23"/>
        <v>0</v>
      </c>
      <c r="BL27" s="96">
        <f t="shared" si="24"/>
        <v>0</v>
      </c>
      <c r="BM27" s="96">
        <f t="shared" si="25"/>
        <v>0</v>
      </c>
      <c r="BN27" s="96"/>
      <c r="BO27" s="95"/>
      <c r="BP27" s="95">
        <f t="shared" si="26"/>
        <v>0</v>
      </c>
      <c r="BQ27" s="95"/>
      <c r="BR27" s="95"/>
      <c r="BS27" s="95">
        <f t="shared" si="27"/>
        <v>0</v>
      </c>
      <c r="BT27" s="95">
        <f t="shared" si="28"/>
        <v>0</v>
      </c>
      <c r="BU27" s="95">
        <f t="shared" si="29"/>
        <v>0</v>
      </c>
      <c r="BV27" s="95">
        <f t="shared" si="30"/>
        <v>0</v>
      </c>
      <c r="BW27" s="95"/>
      <c r="BX27" s="95"/>
      <c r="BY27" s="95"/>
      <c r="BZ27" s="95"/>
      <c r="CA27" s="95">
        <f t="shared" si="44"/>
        <v>0</v>
      </c>
      <c r="CB27" s="97">
        <f t="shared" si="31"/>
        <v>216049.43999999997</v>
      </c>
      <c r="CC27" s="95"/>
      <c r="CD27" s="95"/>
      <c r="CE27" s="95">
        <f t="shared" si="32"/>
        <v>-6481.4831999999988</v>
      </c>
      <c r="CF27" s="95">
        <f t="shared" si="45"/>
        <v>-2160.4943999999996</v>
      </c>
      <c r="CG27" s="113"/>
      <c r="CH27" s="22"/>
      <c r="CI27" s="98">
        <f t="shared" si="33"/>
        <v>300135.88204799994</v>
      </c>
      <c r="CJ27" s="95">
        <f t="shared" si="34"/>
        <v>-9004.0764614399977</v>
      </c>
      <c r="CK27" s="95">
        <f t="shared" si="46"/>
        <v>-3001.3588204799994</v>
      </c>
      <c r="CL27" s="95">
        <v>0</v>
      </c>
      <c r="CM27" s="99"/>
      <c r="CN27" s="99">
        <v>0</v>
      </c>
      <c r="CO27" s="110"/>
      <c r="CP27" s="99"/>
      <c r="CQ27" s="99"/>
      <c r="CR27" s="99"/>
      <c r="CS27" s="95"/>
      <c r="CT27" s="95"/>
      <c r="CU27" s="96"/>
      <c r="CV27" s="96"/>
      <c r="CW27" s="96"/>
      <c r="CX27" s="96"/>
      <c r="CY27" s="96"/>
      <c r="CZ27" s="93">
        <f t="shared" si="35"/>
        <v>0</v>
      </c>
      <c r="DA27" s="93">
        <f t="shared" si="36"/>
        <v>0</v>
      </c>
      <c r="DB27" s="95">
        <f t="shared" si="37"/>
        <v>495537.90916607995</v>
      </c>
      <c r="DC27" s="100">
        <f t="shared" si="38"/>
        <v>495538</v>
      </c>
      <c r="DD27" s="100"/>
      <c r="DE27" s="100">
        <f t="shared" si="39"/>
        <v>-495538</v>
      </c>
      <c r="DF27" s="13"/>
      <c r="DG27" s="2"/>
      <c r="DH27" s="46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</row>
    <row r="28" spans="1:156" s="1" customFormat="1" ht="12" hidden="1" customHeight="1" x14ac:dyDescent="0.2">
      <c r="A28" s="88">
        <f t="shared" si="3"/>
        <v>509653</v>
      </c>
      <c r="B28" s="21">
        <v>9653</v>
      </c>
      <c r="C28" s="21" t="s">
        <v>98</v>
      </c>
      <c r="D28" s="81" t="s">
        <v>111</v>
      </c>
      <c r="E28" s="115" t="s">
        <v>202</v>
      </c>
      <c r="F28" s="85">
        <v>3</v>
      </c>
      <c r="G28" s="84"/>
      <c r="H28" s="85"/>
      <c r="I28" s="86"/>
      <c r="J28" s="85"/>
      <c r="K28" s="21" t="s">
        <v>10</v>
      </c>
      <c r="L28" s="21"/>
      <c r="M28" s="87"/>
      <c r="N28" s="88"/>
      <c r="O28" s="88">
        <v>7</v>
      </c>
      <c r="P28" s="89">
        <f t="shared" si="40"/>
        <v>5700.7259999999997</v>
      </c>
      <c r="Q28" s="90">
        <f t="shared" si="41"/>
        <v>19002.419999999998</v>
      </c>
      <c r="R28" s="90">
        <f t="shared" si="42"/>
        <v>26397.963600000003</v>
      </c>
      <c r="S28" s="91"/>
      <c r="T28" s="92">
        <v>0</v>
      </c>
      <c r="U28" s="32">
        <f t="shared" si="43"/>
        <v>0</v>
      </c>
      <c r="V28" s="32">
        <v>0</v>
      </c>
      <c r="W28" s="32">
        <v>0</v>
      </c>
      <c r="X28" s="93">
        <v>0</v>
      </c>
      <c r="Y28" s="32">
        <v>0</v>
      </c>
      <c r="Z28" s="32">
        <v>0</v>
      </c>
      <c r="AA28" s="32">
        <v>0</v>
      </c>
      <c r="AB28" s="32">
        <v>0</v>
      </c>
      <c r="AC28" s="32">
        <v>0</v>
      </c>
      <c r="AD28" s="93">
        <v>0</v>
      </c>
      <c r="AE28" s="32">
        <v>0</v>
      </c>
      <c r="AF28" s="32">
        <v>0</v>
      </c>
      <c r="AG28" s="32">
        <v>0</v>
      </c>
      <c r="AH28" s="93">
        <v>0</v>
      </c>
      <c r="AI28" s="93">
        <v>0</v>
      </c>
      <c r="AJ28" s="93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2">
        <v>0</v>
      </c>
      <c r="AU28" s="94">
        <f t="shared" si="7"/>
        <v>0</v>
      </c>
      <c r="AV28" s="95">
        <f t="shared" si="8"/>
        <v>0</v>
      </c>
      <c r="AW28" s="95">
        <f t="shared" si="9"/>
        <v>0</v>
      </c>
      <c r="AX28" s="95">
        <f t="shared" si="10"/>
        <v>0</v>
      </c>
      <c r="AY28" s="95">
        <f t="shared" si="11"/>
        <v>0</v>
      </c>
      <c r="AZ28" s="95">
        <f t="shared" si="12"/>
        <v>0</v>
      </c>
      <c r="BA28" s="95">
        <f t="shared" si="13"/>
        <v>0</v>
      </c>
      <c r="BB28" s="95">
        <f t="shared" si="14"/>
        <v>0</v>
      </c>
      <c r="BC28" s="96">
        <f t="shared" si="15"/>
        <v>0</v>
      </c>
      <c r="BD28" s="96">
        <f t="shared" si="16"/>
        <v>0</v>
      </c>
      <c r="BE28" s="96">
        <f t="shared" si="17"/>
        <v>0</v>
      </c>
      <c r="BF28" s="96">
        <f t="shared" si="18"/>
        <v>0</v>
      </c>
      <c r="BG28" s="96">
        <f t="shared" si="19"/>
        <v>0</v>
      </c>
      <c r="BH28" s="96">
        <f t="shared" si="20"/>
        <v>0</v>
      </c>
      <c r="BI28" s="96">
        <f t="shared" si="21"/>
        <v>0</v>
      </c>
      <c r="BJ28" s="96">
        <f t="shared" si="22"/>
        <v>0</v>
      </c>
      <c r="BK28" s="96">
        <f t="shared" si="23"/>
        <v>0</v>
      </c>
      <c r="BL28" s="96">
        <f t="shared" si="24"/>
        <v>0</v>
      </c>
      <c r="BM28" s="96">
        <f t="shared" si="25"/>
        <v>0</v>
      </c>
      <c r="BN28" s="96"/>
      <c r="BO28" s="95"/>
      <c r="BP28" s="95">
        <f t="shared" si="26"/>
        <v>0</v>
      </c>
      <c r="BQ28" s="95"/>
      <c r="BR28" s="95"/>
      <c r="BS28" s="95">
        <f t="shared" si="27"/>
        <v>0</v>
      </c>
      <c r="BT28" s="95">
        <f t="shared" si="28"/>
        <v>0</v>
      </c>
      <c r="BU28" s="95">
        <f t="shared" si="29"/>
        <v>0</v>
      </c>
      <c r="BV28" s="95">
        <f t="shared" si="30"/>
        <v>0</v>
      </c>
      <c r="BW28" s="95"/>
      <c r="BX28" s="95"/>
      <c r="BY28" s="95"/>
      <c r="BZ28" s="95"/>
      <c r="CA28" s="95">
        <f t="shared" si="44"/>
        <v>0</v>
      </c>
      <c r="CB28" s="97">
        <f t="shared" si="31"/>
        <v>0</v>
      </c>
      <c r="CC28" s="95"/>
      <c r="CD28" s="95"/>
      <c r="CE28" s="95">
        <f t="shared" si="32"/>
        <v>0</v>
      </c>
      <c r="CF28" s="95">
        <f t="shared" si="45"/>
        <v>0</v>
      </c>
      <c r="CG28" s="113"/>
      <c r="CH28" s="22"/>
      <c r="CI28" s="98">
        <f t="shared" si="33"/>
        <v>0</v>
      </c>
      <c r="CJ28" s="95">
        <f t="shared" si="34"/>
        <v>0</v>
      </c>
      <c r="CK28" s="95">
        <f t="shared" si="46"/>
        <v>0</v>
      </c>
      <c r="CL28" s="95">
        <v>0</v>
      </c>
      <c r="CM28" s="99"/>
      <c r="CN28" s="99">
        <v>0</v>
      </c>
      <c r="CO28" s="110"/>
      <c r="CP28" s="99"/>
      <c r="CQ28" s="99"/>
      <c r="CR28" s="99"/>
      <c r="CS28" s="95"/>
      <c r="CT28" s="95"/>
      <c r="CU28" s="96"/>
      <c r="CV28" s="96"/>
      <c r="CW28" s="96"/>
      <c r="CX28" s="96"/>
      <c r="CY28" s="96"/>
      <c r="CZ28" s="93">
        <f t="shared" si="35"/>
        <v>0</v>
      </c>
      <c r="DA28" s="93">
        <f t="shared" si="36"/>
        <v>0</v>
      </c>
      <c r="DB28" s="95">
        <f t="shared" si="37"/>
        <v>0</v>
      </c>
      <c r="DC28" s="100">
        <f t="shared" si="38"/>
        <v>0</v>
      </c>
      <c r="DD28" s="100"/>
      <c r="DE28" s="100">
        <f t="shared" si="39"/>
        <v>0</v>
      </c>
      <c r="DF28" s="13"/>
      <c r="DG28" s="2"/>
      <c r="DH28" s="46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</row>
    <row r="29" spans="1:156" s="1" customFormat="1" ht="12" hidden="1" customHeight="1" x14ac:dyDescent="0.2">
      <c r="A29" s="88">
        <f t="shared" si="3"/>
        <v>509643</v>
      </c>
      <c r="B29" s="21">
        <v>9643</v>
      </c>
      <c r="C29" s="21" t="s">
        <v>98</v>
      </c>
      <c r="D29" s="81" t="s">
        <v>104</v>
      </c>
      <c r="E29" s="115" t="s">
        <v>202</v>
      </c>
      <c r="F29" s="85">
        <v>3</v>
      </c>
      <c r="G29" s="84"/>
      <c r="H29" s="85"/>
      <c r="I29" s="86">
        <v>0.2</v>
      </c>
      <c r="J29" s="85"/>
      <c r="K29" s="21" t="s">
        <v>10</v>
      </c>
      <c r="L29" s="21"/>
      <c r="M29" s="87"/>
      <c r="N29" s="88"/>
      <c r="O29" s="88">
        <v>9</v>
      </c>
      <c r="P29" s="89">
        <f t="shared" si="40"/>
        <v>5700.7259999999997</v>
      </c>
      <c r="Q29" s="90">
        <f t="shared" si="41"/>
        <v>19002.419999999998</v>
      </c>
      <c r="R29" s="90">
        <f t="shared" si="42"/>
        <v>26397.963600000003</v>
      </c>
      <c r="S29" s="91"/>
      <c r="T29" s="92">
        <v>0</v>
      </c>
      <c r="U29" s="32">
        <f t="shared" si="43"/>
        <v>0</v>
      </c>
      <c r="V29" s="32">
        <v>0</v>
      </c>
      <c r="W29" s="32">
        <v>0</v>
      </c>
      <c r="X29" s="93">
        <v>0</v>
      </c>
      <c r="Y29" s="32">
        <v>0</v>
      </c>
      <c r="Z29" s="32">
        <v>0</v>
      </c>
      <c r="AA29" s="32">
        <v>0</v>
      </c>
      <c r="AB29" s="32">
        <v>0</v>
      </c>
      <c r="AC29" s="32">
        <v>0</v>
      </c>
      <c r="AD29" s="93">
        <v>0</v>
      </c>
      <c r="AE29" s="32">
        <v>0</v>
      </c>
      <c r="AF29" s="32">
        <v>0</v>
      </c>
      <c r="AG29" s="32">
        <v>0</v>
      </c>
      <c r="AH29" s="93">
        <v>0</v>
      </c>
      <c r="AI29" s="93">
        <v>0</v>
      </c>
      <c r="AJ29" s="93">
        <v>0</v>
      </c>
      <c r="AK29" s="32">
        <v>0</v>
      </c>
      <c r="AL29" s="32">
        <v>0</v>
      </c>
      <c r="AM29" s="32">
        <v>0</v>
      </c>
      <c r="AN29" s="32">
        <v>0</v>
      </c>
      <c r="AO29" s="32">
        <v>0</v>
      </c>
      <c r="AP29" s="32">
        <v>0</v>
      </c>
      <c r="AQ29" s="32">
        <v>0</v>
      </c>
      <c r="AR29" s="32">
        <v>0</v>
      </c>
      <c r="AS29" s="32">
        <v>0</v>
      </c>
      <c r="AT29" s="32">
        <v>0</v>
      </c>
      <c r="AU29" s="94">
        <f t="shared" si="7"/>
        <v>0</v>
      </c>
      <c r="AV29" s="95">
        <f t="shared" si="8"/>
        <v>0</v>
      </c>
      <c r="AW29" s="95">
        <f t="shared" si="9"/>
        <v>0</v>
      </c>
      <c r="AX29" s="95">
        <f t="shared" si="10"/>
        <v>0</v>
      </c>
      <c r="AY29" s="95">
        <f t="shared" si="11"/>
        <v>0</v>
      </c>
      <c r="AZ29" s="95">
        <f t="shared" si="12"/>
        <v>0</v>
      </c>
      <c r="BA29" s="95">
        <f t="shared" si="13"/>
        <v>0</v>
      </c>
      <c r="BB29" s="95">
        <f t="shared" si="14"/>
        <v>0</v>
      </c>
      <c r="BC29" s="96">
        <f t="shared" si="15"/>
        <v>0</v>
      </c>
      <c r="BD29" s="96">
        <f t="shared" si="16"/>
        <v>0</v>
      </c>
      <c r="BE29" s="96">
        <f t="shared" si="17"/>
        <v>0</v>
      </c>
      <c r="BF29" s="96">
        <f t="shared" si="18"/>
        <v>0</v>
      </c>
      <c r="BG29" s="96">
        <f t="shared" si="19"/>
        <v>0</v>
      </c>
      <c r="BH29" s="96">
        <f t="shared" si="20"/>
        <v>0</v>
      </c>
      <c r="BI29" s="96">
        <f t="shared" si="21"/>
        <v>0</v>
      </c>
      <c r="BJ29" s="96">
        <f t="shared" si="22"/>
        <v>0</v>
      </c>
      <c r="BK29" s="96">
        <f t="shared" si="23"/>
        <v>0</v>
      </c>
      <c r="BL29" s="96">
        <f t="shared" si="24"/>
        <v>0</v>
      </c>
      <c r="BM29" s="96">
        <f t="shared" si="25"/>
        <v>0</v>
      </c>
      <c r="BN29" s="96"/>
      <c r="BO29" s="95"/>
      <c r="BP29" s="95">
        <f t="shared" si="26"/>
        <v>0</v>
      </c>
      <c r="BQ29" s="95"/>
      <c r="BR29" s="95"/>
      <c r="BS29" s="95">
        <f t="shared" si="27"/>
        <v>0</v>
      </c>
      <c r="BT29" s="95">
        <f t="shared" si="28"/>
        <v>0</v>
      </c>
      <c r="BU29" s="95">
        <f t="shared" si="29"/>
        <v>0</v>
      </c>
      <c r="BV29" s="95">
        <f t="shared" si="30"/>
        <v>0</v>
      </c>
      <c r="BW29" s="95"/>
      <c r="BX29" s="95"/>
      <c r="BY29" s="95"/>
      <c r="BZ29" s="95"/>
      <c r="CA29" s="95">
        <f t="shared" si="44"/>
        <v>0</v>
      </c>
      <c r="CB29" s="97">
        <f t="shared" si="31"/>
        <v>0</v>
      </c>
      <c r="CC29" s="95"/>
      <c r="CD29" s="95"/>
      <c r="CE29" s="95">
        <f t="shared" si="32"/>
        <v>0</v>
      </c>
      <c r="CF29" s="95">
        <f t="shared" si="45"/>
        <v>0</v>
      </c>
      <c r="CG29" s="113"/>
      <c r="CH29" s="22"/>
      <c r="CI29" s="98">
        <f t="shared" si="33"/>
        <v>0</v>
      </c>
      <c r="CJ29" s="95">
        <f t="shared" si="34"/>
        <v>0</v>
      </c>
      <c r="CK29" s="95">
        <f t="shared" si="46"/>
        <v>0</v>
      </c>
      <c r="CL29" s="95">
        <v>0</v>
      </c>
      <c r="CM29" s="99"/>
      <c r="CN29" s="99">
        <v>0</v>
      </c>
      <c r="CO29" s="110"/>
      <c r="CP29" s="99"/>
      <c r="CQ29" s="99"/>
      <c r="CR29" s="99"/>
      <c r="CS29" s="95"/>
      <c r="CT29" s="95"/>
      <c r="CU29" s="96"/>
      <c r="CV29" s="96"/>
      <c r="CW29" s="96"/>
      <c r="CX29" s="96"/>
      <c r="CY29" s="96"/>
      <c r="CZ29" s="93">
        <f t="shared" si="35"/>
        <v>0</v>
      </c>
      <c r="DA29" s="93">
        <f t="shared" si="36"/>
        <v>0</v>
      </c>
      <c r="DB29" s="95">
        <f t="shared" si="37"/>
        <v>0</v>
      </c>
      <c r="DC29" s="100">
        <f t="shared" si="38"/>
        <v>0</v>
      </c>
      <c r="DD29" s="100"/>
      <c r="DE29" s="100">
        <f t="shared" si="39"/>
        <v>0</v>
      </c>
      <c r="DF29" s="13"/>
      <c r="DG29" s="2"/>
      <c r="DH29" s="46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</row>
    <row r="30" spans="1:156" s="1" customFormat="1" ht="12" hidden="1" customHeight="1" x14ac:dyDescent="0.2">
      <c r="A30" s="88">
        <f t="shared" si="3"/>
        <v>509654</v>
      </c>
      <c r="B30" s="21">
        <v>9654</v>
      </c>
      <c r="C30" s="21" t="s">
        <v>98</v>
      </c>
      <c r="D30" s="84" t="s">
        <v>112</v>
      </c>
      <c r="E30" s="115" t="s">
        <v>202</v>
      </c>
      <c r="F30" s="101">
        <v>0</v>
      </c>
      <c r="G30" s="84"/>
      <c r="H30" s="85"/>
      <c r="I30" s="86"/>
      <c r="J30" s="85"/>
      <c r="K30" s="21" t="s">
        <v>10</v>
      </c>
      <c r="L30" s="21"/>
      <c r="M30" s="87"/>
      <c r="N30" s="88"/>
      <c r="O30" s="88">
        <v>0</v>
      </c>
      <c r="P30" s="89">
        <f t="shared" si="40"/>
        <v>5700.7259999999997</v>
      </c>
      <c r="Q30" s="90">
        <f t="shared" si="41"/>
        <v>19002.419999999998</v>
      </c>
      <c r="R30" s="90">
        <f t="shared" si="42"/>
        <v>26397.963600000003</v>
      </c>
      <c r="S30" s="91"/>
      <c r="T30" s="92">
        <v>0</v>
      </c>
      <c r="U30" s="32">
        <f t="shared" si="43"/>
        <v>0</v>
      </c>
      <c r="V30" s="32">
        <v>0</v>
      </c>
      <c r="W30" s="32">
        <v>0</v>
      </c>
      <c r="X30" s="93">
        <v>0</v>
      </c>
      <c r="Y30" s="32">
        <v>0</v>
      </c>
      <c r="Z30" s="32">
        <v>0</v>
      </c>
      <c r="AA30" s="32">
        <v>0</v>
      </c>
      <c r="AB30" s="32">
        <v>0</v>
      </c>
      <c r="AC30" s="32">
        <v>0</v>
      </c>
      <c r="AD30" s="93">
        <v>0</v>
      </c>
      <c r="AE30" s="32">
        <v>0</v>
      </c>
      <c r="AF30" s="32">
        <v>0</v>
      </c>
      <c r="AG30" s="32">
        <v>0</v>
      </c>
      <c r="AH30" s="93">
        <v>0</v>
      </c>
      <c r="AI30" s="93">
        <v>0</v>
      </c>
      <c r="AJ30" s="93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2">
        <v>0</v>
      </c>
      <c r="AU30" s="94">
        <f t="shared" si="7"/>
        <v>0</v>
      </c>
      <c r="AV30" s="95">
        <f t="shared" si="8"/>
        <v>0</v>
      </c>
      <c r="AW30" s="95">
        <f t="shared" si="9"/>
        <v>0</v>
      </c>
      <c r="AX30" s="95">
        <f t="shared" si="10"/>
        <v>0</v>
      </c>
      <c r="AY30" s="95">
        <f t="shared" si="11"/>
        <v>0</v>
      </c>
      <c r="AZ30" s="95">
        <f t="shared" si="12"/>
        <v>0</v>
      </c>
      <c r="BA30" s="95">
        <f t="shared" si="13"/>
        <v>0</v>
      </c>
      <c r="BB30" s="95">
        <f t="shared" si="14"/>
        <v>0</v>
      </c>
      <c r="BC30" s="96">
        <f t="shared" si="15"/>
        <v>0</v>
      </c>
      <c r="BD30" s="96">
        <f t="shared" si="16"/>
        <v>0</v>
      </c>
      <c r="BE30" s="96">
        <f t="shared" si="17"/>
        <v>0</v>
      </c>
      <c r="BF30" s="96">
        <f t="shared" si="18"/>
        <v>0</v>
      </c>
      <c r="BG30" s="96">
        <f t="shared" si="19"/>
        <v>0</v>
      </c>
      <c r="BH30" s="96">
        <f t="shared" si="20"/>
        <v>0</v>
      </c>
      <c r="BI30" s="96">
        <f t="shared" si="21"/>
        <v>0</v>
      </c>
      <c r="BJ30" s="96">
        <f t="shared" si="22"/>
        <v>0</v>
      </c>
      <c r="BK30" s="96">
        <f t="shared" si="23"/>
        <v>0</v>
      </c>
      <c r="BL30" s="96">
        <f t="shared" si="24"/>
        <v>0</v>
      </c>
      <c r="BM30" s="96">
        <f t="shared" si="25"/>
        <v>0</v>
      </c>
      <c r="BN30" s="96"/>
      <c r="BO30" s="95"/>
      <c r="BP30" s="95">
        <f t="shared" si="26"/>
        <v>0</v>
      </c>
      <c r="BQ30" s="95"/>
      <c r="BR30" s="95"/>
      <c r="BS30" s="95">
        <f t="shared" si="27"/>
        <v>0</v>
      </c>
      <c r="BT30" s="95">
        <f t="shared" si="28"/>
        <v>0</v>
      </c>
      <c r="BU30" s="95">
        <f t="shared" si="29"/>
        <v>0</v>
      </c>
      <c r="BV30" s="95">
        <f t="shared" si="30"/>
        <v>0</v>
      </c>
      <c r="BW30" s="95"/>
      <c r="BX30" s="95"/>
      <c r="BY30" s="95"/>
      <c r="BZ30" s="95"/>
      <c r="CA30" s="95">
        <f t="shared" si="44"/>
        <v>0</v>
      </c>
      <c r="CB30" s="97">
        <f t="shared" si="31"/>
        <v>0</v>
      </c>
      <c r="CC30" s="95"/>
      <c r="CD30" s="95"/>
      <c r="CE30" s="95">
        <f t="shared" si="32"/>
        <v>0</v>
      </c>
      <c r="CF30" s="95">
        <f t="shared" si="45"/>
        <v>0</v>
      </c>
      <c r="CG30" s="113"/>
      <c r="CH30" s="22"/>
      <c r="CI30" s="98">
        <f t="shared" si="33"/>
        <v>0</v>
      </c>
      <c r="CJ30" s="95">
        <f t="shared" si="34"/>
        <v>0</v>
      </c>
      <c r="CK30" s="95">
        <f t="shared" si="46"/>
        <v>0</v>
      </c>
      <c r="CL30" s="95">
        <v>0</v>
      </c>
      <c r="CM30" s="99"/>
      <c r="CN30" s="99">
        <v>0</v>
      </c>
      <c r="CO30" s="110"/>
      <c r="CP30" s="99"/>
      <c r="CQ30" s="99"/>
      <c r="CR30" s="99"/>
      <c r="CS30" s="95"/>
      <c r="CT30" s="95"/>
      <c r="CU30" s="96"/>
      <c r="CV30" s="96"/>
      <c r="CW30" s="96"/>
      <c r="CX30" s="96"/>
      <c r="CY30" s="96"/>
      <c r="CZ30" s="93">
        <f t="shared" si="35"/>
        <v>0</v>
      </c>
      <c r="DA30" s="93">
        <f t="shared" si="36"/>
        <v>0</v>
      </c>
      <c r="DB30" s="95">
        <f t="shared" si="37"/>
        <v>0</v>
      </c>
      <c r="DC30" s="100">
        <f t="shared" si="38"/>
        <v>0</v>
      </c>
      <c r="DD30" s="100"/>
      <c r="DE30" s="100">
        <f t="shared" si="39"/>
        <v>0</v>
      </c>
      <c r="DF30" s="13"/>
      <c r="DG30" s="2"/>
      <c r="DH30" s="46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</row>
    <row r="31" spans="1:156" s="1" customFormat="1" ht="12" hidden="1" customHeight="1" x14ac:dyDescent="0.2">
      <c r="A31" s="88">
        <f t="shared" si="3"/>
        <v>509656</v>
      </c>
      <c r="B31" s="21">
        <v>9656</v>
      </c>
      <c r="C31" s="21" t="s">
        <v>98</v>
      </c>
      <c r="D31" s="84" t="s">
        <v>113</v>
      </c>
      <c r="E31" s="115" t="s">
        <v>202</v>
      </c>
      <c r="F31" s="101">
        <v>0</v>
      </c>
      <c r="G31" s="84"/>
      <c r="H31" s="85"/>
      <c r="I31" s="86"/>
      <c r="J31" s="85"/>
      <c r="K31" s="21" t="s">
        <v>10</v>
      </c>
      <c r="L31" s="21"/>
      <c r="M31" s="87"/>
      <c r="N31" s="88"/>
      <c r="O31" s="88">
        <v>0</v>
      </c>
      <c r="P31" s="89">
        <f t="shared" si="40"/>
        <v>5700.7259999999997</v>
      </c>
      <c r="Q31" s="90">
        <f t="shared" si="41"/>
        <v>19002.419999999998</v>
      </c>
      <c r="R31" s="90">
        <f t="shared" si="42"/>
        <v>26397.963600000003</v>
      </c>
      <c r="S31" s="91"/>
      <c r="T31" s="92">
        <v>0</v>
      </c>
      <c r="U31" s="32">
        <f t="shared" si="43"/>
        <v>0</v>
      </c>
      <c r="V31" s="32">
        <v>0</v>
      </c>
      <c r="W31" s="32">
        <v>0</v>
      </c>
      <c r="X31" s="93">
        <v>0</v>
      </c>
      <c r="Y31" s="32">
        <v>0</v>
      </c>
      <c r="Z31" s="32">
        <v>0</v>
      </c>
      <c r="AA31" s="32">
        <v>0</v>
      </c>
      <c r="AB31" s="32">
        <v>0</v>
      </c>
      <c r="AC31" s="32">
        <v>0</v>
      </c>
      <c r="AD31" s="93">
        <v>0</v>
      </c>
      <c r="AE31" s="32">
        <v>0</v>
      </c>
      <c r="AF31" s="32">
        <v>0</v>
      </c>
      <c r="AG31" s="32">
        <v>0</v>
      </c>
      <c r="AH31" s="93">
        <v>0</v>
      </c>
      <c r="AI31" s="93">
        <v>0</v>
      </c>
      <c r="AJ31" s="93">
        <v>0</v>
      </c>
      <c r="AK31" s="32">
        <v>0</v>
      </c>
      <c r="AL31" s="32">
        <v>0</v>
      </c>
      <c r="AM31" s="32">
        <v>0</v>
      </c>
      <c r="AN31" s="32">
        <v>0</v>
      </c>
      <c r="AO31" s="32">
        <v>0</v>
      </c>
      <c r="AP31" s="32">
        <v>0</v>
      </c>
      <c r="AQ31" s="32">
        <v>0</v>
      </c>
      <c r="AR31" s="32">
        <v>0</v>
      </c>
      <c r="AS31" s="32">
        <v>0</v>
      </c>
      <c r="AT31" s="32">
        <v>0</v>
      </c>
      <c r="AU31" s="94">
        <f t="shared" si="7"/>
        <v>0</v>
      </c>
      <c r="AV31" s="95">
        <f t="shared" si="8"/>
        <v>0</v>
      </c>
      <c r="AW31" s="95">
        <f t="shared" si="9"/>
        <v>0</v>
      </c>
      <c r="AX31" s="95">
        <f t="shared" si="10"/>
        <v>0</v>
      </c>
      <c r="AY31" s="95">
        <f t="shared" si="11"/>
        <v>0</v>
      </c>
      <c r="AZ31" s="95">
        <f t="shared" si="12"/>
        <v>0</v>
      </c>
      <c r="BA31" s="95">
        <f t="shared" si="13"/>
        <v>0</v>
      </c>
      <c r="BB31" s="95">
        <f t="shared" si="14"/>
        <v>0</v>
      </c>
      <c r="BC31" s="96">
        <f t="shared" si="15"/>
        <v>0</v>
      </c>
      <c r="BD31" s="96">
        <f t="shared" si="16"/>
        <v>0</v>
      </c>
      <c r="BE31" s="96">
        <f t="shared" si="17"/>
        <v>0</v>
      </c>
      <c r="BF31" s="96">
        <f t="shared" si="18"/>
        <v>0</v>
      </c>
      <c r="BG31" s="96">
        <f t="shared" si="19"/>
        <v>0</v>
      </c>
      <c r="BH31" s="96">
        <f t="shared" si="20"/>
        <v>0</v>
      </c>
      <c r="BI31" s="96">
        <f t="shared" si="21"/>
        <v>0</v>
      </c>
      <c r="BJ31" s="96">
        <f t="shared" si="22"/>
        <v>0</v>
      </c>
      <c r="BK31" s="96">
        <f t="shared" si="23"/>
        <v>0</v>
      </c>
      <c r="BL31" s="96">
        <f t="shared" si="24"/>
        <v>0</v>
      </c>
      <c r="BM31" s="96">
        <f t="shared" si="25"/>
        <v>0</v>
      </c>
      <c r="BN31" s="96"/>
      <c r="BO31" s="95"/>
      <c r="BP31" s="95">
        <f t="shared" si="26"/>
        <v>0</v>
      </c>
      <c r="BQ31" s="95"/>
      <c r="BR31" s="95"/>
      <c r="BS31" s="95">
        <f t="shared" si="27"/>
        <v>0</v>
      </c>
      <c r="BT31" s="95">
        <f t="shared" si="28"/>
        <v>0</v>
      </c>
      <c r="BU31" s="95">
        <f t="shared" si="29"/>
        <v>0</v>
      </c>
      <c r="BV31" s="95">
        <f t="shared" si="30"/>
        <v>0</v>
      </c>
      <c r="BW31" s="95"/>
      <c r="BX31" s="95"/>
      <c r="BY31" s="95"/>
      <c r="BZ31" s="95"/>
      <c r="CA31" s="95">
        <f t="shared" si="44"/>
        <v>0</v>
      </c>
      <c r="CB31" s="97">
        <f t="shared" si="31"/>
        <v>0</v>
      </c>
      <c r="CC31" s="95"/>
      <c r="CD31" s="95"/>
      <c r="CE31" s="95">
        <f t="shared" si="32"/>
        <v>0</v>
      </c>
      <c r="CF31" s="95">
        <f t="shared" si="45"/>
        <v>0</v>
      </c>
      <c r="CG31" s="113"/>
      <c r="CH31" s="22"/>
      <c r="CI31" s="98">
        <f t="shared" si="33"/>
        <v>0</v>
      </c>
      <c r="CJ31" s="95">
        <f t="shared" si="34"/>
        <v>0</v>
      </c>
      <c r="CK31" s="95">
        <f t="shared" si="46"/>
        <v>0</v>
      </c>
      <c r="CL31" s="95">
        <v>0</v>
      </c>
      <c r="CM31" s="99"/>
      <c r="CN31" s="99">
        <v>0</v>
      </c>
      <c r="CO31" s="110"/>
      <c r="CP31" s="99"/>
      <c r="CQ31" s="99"/>
      <c r="CR31" s="99"/>
      <c r="CS31" s="95"/>
      <c r="CT31" s="95"/>
      <c r="CU31" s="96"/>
      <c r="CV31" s="96"/>
      <c r="CW31" s="96"/>
      <c r="CX31" s="96"/>
      <c r="CY31" s="96"/>
      <c r="CZ31" s="93">
        <f t="shared" si="35"/>
        <v>0</v>
      </c>
      <c r="DA31" s="93">
        <f t="shared" si="36"/>
        <v>0</v>
      </c>
      <c r="DB31" s="95">
        <f t="shared" si="37"/>
        <v>0</v>
      </c>
      <c r="DC31" s="100">
        <f t="shared" si="38"/>
        <v>0</v>
      </c>
      <c r="DD31" s="100"/>
      <c r="DE31" s="100">
        <f t="shared" si="39"/>
        <v>0</v>
      </c>
      <c r="DF31" s="13"/>
      <c r="DG31" s="2"/>
      <c r="DH31" s="46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</row>
    <row r="32" spans="1:156" s="1" customFormat="1" ht="12" customHeight="1" x14ac:dyDescent="0.2">
      <c r="A32" s="88">
        <f t="shared" si="3"/>
        <v>509645</v>
      </c>
      <c r="B32" s="21">
        <v>9645</v>
      </c>
      <c r="C32" s="21" t="s">
        <v>98</v>
      </c>
      <c r="D32" s="84" t="s">
        <v>106</v>
      </c>
      <c r="E32" s="115" t="s">
        <v>202</v>
      </c>
      <c r="F32" s="85">
        <v>3</v>
      </c>
      <c r="G32" s="84"/>
      <c r="H32" s="85"/>
      <c r="I32" s="86"/>
      <c r="J32" s="85"/>
      <c r="K32" s="21" t="s">
        <v>10</v>
      </c>
      <c r="L32" s="21"/>
      <c r="M32" s="87"/>
      <c r="N32" s="88"/>
      <c r="O32" s="88">
        <v>10</v>
      </c>
      <c r="P32" s="89">
        <f t="shared" si="40"/>
        <v>5700.7259999999997</v>
      </c>
      <c r="Q32" s="90">
        <f t="shared" si="41"/>
        <v>19002.419999999998</v>
      </c>
      <c r="R32" s="90">
        <f t="shared" si="42"/>
        <v>26397.963600000003</v>
      </c>
      <c r="S32" s="91"/>
      <c r="T32" s="92">
        <v>12</v>
      </c>
      <c r="U32" s="32">
        <f t="shared" si="43"/>
        <v>12</v>
      </c>
      <c r="V32" s="32">
        <v>0</v>
      </c>
      <c r="W32" s="32">
        <v>1</v>
      </c>
      <c r="X32" s="93">
        <v>0</v>
      </c>
      <c r="Y32" s="32">
        <v>0</v>
      </c>
      <c r="Z32" s="32">
        <v>0</v>
      </c>
      <c r="AA32" s="32">
        <v>0</v>
      </c>
      <c r="AB32" s="32">
        <v>0</v>
      </c>
      <c r="AC32" s="32">
        <v>0</v>
      </c>
      <c r="AD32" s="93">
        <v>0</v>
      </c>
      <c r="AE32" s="32">
        <v>0</v>
      </c>
      <c r="AF32" s="32">
        <v>0</v>
      </c>
      <c r="AG32" s="32">
        <v>0</v>
      </c>
      <c r="AH32" s="93">
        <v>0</v>
      </c>
      <c r="AI32" s="93">
        <v>0</v>
      </c>
      <c r="AJ32" s="93">
        <v>0</v>
      </c>
      <c r="AK32" s="32">
        <v>0</v>
      </c>
      <c r="AL32" s="32">
        <v>0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2">
        <v>0</v>
      </c>
      <c r="AU32" s="94">
        <f t="shared" si="7"/>
        <v>13</v>
      </c>
      <c r="AV32" s="95">
        <f t="shared" si="8"/>
        <v>228029.03999999998</v>
      </c>
      <c r="AW32" s="95">
        <f t="shared" si="9"/>
        <v>0</v>
      </c>
      <c r="AX32" s="95">
        <f t="shared" si="10"/>
        <v>19002.419999999998</v>
      </c>
      <c r="AY32" s="95">
        <f t="shared" si="11"/>
        <v>0</v>
      </c>
      <c r="AZ32" s="95">
        <f t="shared" si="12"/>
        <v>0</v>
      </c>
      <c r="BA32" s="95">
        <f t="shared" si="13"/>
        <v>0</v>
      </c>
      <c r="BB32" s="95">
        <f t="shared" si="14"/>
        <v>0</v>
      </c>
      <c r="BC32" s="96">
        <f t="shared" si="15"/>
        <v>0</v>
      </c>
      <c r="BD32" s="96">
        <f t="shared" si="16"/>
        <v>0</v>
      </c>
      <c r="BE32" s="96">
        <f t="shared" si="17"/>
        <v>0</v>
      </c>
      <c r="BF32" s="96">
        <f t="shared" si="18"/>
        <v>0</v>
      </c>
      <c r="BG32" s="96">
        <f t="shared" si="19"/>
        <v>0</v>
      </c>
      <c r="BH32" s="96">
        <f t="shared" si="20"/>
        <v>0</v>
      </c>
      <c r="BI32" s="96">
        <f t="shared" si="21"/>
        <v>0</v>
      </c>
      <c r="BJ32" s="96">
        <f t="shared" si="22"/>
        <v>0</v>
      </c>
      <c r="BK32" s="96">
        <f t="shared" si="23"/>
        <v>0</v>
      </c>
      <c r="BL32" s="96">
        <f t="shared" si="24"/>
        <v>29643.775199999996</v>
      </c>
      <c r="BM32" s="96">
        <f t="shared" si="25"/>
        <v>0</v>
      </c>
      <c r="BN32" s="96"/>
      <c r="BO32" s="95"/>
      <c r="BP32" s="95">
        <f t="shared" si="26"/>
        <v>0</v>
      </c>
      <c r="BQ32" s="95"/>
      <c r="BR32" s="95"/>
      <c r="BS32" s="95">
        <f t="shared" si="27"/>
        <v>0</v>
      </c>
      <c r="BT32" s="95">
        <f t="shared" si="28"/>
        <v>0</v>
      </c>
      <c r="BU32" s="95">
        <f t="shared" si="29"/>
        <v>0</v>
      </c>
      <c r="BV32" s="95">
        <f t="shared" si="30"/>
        <v>0</v>
      </c>
      <c r="BW32" s="95"/>
      <c r="BX32" s="95"/>
      <c r="BY32" s="95"/>
      <c r="BZ32" s="95"/>
      <c r="CA32" s="95">
        <f t="shared" si="44"/>
        <v>0</v>
      </c>
      <c r="CB32" s="97">
        <f t="shared" si="31"/>
        <v>276675.23519999994</v>
      </c>
      <c r="CC32" s="95"/>
      <c r="CD32" s="95"/>
      <c r="CE32" s="95">
        <f t="shared" si="32"/>
        <v>-8300.2570559999986</v>
      </c>
      <c r="CF32" s="95">
        <f t="shared" si="45"/>
        <v>-4150.1285279999993</v>
      </c>
      <c r="CG32" s="113"/>
      <c r="CH32" s="22"/>
      <c r="CI32" s="98">
        <f t="shared" si="33"/>
        <v>384357.23673983983</v>
      </c>
      <c r="CJ32" s="95">
        <f t="shared" si="34"/>
        <v>-11530.717102195194</v>
      </c>
      <c r="CK32" s="95">
        <f t="shared" si="46"/>
        <v>-5765.3585510975972</v>
      </c>
      <c r="CL32" s="95">
        <v>0</v>
      </c>
      <c r="CM32" s="99"/>
      <c r="CN32" s="99">
        <v>0</v>
      </c>
      <c r="CO32" s="110"/>
      <c r="CP32" s="99"/>
      <c r="CQ32" s="99"/>
      <c r="CR32" s="99"/>
      <c r="CS32" s="95"/>
      <c r="CT32" s="95"/>
      <c r="CU32" s="96"/>
      <c r="CV32" s="96"/>
      <c r="CW32" s="96"/>
      <c r="CX32" s="96"/>
      <c r="CY32" s="96"/>
      <c r="CZ32" s="93">
        <f t="shared" si="35"/>
        <v>0</v>
      </c>
      <c r="DA32" s="93">
        <f t="shared" si="36"/>
        <v>0</v>
      </c>
      <c r="DB32" s="95">
        <f t="shared" si="37"/>
        <v>631286.01070254715</v>
      </c>
      <c r="DC32" s="100">
        <f t="shared" si="38"/>
        <v>631286</v>
      </c>
      <c r="DD32" s="100"/>
      <c r="DE32" s="100">
        <f t="shared" si="39"/>
        <v>-631286</v>
      </c>
      <c r="DF32" s="13"/>
      <c r="DG32" s="2"/>
      <c r="DH32" s="46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</row>
    <row r="33" spans="1:156" s="1" customFormat="1" ht="12" hidden="1" customHeight="1" x14ac:dyDescent="0.2">
      <c r="A33" s="88">
        <f t="shared" si="3"/>
        <v>509658</v>
      </c>
      <c r="B33" s="21">
        <v>9658</v>
      </c>
      <c r="C33" s="21" t="s">
        <v>98</v>
      </c>
      <c r="D33" s="84" t="s">
        <v>114</v>
      </c>
      <c r="E33" s="115" t="s">
        <v>202</v>
      </c>
      <c r="F33" s="85">
        <v>3</v>
      </c>
      <c r="G33" s="84"/>
      <c r="H33" s="85"/>
      <c r="I33" s="86"/>
      <c r="J33" s="85"/>
      <c r="K33" s="21" t="s">
        <v>10</v>
      </c>
      <c r="L33" s="21"/>
      <c r="M33" s="87"/>
      <c r="N33" s="88"/>
      <c r="O33" s="88">
        <v>5</v>
      </c>
      <c r="P33" s="89">
        <f t="shared" si="40"/>
        <v>5700.7259999999997</v>
      </c>
      <c r="Q33" s="90">
        <f t="shared" si="41"/>
        <v>19002.419999999998</v>
      </c>
      <c r="R33" s="90">
        <f t="shared" si="42"/>
        <v>26397.963600000003</v>
      </c>
      <c r="S33" s="91"/>
      <c r="T33" s="92">
        <v>0</v>
      </c>
      <c r="U33" s="32">
        <f t="shared" si="43"/>
        <v>0</v>
      </c>
      <c r="V33" s="32">
        <v>0</v>
      </c>
      <c r="W33" s="32">
        <v>0</v>
      </c>
      <c r="X33" s="93">
        <v>0</v>
      </c>
      <c r="Y33" s="32">
        <v>0</v>
      </c>
      <c r="Z33" s="32">
        <v>0</v>
      </c>
      <c r="AA33" s="32">
        <v>0</v>
      </c>
      <c r="AB33" s="32">
        <v>0</v>
      </c>
      <c r="AC33" s="32">
        <v>0</v>
      </c>
      <c r="AD33" s="93">
        <v>0</v>
      </c>
      <c r="AE33" s="32">
        <v>0</v>
      </c>
      <c r="AF33" s="32">
        <v>0</v>
      </c>
      <c r="AG33" s="32">
        <v>0</v>
      </c>
      <c r="AH33" s="93">
        <v>0</v>
      </c>
      <c r="AI33" s="93">
        <v>0</v>
      </c>
      <c r="AJ33" s="93">
        <v>0</v>
      </c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2">
        <v>0</v>
      </c>
      <c r="AU33" s="94">
        <f t="shared" si="7"/>
        <v>0</v>
      </c>
      <c r="AV33" s="95">
        <f t="shared" si="8"/>
        <v>0</v>
      </c>
      <c r="AW33" s="95">
        <f t="shared" si="9"/>
        <v>0</v>
      </c>
      <c r="AX33" s="95">
        <f t="shared" si="10"/>
        <v>0</v>
      </c>
      <c r="AY33" s="95">
        <f t="shared" si="11"/>
        <v>0</v>
      </c>
      <c r="AZ33" s="95">
        <f t="shared" si="12"/>
        <v>0</v>
      </c>
      <c r="BA33" s="95">
        <f t="shared" si="13"/>
        <v>0</v>
      </c>
      <c r="BB33" s="95">
        <f t="shared" si="14"/>
        <v>0</v>
      </c>
      <c r="BC33" s="96">
        <f t="shared" si="15"/>
        <v>0</v>
      </c>
      <c r="BD33" s="96">
        <f t="shared" si="16"/>
        <v>0</v>
      </c>
      <c r="BE33" s="96">
        <f t="shared" si="17"/>
        <v>0</v>
      </c>
      <c r="BF33" s="96">
        <f t="shared" si="18"/>
        <v>0</v>
      </c>
      <c r="BG33" s="96">
        <f t="shared" si="19"/>
        <v>0</v>
      </c>
      <c r="BH33" s="96">
        <f t="shared" si="20"/>
        <v>0</v>
      </c>
      <c r="BI33" s="96">
        <f t="shared" si="21"/>
        <v>0</v>
      </c>
      <c r="BJ33" s="96">
        <f t="shared" si="22"/>
        <v>0</v>
      </c>
      <c r="BK33" s="96">
        <f t="shared" si="23"/>
        <v>0</v>
      </c>
      <c r="BL33" s="96">
        <f t="shared" si="24"/>
        <v>0</v>
      </c>
      <c r="BM33" s="96">
        <f t="shared" si="25"/>
        <v>0</v>
      </c>
      <c r="BN33" s="96"/>
      <c r="BO33" s="95"/>
      <c r="BP33" s="95">
        <f t="shared" si="26"/>
        <v>0</v>
      </c>
      <c r="BQ33" s="95"/>
      <c r="BR33" s="95"/>
      <c r="BS33" s="95">
        <f t="shared" si="27"/>
        <v>0</v>
      </c>
      <c r="BT33" s="95">
        <f t="shared" si="28"/>
        <v>0</v>
      </c>
      <c r="BU33" s="95">
        <f t="shared" si="29"/>
        <v>0</v>
      </c>
      <c r="BV33" s="95">
        <f t="shared" si="30"/>
        <v>0</v>
      </c>
      <c r="BW33" s="95"/>
      <c r="BX33" s="95"/>
      <c r="BY33" s="95"/>
      <c r="BZ33" s="95"/>
      <c r="CA33" s="95">
        <f t="shared" si="44"/>
        <v>0</v>
      </c>
      <c r="CB33" s="97">
        <f t="shared" si="31"/>
        <v>0</v>
      </c>
      <c r="CC33" s="95"/>
      <c r="CD33" s="95"/>
      <c r="CE33" s="95">
        <f t="shared" si="32"/>
        <v>0</v>
      </c>
      <c r="CF33" s="95">
        <f t="shared" si="45"/>
        <v>0</v>
      </c>
      <c r="CG33" s="113"/>
      <c r="CH33" s="22"/>
      <c r="CI33" s="98">
        <f t="shared" si="33"/>
        <v>0</v>
      </c>
      <c r="CJ33" s="95">
        <f t="shared" si="34"/>
        <v>0</v>
      </c>
      <c r="CK33" s="95">
        <f t="shared" si="46"/>
        <v>0</v>
      </c>
      <c r="CL33" s="95">
        <v>0</v>
      </c>
      <c r="CM33" s="99"/>
      <c r="CN33" s="99">
        <v>0</v>
      </c>
      <c r="CO33" s="110"/>
      <c r="CP33" s="99"/>
      <c r="CQ33" s="99"/>
      <c r="CR33" s="99"/>
      <c r="CS33" s="95"/>
      <c r="CT33" s="95"/>
      <c r="CU33" s="96"/>
      <c r="CV33" s="96"/>
      <c r="CW33" s="96"/>
      <c r="CX33" s="96"/>
      <c r="CY33" s="96"/>
      <c r="CZ33" s="93">
        <f t="shared" si="35"/>
        <v>0</v>
      </c>
      <c r="DA33" s="93">
        <f t="shared" si="36"/>
        <v>0</v>
      </c>
      <c r="DB33" s="95">
        <f t="shared" si="37"/>
        <v>0</v>
      </c>
      <c r="DC33" s="100">
        <f t="shared" si="38"/>
        <v>0</v>
      </c>
      <c r="DD33" s="100"/>
      <c r="DE33" s="100">
        <f t="shared" si="39"/>
        <v>0</v>
      </c>
      <c r="DF33" s="13"/>
      <c r="DG33" s="2"/>
      <c r="DH33" s="46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</row>
    <row r="34" spans="1:156" s="1" customFormat="1" ht="12" hidden="1" customHeight="1" x14ac:dyDescent="0.2">
      <c r="A34" s="88">
        <f t="shared" si="3"/>
        <v>509659</v>
      </c>
      <c r="B34" s="21">
        <v>9659</v>
      </c>
      <c r="C34" s="21" t="s">
        <v>98</v>
      </c>
      <c r="D34" s="84" t="s">
        <v>115</v>
      </c>
      <c r="E34" s="115" t="s">
        <v>202</v>
      </c>
      <c r="F34" s="85">
        <v>3</v>
      </c>
      <c r="G34" s="84"/>
      <c r="H34" s="85"/>
      <c r="I34" s="86"/>
      <c r="J34" s="85"/>
      <c r="K34" s="21" t="s">
        <v>10</v>
      </c>
      <c r="L34" s="21"/>
      <c r="M34" s="87"/>
      <c r="N34" s="88"/>
      <c r="O34" s="88">
        <v>7</v>
      </c>
      <c r="P34" s="89">
        <f t="shared" si="40"/>
        <v>5700.7259999999997</v>
      </c>
      <c r="Q34" s="90">
        <f t="shared" si="41"/>
        <v>19002.419999999998</v>
      </c>
      <c r="R34" s="90">
        <f t="shared" si="42"/>
        <v>26397.963600000003</v>
      </c>
      <c r="S34" s="91"/>
      <c r="T34" s="92">
        <v>0</v>
      </c>
      <c r="U34" s="32">
        <f t="shared" si="43"/>
        <v>0</v>
      </c>
      <c r="V34" s="32">
        <v>0</v>
      </c>
      <c r="W34" s="32">
        <v>0</v>
      </c>
      <c r="X34" s="93">
        <v>0</v>
      </c>
      <c r="Y34" s="32">
        <v>0</v>
      </c>
      <c r="Z34" s="32">
        <v>0</v>
      </c>
      <c r="AA34" s="32">
        <v>0</v>
      </c>
      <c r="AB34" s="32">
        <v>0</v>
      </c>
      <c r="AC34" s="32">
        <v>0</v>
      </c>
      <c r="AD34" s="93">
        <v>0</v>
      </c>
      <c r="AE34" s="32">
        <v>0</v>
      </c>
      <c r="AF34" s="32">
        <v>0</v>
      </c>
      <c r="AG34" s="32">
        <v>0</v>
      </c>
      <c r="AH34" s="93">
        <v>0</v>
      </c>
      <c r="AI34" s="93">
        <v>0</v>
      </c>
      <c r="AJ34" s="93">
        <v>0</v>
      </c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2">
        <v>0</v>
      </c>
      <c r="AU34" s="94">
        <f t="shared" si="7"/>
        <v>0</v>
      </c>
      <c r="AV34" s="95">
        <f t="shared" si="8"/>
        <v>0</v>
      </c>
      <c r="AW34" s="95">
        <f t="shared" si="9"/>
        <v>0</v>
      </c>
      <c r="AX34" s="95">
        <f t="shared" si="10"/>
        <v>0</v>
      </c>
      <c r="AY34" s="95">
        <f t="shared" si="11"/>
        <v>0</v>
      </c>
      <c r="AZ34" s="95">
        <f t="shared" si="12"/>
        <v>0</v>
      </c>
      <c r="BA34" s="95">
        <f t="shared" si="13"/>
        <v>0</v>
      </c>
      <c r="BB34" s="95">
        <f t="shared" si="14"/>
        <v>0</v>
      </c>
      <c r="BC34" s="96">
        <f t="shared" si="15"/>
        <v>0</v>
      </c>
      <c r="BD34" s="96">
        <f t="shared" si="16"/>
        <v>0</v>
      </c>
      <c r="BE34" s="96">
        <f t="shared" si="17"/>
        <v>0</v>
      </c>
      <c r="BF34" s="96">
        <f t="shared" si="18"/>
        <v>0</v>
      </c>
      <c r="BG34" s="96">
        <f t="shared" si="19"/>
        <v>0</v>
      </c>
      <c r="BH34" s="96">
        <f t="shared" si="20"/>
        <v>0</v>
      </c>
      <c r="BI34" s="96">
        <f t="shared" si="21"/>
        <v>0</v>
      </c>
      <c r="BJ34" s="96">
        <f t="shared" si="22"/>
        <v>0</v>
      </c>
      <c r="BK34" s="96">
        <f t="shared" si="23"/>
        <v>0</v>
      </c>
      <c r="BL34" s="96">
        <f t="shared" si="24"/>
        <v>0</v>
      </c>
      <c r="BM34" s="96">
        <f t="shared" si="25"/>
        <v>0</v>
      </c>
      <c r="BN34" s="96"/>
      <c r="BO34" s="95"/>
      <c r="BP34" s="95">
        <f t="shared" si="26"/>
        <v>0</v>
      </c>
      <c r="BQ34" s="95"/>
      <c r="BR34" s="95"/>
      <c r="BS34" s="95">
        <f t="shared" si="27"/>
        <v>0</v>
      </c>
      <c r="BT34" s="95">
        <f t="shared" si="28"/>
        <v>0</v>
      </c>
      <c r="BU34" s="95">
        <f t="shared" si="29"/>
        <v>0</v>
      </c>
      <c r="BV34" s="95">
        <f t="shared" si="30"/>
        <v>0</v>
      </c>
      <c r="BW34" s="95"/>
      <c r="BX34" s="95"/>
      <c r="BY34" s="95"/>
      <c r="BZ34" s="95"/>
      <c r="CA34" s="95">
        <f t="shared" si="44"/>
        <v>0</v>
      </c>
      <c r="CB34" s="97">
        <f t="shared" si="31"/>
        <v>0</v>
      </c>
      <c r="CC34" s="95"/>
      <c r="CD34" s="95"/>
      <c r="CE34" s="95">
        <f t="shared" si="32"/>
        <v>0</v>
      </c>
      <c r="CF34" s="95">
        <f t="shared" si="45"/>
        <v>0</v>
      </c>
      <c r="CG34" s="113"/>
      <c r="CH34" s="22"/>
      <c r="CI34" s="98">
        <f t="shared" si="33"/>
        <v>0</v>
      </c>
      <c r="CJ34" s="95">
        <f t="shared" si="34"/>
        <v>0</v>
      </c>
      <c r="CK34" s="95">
        <f t="shared" si="46"/>
        <v>0</v>
      </c>
      <c r="CL34" s="95">
        <v>0</v>
      </c>
      <c r="CM34" s="99"/>
      <c r="CN34" s="99">
        <v>0</v>
      </c>
      <c r="CO34" s="110"/>
      <c r="CP34" s="99"/>
      <c r="CQ34" s="99"/>
      <c r="CR34" s="99"/>
      <c r="CS34" s="95"/>
      <c r="CT34" s="95"/>
      <c r="CU34" s="96"/>
      <c r="CV34" s="96"/>
      <c r="CW34" s="96"/>
      <c r="CX34" s="96"/>
      <c r="CY34" s="96"/>
      <c r="CZ34" s="93">
        <f t="shared" si="35"/>
        <v>0</v>
      </c>
      <c r="DA34" s="93">
        <f t="shared" si="36"/>
        <v>0</v>
      </c>
      <c r="DB34" s="95">
        <f t="shared" si="37"/>
        <v>0</v>
      </c>
      <c r="DC34" s="100">
        <f t="shared" si="38"/>
        <v>0</v>
      </c>
      <c r="DD34" s="100"/>
      <c r="DE34" s="100">
        <f t="shared" si="39"/>
        <v>0</v>
      </c>
      <c r="DF34" s="13"/>
      <c r="DG34" s="2"/>
      <c r="DH34" s="46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</row>
    <row r="35" spans="1:156" s="1" customFormat="1" ht="12" customHeight="1" x14ac:dyDescent="0.2">
      <c r="A35" s="88">
        <f t="shared" si="3"/>
        <v>509856</v>
      </c>
      <c r="B35" s="21">
        <v>9856</v>
      </c>
      <c r="C35" s="21" t="s">
        <v>98</v>
      </c>
      <c r="D35" s="84" t="s">
        <v>188</v>
      </c>
      <c r="E35" s="115" t="s">
        <v>202</v>
      </c>
      <c r="F35" s="85">
        <v>0</v>
      </c>
      <c r="G35" s="84"/>
      <c r="H35" s="85"/>
      <c r="I35" s="86"/>
      <c r="J35" s="85"/>
      <c r="K35" s="21" t="s">
        <v>10</v>
      </c>
      <c r="L35" s="21"/>
      <c r="M35" s="87"/>
      <c r="N35" s="88"/>
      <c r="O35" s="88">
        <v>0</v>
      </c>
      <c r="P35" s="89">
        <f t="shared" si="40"/>
        <v>5700.7259999999997</v>
      </c>
      <c r="Q35" s="90">
        <f t="shared" si="41"/>
        <v>19002.419999999998</v>
      </c>
      <c r="R35" s="90">
        <f t="shared" si="42"/>
        <v>26397.963600000003</v>
      </c>
      <c r="S35" s="91"/>
      <c r="T35" s="92">
        <v>6</v>
      </c>
      <c r="U35" s="32">
        <f t="shared" si="43"/>
        <v>6</v>
      </c>
      <c r="V35" s="32">
        <v>0</v>
      </c>
      <c r="W35" s="32">
        <v>1</v>
      </c>
      <c r="X35" s="93">
        <v>0</v>
      </c>
      <c r="Y35" s="32">
        <v>0</v>
      </c>
      <c r="Z35" s="32">
        <v>0</v>
      </c>
      <c r="AA35" s="32">
        <v>0</v>
      </c>
      <c r="AB35" s="32">
        <v>0</v>
      </c>
      <c r="AC35" s="32">
        <v>0</v>
      </c>
      <c r="AD35" s="93">
        <v>0</v>
      </c>
      <c r="AE35" s="32">
        <v>0</v>
      </c>
      <c r="AF35" s="32">
        <v>0</v>
      </c>
      <c r="AG35" s="32">
        <v>0</v>
      </c>
      <c r="AH35" s="93">
        <v>0</v>
      </c>
      <c r="AI35" s="93">
        <v>0</v>
      </c>
      <c r="AJ35" s="93">
        <v>0</v>
      </c>
      <c r="AK35" s="32">
        <v>0</v>
      </c>
      <c r="AL35" s="32">
        <v>0</v>
      </c>
      <c r="AM35" s="32">
        <v>0</v>
      </c>
      <c r="AN35" s="32">
        <v>0</v>
      </c>
      <c r="AO35" s="32">
        <v>0</v>
      </c>
      <c r="AP35" s="32">
        <v>0</v>
      </c>
      <c r="AQ35" s="32">
        <v>0</v>
      </c>
      <c r="AR35" s="32">
        <v>0</v>
      </c>
      <c r="AS35" s="32">
        <v>0</v>
      </c>
      <c r="AT35" s="32">
        <v>0</v>
      </c>
      <c r="AU35" s="94">
        <f t="shared" si="7"/>
        <v>7</v>
      </c>
      <c r="AV35" s="95">
        <f t="shared" si="8"/>
        <v>114014.51999999999</v>
      </c>
      <c r="AW35" s="95">
        <f t="shared" si="9"/>
        <v>0</v>
      </c>
      <c r="AX35" s="95">
        <f t="shared" si="10"/>
        <v>19002.419999999998</v>
      </c>
      <c r="AY35" s="95">
        <f t="shared" si="11"/>
        <v>0</v>
      </c>
      <c r="AZ35" s="95">
        <f t="shared" si="12"/>
        <v>0</v>
      </c>
      <c r="BA35" s="95">
        <f t="shared" si="13"/>
        <v>0</v>
      </c>
      <c r="BB35" s="95">
        <f t="shared" si="14"/>
        <v>0</v>
      </c>
      <c r="BC35" s="96">
        <f t="shared" si="15"/>
        <v>0</v>
      </c>
      <c r="BD35" s="96">
        <f t="shared" si="16"/>
        <v>0</v>
      </c>
      <c r="BE35" s="96">
        <f t="shared" si="17"/>
        <v>0</v>
      </c>
      <c r="BF35" s="96">
        <f t="shared" si="18"/>
        <v>0</v>
      </c>
      <c r="BG35" s="96">
        <f t="shared" si="19"/>
        <v>0</v>
      </c>
      <c r="BH35" s="96">
        <f t="shared" si="20"/>
        <v>0</v>
      </c>
      <c r="BI35" s="96">
        <f t="shared" si="21"/>
        <v>0</v>
      </c>
      <c r="BJ35" s="96">
        <f t="shared" si="22"/>
        <v>0</v>
      </c>
      <c r="BK35" s="96">
        <f t="shared" si="23"/>
        <v>0</v>
      </c>
      <c r="BL35" s="96">
        <f t="shared" si="24"/>
        <v>0</v>
      </c>
      <c r="BM35" s="96">
        <f t="shared" si="25"/>
        <v>0</v>
      </c>
      <c r="BN35" s="96"/>
      <c r="BO35" s="95"/>
      <c r="BP35" s="95">
        <f t="shared" si="26"/>
        <v>0</v>
      </c>
      <c r="BQ35" s="95"/>
      <c r="BR35" s="95"/>
      <c r="BS35" s="95">
        <f t="shared" si="27"/>
        <v>0</v>
      </c>
      <c r="BT35" s="95">
        <f t="shared" si="28"/>
        <v>0</v>
      </c>
      <c r="BU35" s="95">
        <f t="shared" si="29"/>
        <v>0</v>
      </c>
      <c r="BV35" s="95">
        <f t="shared" si="30"/>
        <v>0</v>
      </c>
      <c r="BW35" s="95"/>
      <c r="BX35" s="95"/>
      <c r="BY35" s="95"/>
      <c r="BZ35" s="95"/>
      <c r="CA35" s="95">
        <f t="shared" si="44"/>
        <v>0</v>
      </c>
      <c r="CB35" s="97">
        <f t="shared" si="31"/>
        <v>133016.94</v>
      </c>
      <c r="CC35" s="95"/>
      <c r="CD35" s="95"/>
      <c r="CE35" s="95">
        <f t="shared" si="32"/>
        <v>-3990.5081999999998</v>
      </c>
      <c r="CF35" s="95">
        <f t="shared" si="45"/>
        <v>-1995.2540999999999</v>
      </c>
      <c r="CG35" s="113"/>
      <c r="CH35" s="22"/>
      <c r="CI35" s="98">
        <f t="shared" si="33"/>
        <v>184787.13304799996</v>
      </c>
      <c r="CJ35" s="95">
        <f t="shared" si="34"/>
        <v>-5543.6139914399982</v>
      </c>
      <c r="CK35" s="95">
        <f t="shared" si="46"/>
        <v>-2771.8069957199991</v>
      </c>
      <c r="CL35" s="95">
        <v>0</v>
      </c>
      <c r="CM35" s="99"/>
      <c r="CN35" s="99">
        <v>0</v>
      </c>
      <c r="CO35" s="110"/>
      <c r="CP35" s="99"/>
      <c r="CQ35" s="99"/>
      <c r="CR35" s="99"/>
      <c r="CS35" s="95"/>
      <c r="CT35" s="95"/>
      <c r="CU35" s="96"/>
      <c r="CV35" s="96"/>
      <c r="CW35" s="96"/>
      <c r="CX35" s="96"/>
      <c r="CY35" s="96"/>
      <c r="CZ35" s="93">
        <f t="shared" si="35"/>
        <v>0</v>
      </c>
      <c r="DA35" s="93">
        <f t="shared" si="36"/>
        <v>0</v>
      </c>
      <c r="DB35" s="95">
        <f t="shared" si="37"/>
        <v>303502.88976083993</v>
      </c>
      <c r="DC35" s="100">
        <f t="shared" si="38"/>
        <v>303503</v>
      </c>
      <c r="DD35" s="100"/>
      <c r="DE35" s="100">
        <f t="shared" si="39"/>
        <v>-303503</v>
      </c>
      <c r="DF35" s="13"/>
      <c r="DG35" s="2"/>
      <c r="DH35" s="46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</row>
    <row r="36" spans="1:156" s="1" customFormat="1" ht="12" hidden="1" customHeight="1" x14ac:dyDescent="0.2">
      <c r="A36" s="88">
        <f t="shared" si="3"/>
        <v>509661</v>
      </c>
      <c r="B36" s="21">
        <v>9661</v>
      </c>
      <c r="C36" s="21" t="s">
        <v>98</v>
      </c>
      <c r="D36" s="84" t="s">
        <v>116</v>
      </c>
      <c r="E36" s="115" t="s">
        <v>202</v>
      </c>
      <c r="F36" s="85">
        <v>3</v>
      </c>
      <c r="G36" s="84"/>
      <c r="H36" s="85">
        <v>61</v>
      </c>
      <c r="I36" s="86"/>
      <c r="J36" s="85"/>
      <c r="K36" s="21" t="s">
        <v>10</v>
      </c>
      <c r="L36" s="21"/>
      <c r="M36" s="87"/>
      <c r="N36" s="88"/>
      <c r="O36" s="88">
        <v>24</v>
      </c>
      <c r="P36" s="89">
        <f t="shared" si="40"/>
        <v>5700.7259999999997</v>
      </c>
      <c r="Q36" s="90">
        <f t="shared" si="41"/>
        <v>19002.419999999998</v>
      </c>
      <c r="R36" s="90">
        <f t="shared" si="42"/>
        <v>26397.963600000003</v>
      </c>
      <c r="S36" s="91"/>
      <c r="T36" s="92">
        <v>0</v>
      </c>
      <c r="U36" s="32">
        <f t="shared" si="43"/>
        <v>0</v>
      </c>
      <c r="V36" s="32">
        <v>0</v>
      </c>
      <c r="W36" s="32">
        <v>0</v>
      </c>
      <c r="X36" s="93">
        <v>0</v>
      </c>
      <c r="Y36" s="32">
        <v>0</v>
      </c>
      <c r="Z36" s="32">
        <v>0</v>
      </c>
      <c r="AA36" s="32">
        <v>0</v>
      </c>
      <c r="AB36" s="32">
        <v>0</v>
      </c>
      <c r="AC36" s="32">
        <v>0</v>
      </c>
      <c r="AD36" s="93">
        <v>0</v>
      </c>
      <c r="AE36" s="32">
        <v>0</v>
      </c>
      <c r="AF36" s="32">
        <v>0</v>
      </c>
      <c r="AG36" s="32">
        <v>0</v>
      </c>
      <c r="AH36" s="93">
        <v>0</v>
      </c>
      <c r="AI36" s="93">
        <v>0</v>
      </c>
      <c r="AJ36" s="93">
        <v>0</v>
      </c>
      <c r="AK36" s="32">
        <v>0</v>
      </c>
      <c r="AL36" s="32">
        <v>0</v>
      </c>
      <c r="AM36" s="32">
        <v>0</v>
      </c>
      <c r="AN36" s="32">
        <v>0</v>
      </c>
      <c r="AO36" s="32">
        <v>0</v>
      </c>
      <c r="AP36" s="32">
        <v>0</v>
      </c>
      <c r="AQ36" s="32">
        <v>0</v>
      </c>
      <c r="AR36" s="32">
        <v>0</v>
      </c>
      <c r="AS36" s="32">
        <v>0</v>
      </c>
      <c r="AT36" s="32">
        <v>0</v>
      </c>
      <c r="AU36" s="94">
        <f t="shared" si="7"/>
        <v>0</v>
      </c>
      <c r="AV36" s="95">
        <f t="shared" si="8"/>
        <v>0</v>
      </c>
      <c r="AW36" s="95">
        <f t="shared" si="9"/>
        <v>0</v>
      </c>
      <c r="AX36" s="95">
        <f t="shared" si="10"/>
        <v>0</v>
      </c>
      <c r="AY36" s="95">
        <f t="shared" si="11"/>
        <v>0</v>
      </c>
      <c r="AZ36" s="95">
        <f t="shared" si="12"/>
        <v>0</v>
      </c>
      <c r="BA36" s="95">
        <f t="shared" si="13"/>
        <v>0</v>
      </c>
      <c r="BB36" s="95">
        <f t="shared" si="14"/>
        <v>0</v>
      </c>
      <c r="BC36" s="96">
        <f t="shared" si="15"/>
        <v>0</v>
      </c>
      <c r="BD36" s="96">
        <f t="shared" si="16"/>
        <v>0</v>
      </c>
      <c r="BE36" s="96">
        <f t="shared" si="17"/>
        <v>0</v>
      </c>
      <c r="BF36" s="96">
        <f t="shared" si="18"/>
        <v>0</v>
      </c>
      <c r="BG36" s="96">
        <f t="shared" si="19"/>
        <v>0</v>
      </c>
      <c r="BH36" s="96">
        <f t="shared" si="20"/>
        <v>0</v>
      </c>
      <c r="BI36" s="96">
        <f t="shared" si="21"/>
        <v>0</v>
      </c>
      <c r="BJ36" s="96">
        <f t="shared" si="22"/>
        <v>0</v>
      </c>
      <c r="BK36" s="96">
        <f t="shared" si="23"/>
        <v>0</v>
      </c>
      <c r="BL36" s="96">
        <f t="shared" si="24"/>
        <v>0</v>
      </c>
      <c r="BM36" s="96">
        <f t="shared" si="25"/>
        <v>0</v>
      </c>
      <c r="BN36" s="96"/>
      <c r="BO36" s="95"/>
      <c r="BP36" s="95">
        <f t="shared" si="26"/>
        <v>0</v>
      </c>
      <c r="BQ36" s="95"/>
      <c r="BR36" s="95"/>
      <c r="BS36" s="95">
        <f t="shared" si="27"/>
        <v>0</v>
      </c>
      <c r="BT36" s="95">
        <f t="shared" si="28"/>
        <v>0</v>
      </c>
      <c r="BU36" s="95">
        <f t="shared" si="29"/>
        <v>0</v>
      </c>
      <c r="BV36" s="95">
        <f t="shared" si="30"/>
        <v>0</v>
      </c>
      <c r="BW36" s="95"/>
      <c r="BX36" s="95"/>
      <c r="BY36" s="95"/>
      <c r="BZ36" s="95"/>
      <c r="CA36" s="95">
        <f t="shared" si="44"/>
        <v>0</v>
      </c>
      <c r="CB36" s="97">
        <f t="shared" si="31"/>
        <v>0</v>
      </c>
      <c r="CC36" s="95"/>
      <c r="CD36" s="95"/>
      <c r="CE36" s="95">
        <f t="shared" si="32"/>
        <v>0</v>
      </c>
      <c r="CF36" s="95">
        <f t="shared" si="45"/>
        <v>0</v>
      </c>
      <c r="CG36" s="113"/>
      <c r="CH36" s="22"/>
      <c r="CI36" s="98">
        <f t="shared" si="33"/>
        <v>0</v>
      </c>
      <c r="CJ36" s="95">
        <f t="shared" si="34"/>
        <v>0</v>
      </c>
      <c r="CK36" s="95">
        <f t="shared" si="46"/>
        <v>0</v>
      </c>
      <c r="CL36" s="95">
        <v>0</v>
      </c>
      <c r="CM36" s="99"/>
      <c r="CN36" s="99">
        <v>0</v>
      </c>
      <c r="CO36" s="110"/>
      <c r="CP36" s="99"/>
      <c r="CQ36" s="99"/>
      <c r="CR36" s="99"/>
      <c r="CS36" s="95"/>
      <c r="CT36" s="95"/>
      <c r="CU36" s="96"/>
      <c r="CV36" s="96"/>
      <c r="CW36" s="96"/>
      <c r="CX36" s="96"/>
      <c r="CY36" s="96"/>
      <c r="CZ36" s="93">
        <f t="shared" si="35"/>
        <v>0</v>
      </c>
      <c r="DA36" s="93">
        <f t="shared" si="36"/>
        <v>0</v>
      </c>
      <c r="DB36" s="95">
        <f t="shared" si="37"/>
        <v>0</v>
      </c>
      <c r="DC36" s="100">
        <f t="shared" si="38"/>
        <v>0</v>
      </c>
      <c r="DD36" s="100"/>
      <c r="DE36" s="100">
        <f t="shared" si="39"/>
        <v>0</v>
      </c>
      <c r="DF36" s="13"/>
      <c r="DG36" s="2"/>
      <c r="DH36" s="46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</row>
    <row r="37" spans="1:156" s="1" customFormat="1" ht="12" hidden="1" customHeight="1" x14ac:dyDescent="0.2">
      <c r="A37" s="88">
        <f t="shared" si="3"/>
        <v>509662</v>
      </c>
      <c r="B37" s="21">
        <v>9662</v>
      </c>
      <c r="C37" s="21" t="s">
        <v>98</v>
      </c>
      <c r="D37" s="84" t="s">
        <v>117</v>
      </c>
      <c r="E37" s="114" t="s">
        <v>201</v>
      </c>
      <c r="F37" s="101">
        <v>1</v>
      </c>
      <c r="G37" s="84"/>
      <c r="H37" s="85"/>
      <c r="I37" s="86"/>
      <c r="J37" s="85"/>
      <c r="K37" s="21" t="s">
        <v>8</v>
      </c>
      <c r="L37" s="21"/>
      <c r="M37" s="87"/>
      <c r="N37" s="88"/>
      <c r="O37" s="88">
        <v>21</v>
      </c>
      <c r="P37" s="89">
        <f t="shared" si="40"/>
        <v>5401.2359999999999</v>
      </c>
      <c r="Q37" s="90">
        <f t="shared" si="41"/>
        <v>18004.12</v>
      </c>
      <c r="R37" s="90">
        <f t="shared" si="42"/>
        <v>25011.1211</v>
      </c>
      <c r="S37" s="91"/>
      <c r="T37" s="92">
        <v>0</v>
      </c>
      <c r="U37" s="32">
        <f t="shared" si="43"/>
        <v>0</v>
      </c>
      <c r="V37" s="32">
        <v>0</v>
      </c>
      <c r="W37" s="32">
        <v>0</v>
      </c>
      <c r="X37" s="93">
        <v>0</v>
      </c>
      <c r="Y37" s="32">
        <v>0</v>
      </c>
      <c r="Z37" s="32">
        <v>0</v>
      </c>
      <c r="AA37" s="32">
        <v>0</v>
      </c>
      <c r="AB37" s="32">
        <v>0</v>
      </c>
      <c r="AC37" s="32">
        <v>0</v>
      </c>
      <c r="AD37" s="93">
        <v>0</v>
      </c>
      <c r="AE37" s="32">
        <v>0</v>
      </c>
      <c r="AF37" s="32">
        <v>0</v>
      </c>
      <c r="AG37" s="32">
        <v>0</v>
      </c>
      <c r="AH37" s="93">
        <v>0</v>
      </c>
      <c r="AI37" s="93">
        <v>0</v>
      </c>
      <c r="AJ37" s="93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2">
        <v>0</v>
      </c>
      <c r="AU37" s="94">
        <f t="shared" si="7"/>
        <v>0</v>
      </c>
      <c r="AV37" s="95">
        <f t="shared" si="8"/>
        <v>0</v>
      </c>
      <c r="AW37" s="95">
        <f t="shared" si="9"/>
        <v>0</v>
      </c>
      <c r="AX37" s="95">
        <f t="shared" si="10"/>
        <v>0</v>
      </c>
      <c r="AY37" s="95">
        <f t="shared" si="11"/>
        <v>0</v>
      </c>
      <c r="AZ37" s="95">
        <f t="shared" si="12"/>
        <v>0</v>
      </c>
      <c r="BA37" s="95">
        <f t="shared" si="13"/>
        <v>0</v>
      </c>
      <c r="BB37" s="95">
        <f t="shared" si="14"/>
        <v>0</v>
      </c>
      <c r="BC37" s="96">
        <f t="shared" si="15"/>
        <v>0</v>
      </c>
      <c r="BD37" s="96">
        <f t="shared" si="16"/>
        <v>0</v>
      </c>
      <c r="BE37" s="96">
        <f t="shared" si="17"/>
        <v>0</v>
      </c>
      <c r="BF37" s="96">
        <f t="shared" si="18"/>
        <v>0</v>
      </c>
      <c r="BG37" s="96">
        <f t="shared" si="19"/>
        <v>0</v>
      </c>
      <c r="BH37" s="96">
        <f t="shared" si="20"/>
        <v>0</v>
      </c>
      <c r="BI37" s="96">
        <f t="shared" si="21"/>
        <v>0</v>
      </c>
      <c r="BJ37" s="96">
        <f t="shared" si="22"/>
        <v>0</v>
      </c>
      <c r="BK37" s="96">
        <f t="shared" si="23"/>
        <v>0</v>
      </c>
      <c r="BL37" s="96">
        <f t="shared" si="24"/>
        <v>0</v>
      </c>
      <c r="BM37" s="96">
        <f t="shared" si="25"/>
        <v>0</v>
      </c>
      <c r="BN37" s="96"/>
      <c r="BO37" s="95"/>
      <c r="BP37" s="95">
        <f t="shared" si="26"/>
        <v>0</v>
      </c>
      <c r="BQ37" s="95"/>
      <c r="BR37" s="95"/>
      <c r="BS37" s="95">
        <f t="shared" si="27"/>
        <v>0</v>
      </c>
      <c r="BT37" s="95">
        <f t="shared" si="28"/>
        <v>0</v>
      </c>
      <c r="BU37" s="95">
        <f t="shared" si="29"/>
        <v>0</v>
      </c>
      <c r="BV37" s="95">
        <f t="shared" si="30"/>
        <v>0</v>
      </c>
      <c r="BW37" s="95"/>
      <c r="BX37" s="95"/>
      <c r="BY37" s="95"/>
      <c r="BZ37" s="95"/>
      <c r="CA37" s="95">
        <f t="shared" si="44"/>
        <v>0</v>
      </c>
      <c r="CB37" s="97">
        <f t="shared" si="31"/>
        <v>0</v>
      </c>
      <c r="CC37" s="95"/>
      <c r="CD37" s="95"/>
      <c r="CE37" s="95">
        <f t="shared" si="32"/>
        <v>0</v>
      </c>
      <c r="CF37" s="95">
        <f t="shared" si="45"/>
        <v>0</v>
      </c>
      <c r="CG37" s="113"/>
      <c r="CH37" s="22"/>
      <c r="CI37" s="98">
        <f t="shared" si="33"/>
        <v>0</v>
      </c>
      <c r="CJ37" s="95">
        <f t="shared" si="34"/>
        <v>0</v>
      </c>
      <c r="CK37" s="95">
        <f t="shared" si="46"/>
        <v>0</v>
      </c>
      <c r="CL37" s="95">
        <v>0</v>
      </c>
      <c r="CM37" s="99"/>
      <c r="CN37" s="99">
        <v>0</v>
      </c>
      <c r="CO37" s="110"/>
      <c r="CP37" s="99"/>
      <c r="CQ37" s="99"/>
      <c r="CR37" s="99"/>
      <c r="CS37" s="95"/>
      <c r="CT37" s="95"/>
      <c r="CU37" s="96"/>
      <c r="CV37" s="96"/>
      <c r="CW37" s="96"/>
      <c r="CX37" s="96"/>
      <c r="CY37" s="96"/>
      <c r="CZ37" s="93">
        <f t="shared" si="35"/>
        <v>0</v>
      </c>
      <c r="DA37" s="93">
        <f t="shared" si="36"/>
        <v>0</v>
      </c>
      <c r="DB37" s="95">
        <f t="shared" si="37"/>
        <v>0</v>
      </c>
      <c r="DC37" s="100">
        <f t="shared" si="38"/>
        <v>0</v>
      </c>
      <c r="DD37" s="100"/>
      <c r="DE37" s="100">
        <f t="shared" si="39"/>
        <v>0</v>
      </c>
      <c r="DF37" s="13"/>
      <c r="DG37" s="2"/>
      <c r="DH37" s="46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</row>
    <row r="38" spans="1:156" s="1" customFormat="1" ht="12" hidden="1" customHeight="1" x14ac:dyDescent="0.2">
      <c r="A38" s="88">
        <f t="shared" si="3"/>
        <v>509663</v>
      </c>
      <c r="B38" s="21">
        <v>9663</v>
      </c>
      <c r="C38" s="21" t="s">
        <v>98</v>
      </c>
      <c r="D38" s="84" t="s">
        <v>118</v>
      </c>
      <c r="E38" s="115" t="s">
        <v>202</v>
      </c>
      <c r="F38" s="85">
        <v>0</v>
      </c>
      <c r="G38" s="84"/>
      <c r="H38" s="85">
        <v>65</v>
      </c>
      <c r="I38" s="86"/>
      <c r="J38" s="85"/>
      <c r="K38" s="21" t="s">
        <v>8</v>
      </c>
      <c r="L38" s="21"/>
      <c r="M38" s="87"/>
      <c r="N38" s="88"/>
      <c r="O38" s="88">
        <v>19</v>
      </c>
      <c r="P38" s="89">
        <f t="shared" si="40"/>
        <v>5401.2359999999999</v>
      </c>
      <c r="Q38" s="90">
        <f t="shared" si="41"/>
        <v>18004.12</v>
      </c>
      <c r="R38" s="90">
        <f t="shared" si="42"/>
        <v>25011.1211</v>
      </c>
      <c r="S38" s="91"/>
      <c r="T38" s="92">
        <v>0</v>
      </c>
      <c r="U38" s="32">
        <f t="shared" si="43"/>
        <v>0</v>
      </c>
      <c r="V38" s="32">
        <v>0</v>
      </c>
      <c r="W38" s="32">
        <v>0</v>
      </c>
      <c r="X38" s="93">
        <v>0</v>
      </c>
      <c r="Y38" s="32">
        <v>0</v>
      </c>
      <c r="Z38" s="32">
        <v>0</v>
      </c>
      <c r="AA38" s="32">
        <v>0</v>
      </c>
      <c r="AB38" s="32">
        <v>0</v>
      </c>
      <c r="AC38" s="32">
        <v>0</v>
      </c>
      <c r="AD38" s="93">
        <v>0</v>
      </c>
      <c r="AE38" s="32">
        <v>0</v>
      </c>
      <c r="AF38" s="32">
        <v>0</v>
      </c>
      <c r="AG38" s="32">
        <v>0</v>
      </c>
      <c r="AH38" s="93">
        <v>0</v>
      </c>
      <c r="AI38" s="93">
        <v>0</v>
      </c>
      <c r="AJ38" s="93">
        <v>0</v>
      </c>
      <c r="AK38" s="32">
        <v>0</v>
      </c>
      <c r="AL38" s="32">
        <v>0</v>
      </c>
      <c r="AM38" s="32">
        <v>0</v>
      </c>
      <c r="AN38" s="32">
        <v>0</v>
      </c>
      <c r="AO38" s="32">
        <v>0</v>
      </c>
      <c r="AP38" s="32">
        <v>0</v>
      </c>
      <c r="AQ38" s="32">
        <v>0</v>
      </c>
      <c r="AR38" s="32">
        <v>0</v>
      </c>
      <c r="AS38" s="32">
        <v>0</v>
      </c>
      <c r="AT38" s="32">
        <v>0</v>
      </c>
      <c r="AU38" s="94">
        <f t="shared" si="7"/>
        <v>0</v>
      </c>
      <c r="AV38" s="95">
        <f t="shared" si="8"/>
        <v>0</v>
      </c>
      <c r="AW38" s="95">
        <f t="shared" si="9"/>
        <v>0</v>
      </c>
      <c r="AX38" s="95">
        <f t="shared" si="10"/>
        <v>0</v>
      </c>
      <c r="AY38" s="95">
        <f t="shared" si="11"/>
        <v>0</v>
      </c>
      <c r="AZ38" s="95">
        <f t="shared" si="12"/>
        <v>0</v>
      </c>
      <c r="BA38" s="95">
        <f t="shared" si="13"/>
        <v>0</v>
      </c>
      <c r="BB38" s="95">
        <f t="shared" si="14"/>
        <v>0</v>
      </c>
      <c r="BC38" s="96">
        <f t="shared" si="15"/>
        <v>0</v>
      </c>
      <c r="BD38" s="96">
        <f t="shared" si="16"/>
        <v>0</v>
      </c>
      <c r="BE38" s="96">
        <f t="shared" si="17"/>
        <v>0</v>
      </c>
      <c r="BF38" s="96">
        <f t="shared" si="18"/>
        <v>0</v>
      </c>
      <c r="BG38" s="96">
        <f t="shared" si="19"/>
        <v>0</v>
      </c>
      <c r="BH38" s="96">
        <f t="shared" si="20"/>
        <v>0</v>
      </c>
      <c r="BI38" s="96">
        <f t="shared" si="21"/>
        <v>0</v>
      </c>
      <c r="BJ38" s="96">
        <f t="shared" si="22"/>
        <v>0</v>
      </c>
      <c r="BK38" s="96">
        <f t="shared" si="23"/>
        <v>0</v>
      </c>
      <c r="BL38" s="96">
        <f t="shared" si="24"/>
        <v>0</v>
      </c>
      <c r="BM38" s="96">
        <f t="shared" si="25"/>
        <v>0</v>
      </c>
      <c r="BN38" s="96"/>
      <c r="BO38" s="95"/>
      <c r="BP38" s="95">
        <f t="shared" si="26"/>
        <v>0</v>
      </c>
      <c r="BQ38" s="95"/>
      <c r="BR38" s="95"/>
      <c r="BS38" s="95">
        <f t="shared" si="27"/>
        <v>0</v>
      </c>
      <c r="BT38" s="95">
        <f t="shared" si="28"/>
        <v>0</v>
      </c>
      <c r="BU38" s="95">
        <f t="shared" si="29"/>
        <v>0</v>
      </c>
      <c r="BV38" s="95">
        <f t="shared" si="30"/>
        <v>0</v>
      </c>
      <c r="BW38" s="95"/>
      <c r="BX38" s="95"/>
      <c r="BY38" s="95"/>
      <c r="BZ38" s="95"/>
      <c r="CA38" s="95">
        <f t="shared" si="44"/>
        <v>0</v>
      </c>
      <c r="CB38" s="97">
        <f t="shared" si="31"/>
        <v>0</v>
      </c>
      <c r="CC38" s="95"/>
      <c r="CD38" s="95"/>
      <c r="CE38" s="95">
        <f t="shared" si="32"/>
        <v>0</v>
      </c>
      <c r="CF38" s="95">
        <f t="shared" si="45"/>
        <v>0</v>
      </c>
      <c r="CG38" s="113"/>
      <c r="CH38" s="22"/>
      <c r="CI38" s="98">
        <f t="shared" si="33"/>
        <v>0</v>
      </c>
      <c r="CJ38" s="95">
        <f t="shared" si="34"/>
        <v>0</v>
      </c>
      <c r="CK38" s="95">
        <f t="shared" si="46"/>
        <v>0</v>
      </c>
      <c r="CL38" s="95">
        <v>0</v>
      </c>
      <c r="CM38" s="99"/>
      <c r="CN38" s="99">
        <v>0</v>
      </c>
      <c r="CO38" s="110"/>
      <c r="CP38" s="99"/>
      <c r="CQ38" s="99"/>
      <c r="CR38" s="99"/>
      <c r="CS38" s="95"/>
      <c r="CT38" s="95"/>
      <c r="CU38" s="96"/>
      <c r="CV38" s="96"/>
      <c r="CW38" s="96"/>
      <c r="CX38" s="96"/>
      <c r="CY38" s="96"/>
      <c r="CZ38" s="93">
        <f t="shared" si="35"/>
        <v>0</v>
      </c>
      <c r="DA38" s="93">
        <f t="shared" si="36"/>
        <v>0</v>
      </c>
      <c r="DB38" s="95">
        <f t="shared" si="37"/>
        <v>0</v>
      </c>
      <c r="DC38" s="100">
        <f t="shared" si="38"/>
        <v>0</v>
      </c>
      <c r="DD38" s="100"/>
      <c r="DE38" s="100">
        <f t="shared" si="39"/>
        <v>0</v>
      </c>
      <c r="DF38" s="13"/>
      <c r="DG38" s="2"/>
      <c r="DH38" s="46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</row>
    <row r="39" spans="1:156" s="1" customFormat="1" ht="12" hidden="1" customHeight="1" x14ac:dyDescent="0.2">
      <c r="A39" s="88">
        <f t="shared" si="3"/>
        <v>509857</v>
      </c>
      <c r="B39" s="21">
        <v>9857</v>
      </c>
      <c r="C39" s="21" t="s">
        <v>98</v>
      </c>
      <c r="D39" s="84" t="s">
        <v>189</v>
      </c>
      <c r="E39" s="115" t="s">
        <v>202</v>
      </c>
      <c r="F39" s="85">
        <v>0</v>
      </c>
      <c r="G39" s="84"/>
      <c r="H39" s="85"/>
      <c r="I39" s="86"/>
      <c r="J39" s="85"/>
      <c r="K39" s="21" t="s">
        <v>10</v>
      </c>
      <c r="L39" s="21"/>
      <c r="M39" s="87"/>
      <c r="N39" s="88"/>
      <c r="O39" s="88">
        <v>0</v>
      </c>
      <c r="P39" s="89">
        <f t="shared" si="40"/>
        <v>5700.7259999999997</v>
      </c>
      <c r="Q39" s="90">
        <f t="shared" si="41"/>
        <v>19002.419999999998</v>
      </c>
      <c r="R39" s="90">
        <f t="shared" si="42"/>
        <v>26397.963600000003</v>
      </c>
      <c r="S39" s="91"/>
      <c r="T39" s="92">
        <v>0</v>
      </c>
      <c r="U39" s="32">
        <f t="shared" si="43"/>
        <v>0</v>
      </c>
      <c r="V39" s="32">
        <v>0</v>
      </c>
      <c r="W39" s="32">
        <v>0</v>
      </c>
      <c r="X39" s="93">
        <v>0</v>
      </c>
      <c r="Y39" s="32">
        <v>0</v>
      </c>
      <c r="Z39" s="32">
        <v>0</v>
      </c>
      <c r="AA39" s="32">
        <v>0</v>
      </c>
      <c r="AB39" s="32">
        <v>0</v>
      </c>
      <c r="AC39" s="32">
        <v>0</v>
      </c>
      <c r="AD39" s="93">
        <v>0</v>
      </c>
      <c r="AE39" s="32">
        <v>0</v>
      </c>
      <c r="AF39" s="32">
        <v>0</v>
      </c>
      <c r="AG39" s="32">
        <v>0</v>
      </c>
      <c r="AH39" s="93">
        <v>0</v>
      </c>
      <c r="AI39" s="93">
        <v>0</v>
      </c>
      <c r="AJ39" s="93">
        <v>0</v>
      </c>
      <c r="AK39" s="32">
        <v>0</v>
      </c>
      <c r="AL39" s="32">
        <v>0</v>
      </c>
      <c r="AM39" s="32">
        <v>0</v>
      </c>
      <c r="AN39" s="32">
        <v>0</v>
      </c>
      <c r="AO39" s="32">
        <v>0</v>
      </c>
      <c r="AP39" s="32">
        <v>0</v>
      </c>
      <c r="AQ39" s="32">
        <v>0</v>
      </c>
      <c r="AR39" s="32">
        <v>0</v>
      </c>
      <c r="AS39" s="32">
        <v>0</v>
      </c>
      <c r="AT39" s="32">
        <v>0</v>
      </c>
      <c r="AU39" s="94">
        <f t="shared" si="7"/>
        <v>0</v>
      </c>
      <c r="AV39" s="95">
        <f t="shared" si="8"/>
        <v>0</v>
      </c>
      <c r="AW39" s="95">
        <f t="shared" si="9"/>
        <v>0</v>
      </c>
      <c r="AX39" s="95">
        <f t="shared" si="10"/>
        <v>0</v>
      </c>
      <c r="AY39" s="95">
        <f t="shared" si="11"/>
        <v>0</v>
      </c>
      <c r="AZ39" s="95">
        <f t="shared" si="12"/>
        <v>0</v>
      </c>
      <c r="BA39" s="95">
        <f t="shared" si="13"/>
        <v>0</v>
      </c>
      <c r="BB39" s="95">
        <f t="shared" si="14"/>
        <v>0</v>
      </c>
      <c r="BC39" s="96">
        <f t="shared" si="15"/>
        <v>0</v>
      </c>
      <c r="BD39" s="96">
        <f t="shared" si="16"/>
        <v>0</v>
      </c>
      <c r="BE39" s="96">
        <f t="shared" si="17"/>
        <v>0</v>
      </c>
      <c r="BF39" s="96">
        <f t="shared" si="18"/>
        <v>0</v>
      </c>
      <c r="BG39" s="96">
        <f t="shared" si="19"/>
        <v>0</v>
      </c>
      <c r="BH39" s="96">
        <f t="shared" si="20"/>
        <v>0</v>
      </c>
      <c r="BI39" s="96">
        <f t="shared" si="21"/>
        <v>0</v>
      </c>
      <c r="BJ39" s="96">
        <f t="shared" si="22"/>
        <v>0</v>
      </c>
      <c r="BK39" s="96">
        <f t="shared" si="23"/>
        <v>0</v>
      </c>
      <c r="BL39" s="96">
        <f t="shared" si="24"/>
        <v>0</v>
      </c>
      <c r="BM39" s="96">
        <f t="shared" si="25"/>
        <v>0</v>
      </c>
      <c r="BN39" s="96"/>
      <c r="BO39" s="95"/>
      <c r="BP39" s="95">
        <f t="shared" si="26"/>
        <v>0</v>
      </c>
      <c r="BQ39" s="95"/>
      <c r="BR39" s="95"/>
      <c r="BS39" s="95">
        <f t="shared" si="27"/>
        <v>0</v>
      </c>
      <c r="BT39" s="95">
        <f t="shared" si="28"/>
        <v>0</v>
      </c>
      <c r="BU39" s="95">
        <f t="shared" si="29"/>
        <v>0</v>
      </c>
      <c r="BV39" s="95">
        <f t="shared" si="30"/>
        <v>0</v>
      </c>
      <c r="BW39" s="95"/>
      <c r="BX39" s="95"/>
      <c r="BY39" s="95"/>
      <c r="BZ39" s="95"/>
      <c r="CA39" s="95">
        <f t="shared" si="44"/>
        <v>0</v>
      </c>
      <c r="CB39" s="97">
        <f t="shared" si="31"/>
        <v>0</v>
      </c>
      <c r="CC39" s="95"/>
      <c r="CD39" s="95"/>
      <c r="CE39" s="95">
        <f t="shared" si="32"/>
        <v>0</v>
      </c>
      <c r="CF39" s="95">
        <f t="shared" si="45"/>
        <v>0</v>
      </c>
      <c r="CG39" s="113"/>
      <c r="CH39" s="22"/>
      <c r="CI39" s="98">
        <f t="shared" si="33"/>
        <v>0</v>
      </c>
      <c r="CJ39" s="95">
        <f t="shared" si="34"/>
        <v>0</v>
      </c>
      <c r="CK39" s="95">
        <f t="shared" si="46"/>
        <v>0</v>
      </c>
      <c r="CL39" s="95">
        <v>0</v>
      </c>
      <c r="CM39" s="99"/>
      <c r="CN39" s="99">
        <v>0</v>
      </c>
      <c r="CO39" s="110"/>
      <c r="CP39" s="99"/>
      <c r="CQ39" s="99"/>
      <c r="CR39" s="99"/>
      <c r="CS39" s="95"/>
      <c r="CT39" s="95"/>
      <c r="CU39" s="96"/>
      <c r="CV39" s="96"/>
      <c r="CW39" s="96"/>
      <c r="CX39" s="96"/>
      <c r="CY39" s="96"/>
      <c r="CZ39" s="93">
        <f t="shared" si="35"/>
        <v>0</v>
      </c>
      <c r="DA39" s="93">
        <f t="shared" si="36"/>
        <v>0</v>
      </c>
      <c r="DB39" s="95">
        <f t="shared" si="37"/>
        <v>0</v>
      </c>
      <c r="DC39" s="100">
        <f t="shared" si="38"/>
        <v>0</v>
      </c>
      <c r="DD39" s="100"/>
      <c r="DE39" s="100">
        <f t="shared" si="39"/>
        <v>0</v>
      </c>
      <c r="DF39" s="13"/>
      <c r="DG39" s="2"/>
      <c r="DH39" s="46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</row>
    <row r="40" spans="1:156" s="1" customFormat="1" ht="12" hidden="1" customHeight="1" x14ac:dyDescent="0.2">
      <c r="A40" s="88">
        <f t="shared" si="3"/>
        <v>509665</v>
      </c>
      <c r="B40" s="21">
        <v>9665</v>
      </c>
      <c r="C40" s="21" t="s">
        <v>98</v>
      </c>
      <c r="D40" s="84" t="s">
        <v>119</v>
      </c>
      <c r="E40" s="115" t="s">
        <v>202</v>
      </c>
      <c r="F40" s="85">
        <v>3</v>
      </c>
      <c r="G40" s="84"/>
      <c r="H40" s="85"/>
      <c r="I40" s="86"/>
      <c r="J40" s="85"/>
      <c r="K40" s="21" t="s">
        <v>10</v>
      </c>
      <c r="L40" s="21"/>
      <c r="M40" s="87"/>
      <c r="N40" s="88"/>
      <c r="O40" s="88">
        <v>7</v>
      </c>
      <c r="P40" s="89">
        <f t="shared" si="40"/>
        <v>5700.7259999999997</v>
      </c>
      <c r="Q40" s="90">
        <f t="shared" si="41"/>
        <v>19002.419999999998</v>
      </c>
      <c r="R40" s="90">
        <f t="shared" si="42"/>
        <v>26397.963600000003</v>
      </c>
      <c r="S40" s="91"/>
      <c r="T40" s="92">
        <v>0</v>
      </c>
      <c r="U40" s="32">
        <f t="shared" si="43"/>
        <v>0</v>
      </c>
      <c r="V40" s="32">
        <v>0</v>
      </c>
      <c r="W40" s="32">
        <v>0</v>
      </c>
      <c r="X40" s="93">
        <v>0</v>
      </c>
      <c r="Y40" s="32">
        <v>0</v>
      </c>
      <c r="Z40" s="32">
        <v>0</v>
      </c>
      <c r="AA40" s="32">
        <v>0</v>
      </c>
      <c r="AB40" s="32">
        <v>0</v>
      </c>
      <c r="AC40" s="32">
        <v>0</v>
      </c>
      <c r="AD40" s="93">
        <v>0</v>
      </c>
      <c r="AE40" s="32">
        <v>0</v>
      </c>
      <c r="AF40" s="32">
        <v>0</v>
      </c>
      <c r="AG40" s="32">
        <v>0</v>
      </c>
      <c r="AH40" s="93">
        <v>0</v>
      </c>
      <c r="AI40" s="93">
        <v>0</v>
      </c>
      <c r="AJ40" s="93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2">
        <v>0</v>
      </c>
      <c r="AU40" s="94">
        <f t="shared" si="7"/>
        <v>0</v>
      </c>
      <c r="AV40" s="95">
        <f t="shared" si="8"/>
        <v>0</v>
      </c>
      <c r="AW40" s="95">
        <f t="shared" si="9"/>
        <v>0</v>
      </c>
      <c r="AX40" s="95">
        <f t="shared" si="10"/>
        <v>0</v>
      </c>
      <c r="AY40" s="95">
        <f t="shared" si="11"/>
        <v>0</v>
      </c>
      <c r="AZ40" s="95">
        <f t="shared" si="12"/>
        <v>0</v>
      </c>
      <c r="BA40" s="95">
        <f t="shared" si="13"/>
        <v>0</v>
      </c>
      <c r="BB40" s="95">
        <f t="shared" si="14"/>
        <v>0</v>
      </c>
      <c r="BC40" s="96">
        <f t="shared" si="15"/>
        <v>0</v>
      </c>
      <c r="BD40" s="96">
        <f t="shared" si="16"/>
        <v>0</v>
      </c>
      <c r="BE40" s="96">
        <f t="shared" si="17"/>
        <v>0</v>
      </c>
      <c r="BF40" s="96">
        <f t="shared" si="18"/>
        <v>0</v>
      </c>
      <c r="BG40" s="96">
        <f t="shared" si="19"/>
        <v>0</v>
      </c>
      <c r="BH40" s="96">
        <f t="shared" si="20"/>
        <v>0</v>
      </c>
      <c r="BI40" s="96">
        <f t="shared" si="21"/>
        <v>0</v>
      </c>
      <c r="BJ40" s="96">
        <f t="shared" si="22"/>
        <v>0</v>
      </c>
      <c r="BK40" s="96">
        <f t="shared" si="23"/>
        <v>0</v>
      </c>
      <c r="BL40" s="96">
        <f t="shared" si="24"/>
        <v>0</v>
      </c>
      <c r="BM40" s="96">
        <f t="shared" si="25"/>
        <v>0</v>
      </c>
      <c r="BN40" s="96"/>
      <c r="BO40" s="95"/>
      <c r="BP40" s="95">
        <f t="shared" si="26"/>
        <v>0</v>
      </c>
      <c r="BQ40" s="95"/>
      <c r="BR40" s="95"/>
      <c r="BS40" s="95">
        <f t="shared" si="27"/>
        <v>0</v>
      </c>
      <c r="BT40" s="95">
        <f t="shared" si="28"/>
        <v>0</v>
      </c>
      <c r="BU40" s="95">
        <f t="shared" si="29"/>
        <v>0</v>
      </c>
      <c r="BV40" s="95">
        <f t="shared" si="30"/>
        <v>0</v>
      </c>
      <c r="BW40" s="95"/>
      <c r="BX40" s="95"/>
      <c r="BY40" s="95"/>
      <c r="BZ40" s="95"/>
      <c r="CA40" s="95">
        <f t="shared" si="44"/>
        <v>0</v>
      </c>
      <c r="CB40" s="97">
        <f t="shared" si="31"/>
        <v>0</v>
      </c>
      <c r="CC40" s="95"/>
      <c r="CD40" s="95"/>
      <c r="CE40" s="95">
        <f t="shared" si="32"/>
        <v>0</v>
      </c>
      <c r="CF40" s="95">
        <f t="shared" si="45"/>
        <v>0</v>
      </c>
      <c r="CG40" s="113"/>
      <c r="CH40" s="22"/>
      <c r="CI40" s="98">
        <f t="shared" si="33"/>
        <v>0</v>
      </c>
      <c r="CJ40" s="95">
        <f t="shared" si="34"/>
        <v>0</v>
      </c>
      <c r="CK40" s="95">
        <f t="shared" si="46"/>
        <v>0</v>
      </c>
      <c r="CL40" s="95">
        <v>0</v>
      </c>
      <c r="CM40" s="99"/>
      <c r="CN40" s="99">
        <v>0</v>
      </c>
      <c r="CO40" s="110"/>
      <c r="CP40" s="99"/>
      <c r="CQ40" s="99"/>
      <c r="CR40" s="99"/>
      <c r="CS40" s="95"/>
      <c r="CT40" s="95"/>
      <c r="CU40" s="96"/>
      <c r="CV40" s="96"/>
      <c r="CW40" s="96"/>
      <c r="CX40" s="96"/>
      <c r="CY40" s="96"/>
      <c r="CZ40" s="93">
        <f t="shared" si="35"/>
        <v>0</v>
      </c>
      <c r="DA40" s="93">
        <f t="shared" si="36"/>
        <v>0</v>
      </c>
      <c r="DB40" s="95">
        <f t="shared" si="37"/>
        <v>0</v>
      </c>
      <c r="DC40" s="100">
        <f t="shared" si="38"/>
        <v>0</v>
      </c>
      <c r="DD40" s="100"/>
      <c r="DE40" s="100">
        <f t="shared" si="39"/>
        <v>0</v>
      </c>
      <c r="DF40" s="13"/>
      <c r="DG40" s="2"/>
      <c r="DH40" s="46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</row>
    <row r="41" spans="1:156" s="1" customFormat="1" ht="12" hidden="1" customHeight="1" x14ac:dyDescent="0.2">
      <c r="A41" s="88">
        <f t="shared" si="3"/>
        <v>509649</v>
      </c>
      <c r="B41" s="21">
        <v>9649</v>
      </c>
      <c r="C41" s="21" t="s">
        <v>98</v>
      </c>
      <c r="D41" s="84" t="s">
        <v>109</v>
      </c>
      <c r="E41" s="114" t="s">
        <v>201</v>
      </c>
      <c r="F41" s="85">
        <v>3</v>
      </c>
      <c r="G41" s="84"/>
      <c r="H41" s="85"/>
      <c r="I41" s="86"/>
      <c r="J41" s="85"/>
      <c r="K41" s="21" t="s">
        <v>10</v>
      </c>
      <c r="L41" s="21"/>
      <c r="M41" s="87"/>
      <c r="N41" s="88"/>
      <c r="O41" s="88">
        <v>8</v>
      </c>
      <c r="P41" s="89">
        <f t="shared" si="40"/>
        <v>5700.7259999999997</v>
      </c>
      <c r="Q41" s="90">
        <f t="shared" si="41"/>
        <v>19002.419999999998</v>
      </c>
      <c r="R41" s="90">
        <f t="shared" si="42"/>
        <v>26397.963600000003</v>
      </c>
      <c r="S41" s="91"/>
      <c r="T41" s="92">
        <v>0</v>
      </c>
      <c r="U41" s="32">
        <f t="shared" si="43"/>
        <v>0</v>
      </c>
      <c r="V41" s="32">
        <v>0</v>
      </c>
      <c r="W41" s="32">
        <v>0</v>
      </c>
      <c r="X41" s="93">
        <v>0</v>
      </c>
      <c r="Y41" s="32">
        <v>0</v>
      </c>
      <c r="Z41" s="32">
        <v>0</v>
      </c>
      <c r="AA41" s="32">
        <v>0</v>
      </c>
      <c r="AB41" s="32">
        <v>0</v>
      </c>
      <c r="AC41" s="32">
        <v>0</v>
      </c>
      <c r="AD41" s="93">
        <v>0</v>
      </c>
      <c r="AE41" s="32">
        <v>0</v>
      </c>
      <c r="AF41" s="32">
        <v>0</v>
      </c>
      <c r="AG41" s="32">
        <v>0</v>
      </c>
      <c r="AH41" s="93">
        <v>0</v>
      </c>
      <c r="AI41" s="93">
        <v>0</v>
      </c>
      <c r="AJ41" s="93">
        <v>0</v>
      </c>
      <c r="AK41" s="32">
        <v>0</v>
      </c>
      <c r="AL41" s="32">
        <v>0</v>
      </c>
      <c r="AM41" s="32">
        <v>0</v>
      </c>
      <c r="AN41" s="32">
        <v>0</v>
      </c>
      <c r="AO41" s="32">
        <v>0</v>
      </c>
      <c r="AP41" s="32">
        <v>0</v>
      </c>
      <c r="AQ41" s="32">
        <v>0</v>
      </c>
      <c r="AR41" s="32">
        <v>0</v>
      </c>
      <c r="AS41" s="32">
        <v>0</v>
      </c>
      <c r="AT41" s="32">
        <v>0</v>
      </c>
      <c r="AU41" s="94">
        <f t="shared" si="7"/>
        <v>0</v>
      </c>
      <c r="AV41" s="95">
        <f t="shared" si="8"/>
        <v>0</v>
      </c>
      <c r="AW41" s="95">
        <f t="shared" si="9"/>
        <v>0</v>
      </c>
      <c r="AX41" s="95">
        <f t="shared" si="10"/>
        <v>0</v>
      </c>
      <c r="AY41" s="95">
        <f t="shared" si="11"/>
        <v>0</v>
      </c>
      <c r="AZ41" s="95">
        <f t="shared" si="12"/>
        <v>0</v>
      </c>
      <c r="BA41" s="95">
        <f t="shared" si="13"/>
        <v>0</v>
      </c>
      <c r="BB41" s="95">
        <f t="shared" si="14"/>
        <v>0</v>
      </c>
      <c r="BC41" s="96">
        <f t="shared" si="15"/>
        <v>0</v>
      </c>
      <c r="BD41" s="96">
        <f t="shared" si="16"/>
        <v>0</v>
      </c>
      <c r="BE41" s="96">
        <f t="shared" si="17"/>
        <v>0</v>
      </c>
      <c r="BF41" s="96">
        <f t="shared" si="18"/>
        <v>0</v>
      </c>
      <c r="BG41" s="96">
        <f t="shared" si="19"/>
        <v>0</v>
      </c>
      <c r="BH41" s="96">
        <f t="shared" si="20"/>
        <v>0</v>
      </c>
      <c r="BI41" s="96">
        <f t="shared" si="21"/>
        <v>0</v>
      </c>
      <c r="BJ41" s="96">
        <f t="shared" si="22"/>
        <v>0</v>
      </c>
      <c r="BK41" s="96">
        <f t="shared" si="23"/>
        <v>0</v>
      </c>
      <c r="BL41" s="96">
        <f t="shared" si="24"/>
        <v>0</v>
      </c>
      <c r="BM41" s="96">
        <f t="shared" si="25"/>
        <v>0</v>
      </c>
      <c r="BN41" s="96"/>
      <c r="BO41" s="95"/>
      <c r="BP41" s="95">
        <f t="shared" si="26"/>
        <v>0</v>
      </c>
      <c r="BQ41" s="95"/>
      <c r="BR41" s="95"/>
      <c r="BS41" s="95">
        <f t="shared" si="27"/>
        <v>0</v>
      </c>
      <c r="BT41" s="95">
        <f t="shared" si="28"/>
        <v>0</v>
      </c>
      <c r="BU41" s="95">
        <f t="shared" si="29"/>
        <v>0</v>
      </c>
      <c r="BV41" s="95">
        <f t="shared" si="30"/>
        <v>0</v>
      </c>
      <c r="BW41" s="95"/>
      <c r="BX41" s="95"/>
      <c r="BY41" s="95"/>
      <c r="BZ41" s="95"/>
      <c r="CA41" s="95">
        <f t="shared" si="44"/>
        <v>0</v>
      </c>
      <c r="CB41" s="97">
        <f t="shared" si="31"/>
        <v>0</v>
      </c>
      <c r="CC41" s="95"/>
      <c r="CD41" s="95"/>
      <c r="CE41" s="95">
        <f t="shared" si="32"/>
        <v>0</v>
      </c>
      <c r="CF41" s="95">
        <f t="shared" si="45"/>
        <v>0</v>
      </c>
      <c r="CG41" s="113"/>
      <c r="CH41" s="22"/>
      <c r="CI41" s="98">
        <f t="shared" si="33"/>
        <v>0</v>
      </c>
      <c r="CJ41" s="95">
        <f t="shared" si="34"/>
        <v>0</v>
      </c>
      <c r="CK41" s="95">
        <f t="shared" si="46"/>
        <v>0</v>
      </c>
      <c r="CL41" s="95">
        <v>0</v>
      </c>
      <c r="CM41" s="99"/>
      <c r="CN41" s="99">
        <v>0</v>
      </c>
      <c r="CO41" s="110"/>
      <c r="CP41" s="99"/>
      <c r="CQ41" s="99"/>
      <c r="CR41" s="99"/>
      <c r="CS41" s="95"/>
      <c r="CT41" s="95"/>
      <c r="CU41" s="96"/>
      <c r="CV41" s="96"/>
      <c r="CW41" s="96"/>
      <c r="CX41" s="96"/>
      <c r="CY41" s="96"/>
      <c r="CZ41" s="93">
        <f t="shared" si="35"/>
        <v>0</v>
      </c>
      <c r="DA41" s="93">
        <f t="shared" si="36"/>
        <v>0</v>
      </c>
      <c r="DB41" s="95">
        <f t="shared" si="37"/>
        <v>0</v>
      </c>
      <c r="DC41" s="100">
        <f t="shared" si="38"/>
        <v>0</v>
      </c>
      <c r="DD41" s="100"/>
      <c r="DE41" s="100">
        <f t="shared" si="39"/>
        <v>0</v>
      </c>
      <c r="DF41" s="13"/>
      <c r="DG41" s="2"/>
      <c r="DH41" s="46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</row>
    <row r="42" spans="1:156" s="1" customFormat="1" ht="12" customHeight="1" x14ac:dyDescent="0.2">
      <c r="A42" s="88">
        <f t="shared" si="3"/>
        <v>509748</v>
      </c>
      <c r="B42" s="21">
        <v>9748</v>
      </c>
      <c r="C42" s="21" t="s">
        <v>98</v>
      </c>
      <c r="D42" s="84" t="s">
        <v>163</v>
      </c>
      <c r="E42" s="114" t="s">
        <v>201</v>
      </c>
      <c r="F42" s="85">
        <v>0</v>
      </c>
      <c r="G42" s="84"/>
      <c r="H42" s="85"/>
      <c r="I42" s="86"/>
      <c r="J42" s="85"/>
      <c r="K42" s="21" t="s">
        <v>10</v>
      </c>
      <c r="L42" s="21"/>
      <c r="M42" s="87"/>
      <c r="N42" s="88"/>
      <c r="O42" s="88">
        <v>2</v>
      </c>
      <c r="P42" s="89">
        <f t="shared" si="40"/>
        <v>5700.7259999999997</v>
      </c>
      <c r="Q42" s="90">
        <f t="shared" si="41"/>
        <v>19002.419999999998</v>
      </c>
      <c r="R42" s="90">
        <f t="shared" si="42"/>
        <v>26397.963600000003</v>
      </c>
      <c r="S42" s="91"/>
      <c r="T42" s="92">
        <v>11</v>
      </c>
      <c r="U42" s="32">
        <f t="shared" si="43"/>
        <v>11</v>
      </c>
      <c r="V42" s="32">
        <v>0</v>
      </c>
      <c r="W42" s="32">
        <v>1</v>
      </c>
      <c r="X42" s="93">
        <v>0</v>
      </c>
      <c r="Y42" s="32">
        <v>0</v>
      </c>
      <c r="Z42" s="32">
        <v>0</v>
      </c>
      <c r="AA42" s="32">
        <v>0</v>
      </c>
      <c r="AB42" s="32">
        <v>0</v>
      </c>
      <c r="AC42" s="32">
        <v>0</v>
      </c>
      <c r="AD42" s="93">
        <v>0</v>
      </c>
      <c r="AE42" s="32">
        <v>0</v>
      </c>
      <c r="AF42" s="32">
        <v>0</v>
      </c>
      <c r="AG42" s="32">
        <v>0</v>
      </c>
      <c r="AH42" s="93">
        <v>0</v>
      </c>
      <c r="AI42" s="93">
        <v>0</v>
      </c>
      <c r="AJ42" s="93">
        <v>0</v>
      </c>
      <c r="AK42" s="32">
        <v>0</v>
      </c>
      <c r="AL42" s="32">
        <v>0</v>
      </c>
      <c r="AM42" s="32">
        <v>0</v>
      </c>
      <c r="AN42" s="32">
        <v>0</v>
      </c>
      <c r="AO42" s="32">
        <v>0</v>
      </c>
      <c r="AP42" s="32">
        <v>0</v>
      </c>
      <c r="AQ42" s="32">
        <v>0</v>
      </c>
      <c r="AR42" s="32">
        <v>0</v>
      </c>
      <c r="AS42" s="32">
        <v>0</v>
      </c>
      <c r="AT42" s="32">
        <v>0</v>
      </c>
      <c r="AU42" s="94">
        <f t="shared" si="7"/>
        <v>12</v>
      </c>
      <c r="AV42" s="95">
        <f t="shared" si="8"/>
        <v>209026.62</v>
      </c>
      <c r="AW42" s="95">
        <f t="shared" si="9"/>
        <v>0</v>
      </c>
      <c r="AX42" s="95">
        <f t="shared" si="10"/>
        <v>19002.419999999998</v>
      </c>
      <c r="AY42" s="95">
        <f t="shared" si="11"/>
        <v>0</v>
      </c>
      <c r="AZ42" s="95">
        <f t="shared" si="12"/>
        <v>0</v>
      </c>
      <c r="BA42" s="95">
        <f t="shared" si="13"/>
        <v>0</v>
      </c>
      <c r="BB42" s="95">
        <f t="shared" si="14"/>
        <v>0</v>
      </c>
      <c r="BC42" s="96">
        <f t="shared" si="15"/>
        <v>0</v>
      </c>
      <c r="BD42" s="96">
        <f t="shared" si="16"/>
        <v>0</v>
      </c>
      <c r="BE42" s="96">
        <f t="shared" si="17"/>
        <v>0</v>
      </c>
      <c r="BF42" s="96">
        <f t="shared" si="18"/>
        <v>0</v>
      </c>
      <c r="BG42" s="96">
        <f t="shared" si="19"/>
        <v>0</v>
      </c>
      <c r="BH42" s="96">
        <f t="shared" si="20"/>
        <v>0</v>
      </c>
      <c r="BI42" s="96">
        <f t="shared" si="21"/>
        <v>0</v>
      </c>
      <c r="BJ42" s="96">
        <f t="shared" si="22"/>
        <v>0</v>
      </c>
      <c r="BK42" s="96">
        <f t="shared" si="23"/>
        <v>0</v>
      </c>
      <c r="BL42" s="96">
        <f t="shared" si="24"/>
        <v>5472.6969599999993</v>
      </c>
      <c r="BM42" s="96">
        <f t="shared" si="25"/>
        <v>0</v>
      </c>
      <c r="BN42" s="96"/>
      <c r="BO42" s="95"/>
      <c r="BP42" s="95">
        <f t="shared" si="26"/>
        <v>0</v>
      </c>
      <c r="BQ42" s="95"/>
      <c r="BR42" s="95"/>
      <c r="BS42" s="95">
        <f t="shared" si="27"/>
        <v>0</v>
      </c>
      <c r="BT42" s="95">
        <f t="shared" si="28"/>
        <v>0</v>
      </c>
      <c r="BU42" s="95">
        <f t="shared" si="29"/>
        <v>0</v>
      </c>
      <c r="BV42" s="95">
        <f t="shared" si="30"/>
        <v>0</v>
      </c>
      <c r="BW42" s="95"/>
      <c r="BX42" s="95"/>
      <c r="BY42" s="95"/>
      <c r="BZ42" s="95"/>
      <c r="CA42" s="95">
        <f t="shared" si="44"/>
        <v>0</v>
      </c>
      <c r="CB42" s="97">
        <f t="shared" si="31"/>
        <v>233501.73695999998</v>
      </c>
      <c r="CC42" s="95"/>
      <c r="CD42" s="95"/>
      <c r="CE42" s="95">
        <f t="shared" si="32"/>
        <v>-7005.0521087999996</v>
      </c>
      <c r="CF42" s="95">
        <f t="shared" si="45"/>
        <v>-2335.0173695999997</v>
      </c>
      <c r="CG42" s="113"/>
      <c r="CH42" s="22"/>
      <c r="CI42" s="98">
        <f t="shared" si="33"/>
        <v>324380.61298483191</v>
      </c>
      <c r="CJ42" s="95">
        <f t="shared" si="34"/>
        <v>-9731.4183895449569</v>
      </c>
      <c r="CK42" s="95">
        <f t="shared" si="46"/>
        <v>-3243.806129848319</v>
      </c>
      <c r="CL42" s="95">
        <v>0</v>
      </c>
      <c r="CM42" s="99"/>
      <c r="CN42" s="99">
        <v>0</v>
      </c>
      <c r="CO42" s="110"/>
      <c r="CP42" s="99"/>
      <c r="CQ42" s="99"/>
      <c r="CR42" s="99"/>
      <c r="CS42" s="95"/>
      <c r="CT42" s="95"/>
      <c r="CU42" s="96"/>
      <c r="CV42" s="96"/>
      <c r="CW42" s="96"/>
      <c r="CX42" s="96"/>
      <c r="CY42" s="96"/>
      <c r="CZ42" s="93">
        <f t="shared" si="35"/>
        <v>0</v>
      </c>
      <c r="DA42" s="93">
        <f t="shared" si="36"/>
        <v>0</v>
      </c>
      <c r="DB42" s="95">
        <f t="shared" si="37"/>
        <v>535567.05594703858</v>
      </c>
      <c r="DC42" s="100">
        <f t="shared" si="38"/>
        <v>535567</v>
      </c>
      <c r="DD42" s="100"/>
      <c r="DE42" s="100">
        <f t="shared" si="39"/>
        <v>-535567</v>
      </c>
      <c r="DF42" s="13"/>
      <c r="DG42" s="2"/>
      <c r="DH42" s="46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</row>
    <row r="43" spans="1:156" s="1" customFormat="1" ht="12" customHeight="1" x14ac:dyDescent="0.2">
      <c r="A43" s="88">
        <f t="shared" si="3"/>
        <v>509749</v>
      </c>
      <c r="B43" s="21">
        <v>9749</v>
      </c>
      <c r="C43" s="21" t="s">
        <v>98</v>
      </c>
      <c r="D43" s="84" t="s">
        <v>164</v>
      </c>
      <c r="E43" s="114" t="s">
        <v>201</v>
      </c>
      <c r="F43" s="85">
        <v>0</v>
      </c>
      <c r="G43" s="84"/>
      <c r="H43" s="85"/>
      <c r="I43" s="86"/>
      <c r="J43" s="85"/>
      <c r="K43" s="21" t="s">
        <v>10</v>
      </c>
      <c r="L43" s="21"/>
      <c r="M43" s="87"/>
      <c r="N43" s="88"/>
      <c r="O43" s="88">
        <v>0</v>
      </c>
      <c r="P43" s="89">
        <f t="shared" si="40"/>
        <v>5700.7259999999997</v>
      </c>
      <c r="Q43" s="90">
        <f t="shared" si="41"/>
        <v>19002.419999999998</v>
      </c>
      <c r="R43" s="90">
        <f t="shared" si="42"/>
        <v>26397.963600000003</v>
      </c>
      <c r="S43" s="91"/>
      <c r="T43" s="92">
        <v>11</v>
      </c>
      <c r="U43" s="32">
        <f t="shared" si="43"/>
        <v>11</v>
      </c>
      <c r="V43" s="32">
        <v>0</v>
      </c>
      <c r="W43" s="32">
        <v>1</v>
      </c>
      <c r="X43" s="93">
        <v>0</v>
      </c>
      <c r="Y43" s="32">
        <v>0</v>
      </c>
      <c r="Z43" s="32">
        <v>0</v>
      </c>
      <c r="AA43" s="32">
        <v>0</v>
      </c>
      <c r="AB43" s="32">
        <v>0</v>
      </c>
      <c r="AC43" s="32">
        <v>0</v>
      </c>
      <c r="AD43" s="93">
        <v>0</v>
      </c>
      <c r="AE43" s="32">
        <v>0</v>
      </c>
      <c r="AF43" s="32">
        <v>0</v>
      </c>
      <c r="AG43" s="32">
        <v>0</v>
      </c>
      <c r="AH43" s="93">
        <v>0</v>
      </c>
      <c r="AI43" s="93">
        <v>0</v>
      </c>
      <c r="AJ43" s="93">
        <v>0</v>
      </c>
      <c r="AK43" s="32">
        <v>0</v>
      </c>
      <c r="AL43" s="32">
        <v>0</v>
      </c>
      <c r="AM43" s="32">
        <v>0</v>
      </c>
      <c r="AN43" s="32">
        <v>0</v>
      </c>
      <c r="AO43" s="32">
        <v>0</v>
      </c>
      <c r="AP43" s="32">
        <v>0</v>
      </c>
      <c r="AQ43" s="32">
        <v>0</v>
      </c>
      <c r="AR43" s="32">
        <v>0</v>
      </c>
      <c r="AS43" s="32">
        <v>0</v>
      </c>
      <c r="AT43" s="32">
        <v>0</v>
      </c>
      <c r="AU43" s="94">
        <f t="shared" si="7"/>
        <v>12</v>
      </c>
      <c r="AV43" s="95">
        <f t="shared" si="8"/>
        <v>209026.62</v>
      </c>
      <c r="AW43" s="95">
        <f t="shared" si="9"/>
        <v>0</v>
      </c>
      <c r="AX43" s="95">
        <f t="shared" si="10"/>
        <v>19002.419999999998</v>
      </c>
      <c r="AY43" s="95">
        <f t="shared" si="11"/>
        <v>0</v>
      </c>
      <c r="AZ43" s="95">
        <f t="shared" si="12"/>
        <v>0</v>
      </c>
      <c r="BA43" s="95">
        <f t="shared" si="13"/>
        <v>0</v>
      </c>
      <c r="BB43" s="95">
        <f t="shared" si="14"/>
        <v>0</v>
      </c>
      <c r="BC43" s="96">
        <f t="shared" si="15"/>
        <v>0</v>
      </c>
      <c r="BD43" s="96">
        <f t="shared" si="16"/>
        <v>0</v>
      </c>
      <c r="BE43" s="96">
        <f t="shared" si="17"/>
        <v>0</v>
      </c>
      <c r="BF43" s="96">
        <f t="shared" si="18"/>
        <v>0</v>
      </c>
      <c r="BG43" s="96">
        <f t="shared" si="19"/>
        <v>0</v>
      </c>
      <c r="BH43" s="96">
        <f t="shared" si="20"/>
        <v>0</v>
      </c>
      <c r="BI43" s="96">
        <f t="shared" si="21"/>
        <v>0</v>
      </c>
      <c r="BJ43" s="96">
        <f t="shared" si="22"/>
        <v>0</v>
      </c>
      <c r="BK43" s="96">
        <f t="shared" si="23"/>
        <v>0</v>
      </c>
      <c r="BL43" s="96">
        <f t="shared" si="24"/>
        <v>0</v>
      </c>
      <c r="BM43" s="96">
        <f t="shared" si="25"/>
        <v>0</v>
      </c>
      <c r="BN43" s="96"/>
      <c r="BO43" s="95"/>
      <c r="BP43" s="95">
        <f t="shared" si="26"/>
        <v>0</v>
      </c>
      <c r="BQ43" s="95"/>
      <c r="BR43" s="95"/>
      <c r="BS43" s="95">
        <f t="shared" si="27"/>
        <v>0</v>
      </c>
      <c r="BT43" s="95">
        <f t="shared" si="28"/>
        <v>0</v>
      </c>
      <c r="BU43" s="95">
        <f t="shared" si="29"/>
        <v>0</v>
      </c>
      <c r="BV43" s="95">
        <f t="shared" si="30"/>
        <v>0</v>
      </c>
      <c r="BW43" s="95"/>
      <c r="BX43" s="95"/>
      <c r="BY43" s="95"/>
      <c r="BZ43" s="95"/>
      <c r="CA43" s="95">
        <f t="shared" si="44"/>
        <v>0</v>
      </c>
      <c r="CB43" s="97">
        <f t="shared" si="31"/>
        <v>228029.03999999998</v>
      </c>
      <c r="CC43" s="95"/>
      <c r="CD43" s="95"/>
      <c r="CE43" s="95">
        <f t="shared" si="32"/>
        <v>-6840.8711999999987</v>
      </c>
      <c r="CF43" s="95">
        <f t="shared" si="45"/>
        <v>-2280.2903999999999</v>
      </c>
      <c r="CG43" s="113"/>
      <c r="CH43" s="22"/>
      <c r="CI43" s="98">
        <f t="shared" si="33"/>
        <v>316777.94236799993</v>
      </c>
      <c r="CJ43" s="95">
        <f t="shared" si="34"/>
        <v>-9503.3382710399983</v>
      </c>
      <c r="CK43" s="95">
        <f t="shared" si="46"/>
        <v>-3167.7794236799996</v>
      </c>
      <c r="CL43" s="95">
        <v>0</v>
      </c>
      <c r="CM43" s="99"/>
      <c r="CN43" s="99">
        <v>0</v>
      </c>
      <c r="CO43" s="110"/>
      <c r="CP43" s="99"/>
      <c r="CQ43" s="99"/>
      <c r="CR43" s="99"/>
      <c r="CS43" s="95"/>
      <c r="CT43" s="95"/>
      <c r="CU43" s="96"/>
      <c r="CV43" s="96"/>
      <c r="CW43" s="96"/>
      <c r="CX43" s="96"/>
      <c r="CY43" s="96"/>
      <c r="CZ43" s="93">
        <f t="shared" si="35"/>
        <v>0</v>
      </c>
      <c r="DA43" s="93">
        <f t="shared" si="36"/>
        <v>0</v>
      </c>
      <c r="DB43" s="95">
        <f t="shared" si="37"/>
        <v>523014.70307327987</v>
      </c>
      <c r="DC43" s="100">
        <f t="shared" si="38"/>
        <v>523015</v>
      </c>
      <c r="DD43" s="100"/>
      <c r="DE43" s="100">
        <f t="shared" si="39"/>
        <v>-523015</v>
      </c>
      <c r="DF43" s="13"/>
      <c r="DG43" s="2"/>
      <c r="DH43" s="46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</row>
    <row r="44" spans="1:156" s="1" customFormat="1" ht="12" hidden="1" customHeight="1" x14ac:dyDescent="0.2">
      <c r="A44" s="88">
        <f t="shared" si="3"/>
        <v>509669</v>
      </c>
      <c r="B44" s="21">
        <v>9669</v>
      </c>
      <c r="C44" s="21" t="s">
        <v>98</v>
      </c>
      <c r="D44" s="84" t="s">
        <v>120</v>
      </c>
      <c r="E44" s="115" t="s">
        <v>202</v>
      </c>
      <c r="F44" s="85">
        <v>0</v>
      </c>
      <c r="G44" s="84"/>
      <c r="H44" s="85"/>
      <c r="I44" s="86"/>
      <c r="J44" s="85"/>
      <c r="K44" s="21" t="s">
        <v>10</v>
      </c>
      <c r="L44" s="21"/>
      <c r="M44" s="87"/>
      <c r="N44" s="88"/>
      <c r="O44" s="88">
        <v>15</v>
      </c>
      <c r="P44" s="89">
        <f t="shared" si="40"/>
        <v>5700.7259999999997</v>
      </c>
      <c r="Q44" s="90">
        <f t="shared" si="41"/>
        <v>19002.419999999998</v>
      </c>
      <c r="R44" s="90">
        <f t="shared" si="42"/>
        <v>26397.963600000003</v>
      </c>
      <c r="S44" s="91"/>
      <c r="T44" s="92">
        <v>0</v>
      </c>
      <c r="U44" s="32">
        <f t="shared" si="43"/>
        <v>0</v>
      </c>
      <c r="V44" s="32">
        <v>0</v>
      </c>
      <c r="W44" s="32">
        <v>0</v>
      </c>
      <c r="X44" s="93">
        <v>0</v>
      </c>
      <c r="Y44" s="32">
        <v>0</v>
      </c>
      <c r="Z44" s="32">
        <v>0</v>
      </c>
      <c r="AA44" s="32">
        <v>0</v>
      </c>
      <c r="AB44" s="32">
        <v>0</v>
      </c>
      <c r="AC44" s="32">
        <v>0</v>
      </c>
      <c r="AD44" s="93">
        <v>0</v>
      </c>
      <c r="AE44" s="32">
        <v>0</v>
      </c>
      <c r="AF44" s="32">
        <v>0</v>
      </c>
      <c r="AG44" s="32">
        <v>0</v>
      </c>
      <c r="AH44" s="93">
        <v>0</v>
      </c>
      <c r="AI44" s="93">
        <v>0</v>
      </c>
      <c r="AJ44" s="93">
        <v>0</v>
      </c>
      <c r="AK44" s="32">
        <v>0</v>
      </c>
      <c r="AL44" s="32">
        <v>0</v>
      </c>
      <c r="AM44" s="32">
        <v>0</v>
      </c>
      <c r="AN44" s="32">
        <v>0</v>
      </c>
      <c r="AO44" s="32">
        <v>0</v>
      </c>
      <c r="AP44" s="32">
        <v>0</v>
      </c>
      <c r="AQ44" s="32">
        <v>0</v>
      </c>
      <c r="AR44" s="32">
        <v>0</v>
      </c>
      <c r="AS44" s="32">
        <v>0</v>
      </c>
      <c r="AT44" s="32">
        <v>0</v>
      </c>
      <c r="AU44" s="94">
        <f t="shared" si="7"/>
        <v>0</v>
      </c>
      <c r="AV44" s="95">
        <f t="shared" si="8"/>
        <v>0</v>
      </c>
      <c r="AW44" s="95">
        <f t="shared" si="9"/>
        <v>0</v>
      </c>
      <c r="AX44" s="95">
        <f t="shared" si="10"/>
        <v>0</v>
      </c>
      <c r="AY44" s="95">
        <f t="shared" si="11"/>
        <v>0</v>
      </c>
      <c r="AZ44" s="95">
        <f t="shared" si="12"/>
        <v>0</v>
      </c>
      <c r="BA44" s="95">
        <f t="shared" si="13"/>
        <v>0</v>
      </c>
      <c r="BB44" s="95">
        <f t="shared" si="14"/>
        <v>0</v>
      </c>
      <c r="BC44" s="96">
        <f t="shared" si="15"/>
        <v>0</v>
      </c>
      <c r="BD44" s="96">
        <f t="shared" si="16"/>
        <v>0</v>
      </c>
      <c r="BE44" s="96">
        <f t="shared" si="17"/>
        <v>0</v>
      </c>
      <c r="BF44" s="96">
        <f t="shared" si="18"/>
        <v>0</v>
      </c>
      <c r="BG44" s="96">
        <f t="shared" si="19"/>
        <v>0</v>
      </c>
      <c r="BH44" s="96">
        <f t="shared" si="20"/>
        <v>0</v>
      </c>
      <c r="BI44" s="96">
        <f t="shared" si="21"/>
        <v>0</v>
      </c>
      <c r="BJ44" s="96">
        <f t="shared" si="22"/>
        <v>0</v>
      </c>
      <c r="BK44" s="96">
        <f t="shared" si="23"/>
        <v>0</v>
      </c>
      <c r="BL44" s="96">
        <f t="shared" si="24"/>
        <v>0</v>
      </c>
      <c r="BM44" s="96">
        <f t="shared" si="25"/>
        <v>0</v>
      </c>
      <c r="BN44" s="96"/>
      <c r="BO44" s="95"/>
      <c r="BP44" s="95">
        <f t="shared" si="26"/>
        <v>0</v>
      </c>
      <c r="BQ44" s="95"/>
      <c r="BR44" s="95"/>
      <c r="BS44" s="95">
        <f t="shared" si="27"/>
        <v>0</v>
      </c>
      <c r="BT44" s="95">
        <f t="shared" si="28"/>
        <v>0</v>
      </c>
      <c r="BU44" s="95">
        <f t="shared" si="29"/>
        <v>0</v>
      </c>
      <c r="BV44" s="95">
        <f t="shared" si="30"/>
        <v>0</v>
      </c>
      <c r="BW44" s="95"/>
      <c r="BX44" s="95"/>
      <c r="BY44" s="95"/>
      <c r="BZ44" s="95"/>
      <c r="CA44" s="95">
        <f t="shared" si="44"/>
        <v>0</v>
      </c>
      <c r="CB44" s="97">
        <f t="shared" si="31"/>
        <v>0</v>
      </c>
      <c r="CC44" s="95"/>
      <c r="CD44" s="95"/>
      <c r="CE44" s="95">
        <f t="shared" si="32"/>
        <v>0</v>
      </c>
      <c r="CF44" s="95">
        <f t="shared" si="45"/>
        <v>0</v>
      </c>
      <c r="CG44" s="113"/>
      <c r="CH44" s="22"/>
      <c r="CI44" s="98">
        <f t="shared" si="33"/>
        <v>0</v>
      </c>
      <c r="CJ44" s="95">
        <f t="shared" si="34"/>
        <v>0</v>
      </c>
      <c r="CK44" s="95">
        <f t="shared" si="46"/>
        <v>0</v>
      </c>
      <c r="CL44" s="95">
        <v>0</v>
      </c>
      <c r="CM44" s="99"/>
      <c r="CN44" s="99">
        <v>0</v>
      </c>
      <c r="CO44" s="110"/>
      <c r="CP44" s="99"/>
      <c r="CQ44" s="99"/>
      <c r="CR44" s="99"/>
      <c r="CS44" s="95"/>
      <c r="CT44" s="95"/>
      <c r="CU44" s="96"/>
      <c r="CV44" s="96"/>
      <c r="CW44" s="96"/>
      <c r="CX44" s="96"/>
      <c r="CY44" s="96"/>
      <c r="CZ44" s="93">
        <f t="shared" si="35"/>
        <v>0</v>
      </c>
      <c r="DA44" s="93">
        <f t="shared" si="36"/>
        <v>0</v>
      </c>
      <c r="DB44" s="95">
        <f t="shared" si="37"/>
        <v>0</v>
      </c>
      <c r="DC44" s="100">
        <f t="shared" si="38"/>
        <v>0</v>
      </c>
      <c r="DD44" s="100"/>
      <c r="DE44" s="100">
        <f t="shared" si="39"/>
        <v>0</v>
      </c>
      <c r="DF44" s="13"/>
      <c r="DG44" s="2"/>
      <c r="DH44" s="46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</row>
    <row r="45" spans="1:156" s="1" customFormat="1" ht="12" hidden="1" customHeight="1" x14ac:dyDescent="0.2">
      <c r="A45" s="88">
        <f t="shared" si="3"/>
        <v>509861</v>
      </c>
      <c r="B45" s="21">
        <v>9861</v>
      </c>
      <c r="C45" s="21" t="s">
        <v>98</v>
      </c>
      <c r="D45" s="84" t="s">
        <v>193</v>
      </c>
      <c r="E45" s="115" t="s">
        <v>202</v>
      </c>
      <c r="F45" s="85">
        <v>0</v>
      </c>
      <c r="G45" s="84"/>
      <c r="H45" s="85"/>
      <c r="I45" s="86"/>
      <c r="J45" s="85"/>
      <c r="K45" s="21" t="s">
        <v>10</v>
      </c>
      <c r="L45" s="21"/>
      <c r="M45" s="87"/>
      <c r="N45" s="88"/>
      <c r="O45" s="88">
        <v>0</v>
      </c>
      <c r="P45" s="89">
        <f t="shared" si="40"/>
        <v>5700.7259999999997</v>
      </c>
      <c r="Q45" s="90">
        <f t="shared" si="41"/>
        <v>19002.419999999998</v>
      </c>
      <c r="R45" s="90">
        <f t="shared" si="42"/>
        <v>26397.963600000003</v>
      </c>
      <c r="S45" s="91"/>
      <c r="T45" s="92">
        <v>0</v>
      </c>
      <c r="U45" s="32">
        <f t="shared" si="43"/>
        <v>0</v>
      </c>
      <c r="V45" s="32">
        <v>0</v>
      </c>
      <c r="W45" s="32">
        <v>0</v>
      </c>
      <c r="X45" s="93">
        <v>0</v>
      </c>
      <c r="Y45" s="32">
        <v>0</v>
      </c>
      <c r="Z45" s="32">
        <v>0</v>
      </c>
      <c r="AA45" s="32">
        <v>0</v>
      </c>
      <c r="AB45" s="32">
        <v>0</v>
      </c>
      <c r="AC45" s="32">
        <v>0</v>
      </c>
      <c r="AD45" s="93">
        <v>0</v>
      </c>
      <c r="AE45" s="32">
        <v>0</v>
      </c>
      <c r="AF45" s="32">
        <v>0</v>
      </c>
      <c r="AG45" s="32">
        <v>0</v>
      </c>
      <c r="AH45" s="93">
        <v>0</v>
      </c>
      <c r="AI45" s="93">
        <v>0</v>
      </c>
      <c r="AJ45" s="93">
        <v>0</v>
      </c>
      <c r="AK45" s="32">
        <v>0</v>
      </c>
      <c r="AL45" s="32">
        <v>0</v>
      </c>
      <c r="AM45" s="32">
        <v>0</v>
      </c>
      <c r="AN45" s="32">
        <v>0</v>
      </c>
      <c r="AO45" s="32">
        <v>0</v>
      </c>
      <c r="AP45" s="32">
        <v>0</v>
      </c>
      <c r="AQ45" s="32">
        <v>0</v>
      </c>
      <c r="AR45" s="32">
        <v>0</v>
      </c>
      <c r="AS45" s="32">
        <v>0</v>
      </c>
      <c r="AT45" s="32">
        <v>0</v>
      </c>
      <c r="AU45" s="94">
        <f t="shared" si="7"/>
        <v>0</v>
      </c>
      <c r="AV45" s="95">
        <f t="shared" si="8"/>
        <v>0</v>
      </c>
      <c r="AW45" s="95">
        <f t="shared" si="9"/>
        <v>0</v>
      </c>
      <c r="AX45" s="95">
        <f t="shared" si="10"/>
        <v>0</v>
      </c>
      <c r="AY45" s="95">
        <f t="shared" si="11"/>
        <v>0</v>
      </c>
      <c r="AZ45" s="95">
        <f t="shared" si="12"/>
        <v>0</v>
      </c>
      <c r="BA45" s="95">
        <f t="shared" si="13"/>
        <v>0</v>
      </c>
      <c r="BB45" s="95">
        <f t="shared" si="14"/>
        <v>0</v>
      </c>
      <c r="BC45" s="96">
        <f t="shared" si="15"/>
        <v>0</v>
      </c>
      <c r="BD45" s="96">
        <f t="shared" si="16"/>
        <v>0</v>
      </c>
      <c r="BE45" s="96">
        <f t="shared" si="17"/>
        <v>0</v>
      </c>
      <c r="BF45" s="96">
        <f t="shared" si="18"/>
        <v>0</v>
      </c>
      <c r="BG45" s="96">
        <f t="shared" si="19"/>
        <v>0</v>
      </c>
      <c r="BH45" s="96">
        <f t="shared" si="20"/>
        <v>0</v>
      </c>
      <c r="BI45" s="96">
        <f t="shared" si="21"/>
        <v>0</v>
      </c>
      <c r="BJ45" s="96">
        <f t="shared" si="22"/>
        <v>0</v>
      </c>
      <c r="BK45" s="96">
        <f t="shared" si="23"/>
        <v>0</v>
      </c>
      <c r="BL45" s="96">
        <f t="shared" si="24"/>
        <v>0</v>
      </c>
      <c r="BM45" s="96">
        <f t="shared" si="25"/>
        <v>0</v>
      </c>
      <c r="BN45" s="96"/>
      <c r="BO45" s="95"/>
      <c r="BP45" s="95">
        <f t="shared" si="26"/>
        <v>0</v>
      </c>
      <c r="BQ45" s="95"/>
      <c r="BR45" s="95"/>
      <c r="BS45" s="95">
        <f t="shared" si="27"/>
        <v>0</v>
      </c>
      <c r="BT45" s="95">
        <f t="shared" si="28"/>
        <v>0</v>
      </c>
      <c r="BU45" s="95">
        <f t="shared" si="29"/>
        <v>0</v>
      </c>
      <c r="BV45" s="95">
        <f t="shared" si="30"/>
        <v>0</v>
      </c>
      <c r="BW45" s="95"/>
      <c r="BX45" s="95"/>
      <c r="BY45" s="95"/>
      <c r="BZ45" s="95"/>
      <c r="CA45" s="95">
        <f t="shared" si="44"/>
        <v>0</v>
      </c>
      <c r="CB45" s="97">
        <f t="shared" si="31"/>
        <v>0</v>
      </c>
      <c r="CC45" s="95"/>
      <c r="CD45" s="95"/>
      <c r="CE45" s="95">
        <f t="shared" si="32"/>
        <v>0</v>
      </c>
      <c r="CF45" s="95">
        <f t="shared" si="45"/>
        <v>0</v>
      </c>
      <c r="CG45" s="113"/>
      <c r="CH45" s="22"/>
      <c r="CI45" s="98">
        <f t="shared" si="33"/>
        <v>0</v>
      </c>
      <c r="CJ45" s="95">
        <f t="shared" si="34"/>
        <v>0</v>
      </c>
      <c r="CK45" s="95">
        <f t="shared" si="46"/>
        <v>0</v>
      </c>
      <c r="CL45" s="95">
        <v>0</v>
      </c>
      <c r="CM45" s="99"/>
      <c r="CN45" s="99">
        <v>0</v>
      </c>
      <c r="CO45" s="110"/>
      <c r="CP45" s="99"/>
      <c r="CQ45" s="99"/>
      <c r="CR45" s="99"/>
      <c r="CS45" s="95"/>
      <c r="CT45" s="95"/>
      <c r="CU45" s="96"/>
      <c r="CV45" s="96"/>
      <c r="CW45" s="96"/>
      <c r="CX45" s="96"/>
      <c r="CY45" s="96"/>
      <c r="CZ45" s="93">
        <f t="shared" si="35"/>
        <v>0</v>
      </c>
      <c r="DA45" s="93">
        <f t="shared" si="36"/>
        <v>0</v>
      </c>
      <c r="DB45" s="95">
        <f t="shared" si="37"/>
        <v>0</v>
      </c>
      <c r="DC45" s="100">
        <f t="shared" si="38"/>
        <v>0</v>
      </c>
      <c r="DD45" s="100"/>
      <c r="DE45" s="100">
        <f t="shared" si="39"/>
        <v>0</v>
      </c>
      <c r="DF45" s="13"/>
      <c r="DG45" s="2"/>
      <c r="DH45" s="46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</row>
    <row r="46" spans="1:156" s="1" customFormat="1" ht="12" hidden="1" customHeight="1" x14ac:dyDescent="0.2">
      <c r="A46" s="88">
        <f t="shared" si="3"/>
        <v>509670</v>
      </c>
      <c r="B46" s="21">
        <v>9670</v>
      </c>
      <c r="C46" s="21" t="s">
        <v>98</v>
      </c>
      <c r="D46" s="84" t="s">
        <v>121</v>
      </c>
      <c r="E46" s="115" t="s">
        <v>202</v>
      </c>
      <c r="F46" s="85">
        <v>3</v>
      </c>
      <c r="G46" s="84"/>
      <c r="H46" s="85"/>
      <c r="I46" s="86"/>
      <c r="J46" s="85"/>
      <c r="K46" s="21" t="s">
        <v>10</v>
      </c>
      <c r="L46" s="21"/>
      <c r="M46" s="87"/>
      <c r="N46" s="88"/>
      <c r="O46" s="88">
        <v>8</v>
      </c>
      <c r="P46" s="89">
        <f t="shared" si="40"/>
        <v>5700.7259999999997</v>
      </c>
      <c r="Q46" s="90">
        <f t="shared" si="41"/>
        <v>19002.419999999998</v>
      </c>
      <c r="R46" s="90">
        <f t="shared" si="42"/>
        <v>26397.963600000003</v>
      </c>
      <c r="S46" s="91"/>
      <c r="T46" s="92">
        <v>0</v>
      </c>
      <c r="U46" s="32">
        <f t="shared" si="43"/>
        <v>0</v>
      </c>
      <c r="V46" s="32">
        <v>0</v>
      </c>
      <c r="W46" s="32">
        <v>0</v>
      </c>
      <c r="X46" s="93">
        <v>0</v>
      </c>
      <c r="Y46" s="32">
        <v>0</v>
      </c>
      <c r="Z46" s="32">
        <v>0</v>
      </c>
      <c r="AA46" s="32">
        <v>0</v>
      </c>
      <c r="AB46" s="32">
        <v>0</v>
      </c>
      <c r="AC46" s="32">
        <v>0</v>
      </c>
      <c r="AD46" s="93">
        <v>0</v>
      </c>
      <c r="AE46" s="32">
        <v>0</v>
      </c>
      <c r="AF46" s="32">
        <v>0</v>
      </c>
      <c r="AG46" s="32">
        <v>0</v>
      </c>
      <c r="AH46" s="93">
        <v>0</v>
      </c>
      <c r="AI46" s="93">
        <v>0</v>
      </c>
      <c r="AJ46" s="93">
        <v>0</v>
      </c>
      <c r="AK46" s="32">
        <v>0</v>
      </c>
      <c r="AL46" s="32">
        <v>0</v>
      </c>
      <c r="AM46" s="32">
        <v>0</v>
      </c>
      <c r="AN46" s="32">
        <v>0</v>
      </c>
      <c r="AO46" s="32">
        <v>0</v>
      </c>
      <c r="AP46" s="32">
        <v>0</v>
      </c>
      <c r="AQ46" s="32">
        <v>0</v>
      </c>
      <c r="AR46" s="32">
        <v>0</v>
      </c>
      <c r="AS46" s="32">
        <v>0</v>
      </c>
      <c r="AT46" s="32">
        <v>0</v>
      </c>
      <c r="AU46" s="94">
        <f t="shared" si="7"/>
        <v>0</v>
      </c>
      <c r="AV46" s="95">
        <f t="shared" si="8"/>
        <v>0</v>
      </c>
      <c r="AW46" s="95">
        <f t="shared" si="9"/>
        <v>0</v>
      </c>
      <c r="AX46" s="95">
        <f t="shared" si="10"/>
        <v>0</v>
      </c>
      <c r="AY46" s="95">
        <f t="shared" si="11"/>
        <v>0</v>
      </c>
      <c r="AZ46" s="95">
        <f t="shared" si="12"/>
        <v>0</v>
      </c>
      <c r="BA46" s="95">
        <f t="shared" si="13"/>
        <v>0</v>
      </c>
      <c r="BB46" s="95">
        <f t="shared" si="14"/>
        <v>0</v>
      </c>
      <c r="BC46" s="96">
        <f t="shared" si="15"/>
        <v>0</v>
      </c>
      <c r="BD46" s="96">
        <f t="shared" si="16"/>
        <v>0</v>
      </c>
      <c r="BE46" s="96">
        <f t="shared" si="17"/>
        <v>0</v>
      </c>
      <c r="BF46" s="96">
        <f t="shared" si="18"/>
        <v>0</v>
      </c>
      <c r="BG46" s="96">
        <f t="shared" si="19"/>
        <v>0</v>
      </c>
      <c r="BH46" s="96">
        <f t="shared" si="20"/>
        <v>0</v>
      </c>
      <c r="BI46" s="96">
        <f t="shared" si="21"/>
        <v>0</v>
      </c>
      <c r="BJ46" s="96">
        <f t="shared" si="22"/>
        <v>0</v>
      </c>
      <c r="BK46" s="96">
        <f t="shared" si="23"/>
        <v>0</v>
      </c>
      <c r="BL46" s="96">
        <f t="shared" si="24"/>
        <v>0</v>
      </c>
      <c r="BM46" s="96">
        <f t="shared" si="25"/>
        <v>0</v>
      </c>
      <c r="BN46" s="96"/>
      <c r="BO46" s="95"/>
      <c r="BP46" s="95">
        <f t="shared" si="26"/>
        <v>0</v>
      </c>
      <c r="BQ46" s="95"/>
      <c r="BR46" s="95"/>
      <c r="BS46" s="95">
        <f t="shared" si="27"/>
        <v>0</v>
      </c>
      <c r="BT46" s="95">
        <f t="shared" si="28"/>
        <v>0</v>
      </c>
      <c r="BU46" s="95">
        <f t="shared" si="29"/>
        <v>0</v>
      </c>
      <c r="BV46" s="95">
        <f t="shared" si="30"/>
        <v>0</v>
      </c>
      <c r="BW46" s="95"/>
      <c r="BX46" s="95"/>
      <c r="BY46" s="95"/>
      <c r="BZ46" s="95"/>
      <c r="CA46" s="95">
        <f t="shared" si="44"/>
        <v>0</v>
      </c>
      <c r="CB46" s="97">
        <f t="shared" si="31"/>
        <v>0</v>
      </c>
      <c r="CC46" s="95"/>
      <c r="CD46" s="95"/>
      <c r="CE46" s="95">
        <f t="shared" si="32"/>
        <v>0</v>
      </c>
      <c r="CF46" s="95">
        <f t="shared" si="45"/>
        <v>0</v>
      </c>
      <c r="CG46" s="113"/>
      <c r="CH46" s="22"/>
      <c r="CI46" s="98">
        <f t="shared" si="33"/>
        <v>0</v>
      </c>
      <c r="CJ46" s="95">
        <f t="shared" si="34"/>
        <v>0</v>
      </c>
      <c r="CK46" s="95">
        <f t="shared" si="46"/>
        <v>0</v>
      </c>
      <c r="CL46" s="95">
        <v>0</v>
      </c>
      <c r="CM46" s="99"/>
      <c r="CN46" s="99">
        <v>0</v>
      </c>
      <c r="CO46" s="110"/>
      <c r="CP46" s="99"/>
      <c r="CQ46" s="99"/>
      <c r="CR46" s="99"/>
      <c r="CS46" s="95"/>
      <c r="CT46" s="95"/>
      <c r="CU46" s="96"/>
      <c r="CV46" s="96"/>
      <c r="CW46" s="96"/>
      <c r="CX46" s="96"/>
      <c r="CY46" s="96"/>
      <c r="CZ46" s="93">
        <f t="shared" si="35"/>
        <v>0</v>
      </c>
      <c r="DA46" s="93">
        <f t="shared" si="36"/>
        <v>0</v>
      </c>
      <c r="DB46" s="95">
        <f t="shared" si="37"/>
        <v>0</v>
      </c>
      <c r="DC46" s="100">
        <f t="shared" si="38"/>
        <v>0</v>
      </c>
      <c r="DD46" s="100"/>
      <c r="DE46" s="100">
        <f t="shared" si="39"/>
        <v>0</v>
      </c>
      <c r="DF46" s="13"/>
      <c r="DG46" s="2"/>
      <c r="DH46" s="46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</row>
    <row r="47" spans="1:156" s="1" customFormat="1" ht="12" hidden="1" customHeight="1" x14ac:dyDescent="0.2">
      <c r="A47" s="88">
        <f t="shared" si="3"/>
        <v>509671</v>
      </c>
      <c r="B47" s="21">
        <v>9671</v>
      </c>
      <c r="C47" s="21" t="s">
        <v>98</v>
      </c>
      <c r="D47" s="84" t="s">
        <v>122</v>
      </c>
      <c r="E47" s="115" t="s">
        <v>202</v>
      </c>
      <c r="F47" s="85">
        <v>3</v>
      </c>
      <c r="G47" s="84"/>
      <c r="H47" s="85"/>
      <c r="I47" s="86"/>
      <c r="J47" s="85"/>
      <c r="K47" s="21" t="s">
        <v>8</v>
      </c>
      <c r="L47" s="21"/>
      <c r="M47" s="87"/>
      <c r="N47" s="88"/>
      <c r="O47" s="88">
        <v>19</v>
      </c>
      <c r="P47" s="89">
        <f t="shared" si="40"/>
        <v>5401.2359999999999</v>
      </c>
      <c r="Q47" s="90">
        <f t="shared" si="41"/>
        <v>18004.12</v>
      </c>
      <c r="R47" s="90">
        <f t="shared" si="42"/>
        <v>25011.1211</v>
      </c>
      <c r="S47" s="91"/>
      <c r="T47" s="92">
        <v>0</v>
      </c>
      <c r="U47" s="32">
        <f t="shared" si="43"/>
        <v>0</v>
      </c>
      <c r="V47" s="32">
        <v>0</v>
      </c>
      <c r="W47" s="32">
        <v>0</v>
      </c>
      <c r="X47" s="93">
        <v>0</v>
      </c>
      <c r="Y47" s="32">
        <v>0</v>
      </c>
      <c r="Z47" s="32">
        <v>0</v>
      </c>
      <c r="AA47" s="32">
        <v>0</v>
      </c>
      <c r="AB47" s="32">
        <v>0</v>
      </c>
      <c r="AC47" s="32">
        <v>0</v>
      </c>
      <c r="AD47" s="93">
        <v>0</v>
      </c>
      <c r="AE47" s="32">
        <v>0</v>
      </c>
      <c r="AF47" s="32">
        <v>0</v>
      </c>
      <c r="AG47" s="32">
        <v>0</v>
      </c>
      <c r="AH47" s="93">
        <v>0</v>
      </c>
      <c r="AI47" s="93">
        <v>0</v>
      </c>
      <c r="AJ47" s="93">
        <v>0</v>
      </c>
      <c r="AK47" s="32">
        <v>0</v>
      </c>
      <c r="AL47" s="32">
        <v>0</v>
      </c>
      <c r="AM47" s="32">
        <v>0</v>
      </c>
      <c r="AN47" s="32">
        <v>0</v>
      </c>
      <c r="AO47" s="32">
        <v>0</v>
      </c>
      <c r="AP47" s="32">
        <v>0</v>
      </c>
      <c r="AQ47" s="32">
        <v>0</v>
      </c>
      <c r="AR47" s="32">
        <v>0</v>
      </c>
      <c r="AS47" s="32">
        <v>0</v>
      </c>
      <c r="AT47" s="32">
        <v>0</v>
      </c>
      <c r="AU47" s="94">
        <f t="shared" si="7"/>
        <v>0</v>
      </c>
      <c r="AV47" s="95">
        <f t="shared" si="8"/>
        <v>0</v>
      </c>
      <c r="AW47" s="95">
        <f t="shared" si="9"/>
        <v>0</v>
      </c>
      <c r="AX47" s="95">
        <f t="shared" si="10"/>
        <v>0</v>
      </c>
      <c r="AY47" s="95">
        <f t="shared" si="11"/>
        <v>0</v>
      </c>
      <c r="AZ47" s="95">
        <f t="shared" si="12"/>
        <v>0</v>
      </c>
      <c r="BA47" s="95">
        <f t="shared" si="13"/>
        <v>0</v>
      </c>
      <c r="BB47" s="95">
        <f t="shared" si="14"/>
        <v>0</v>
      </c>
      <c r="BC47" s="96">
        <f t="shared" si="15"/>
        <v>0</v>
      </c>
      <c r="BD47" s="96">
        <f t="shared" si="16"/>
        <v>0</v>
      </c>
      <c r="BE47" s="96">
        <f t="shared" si="17"/>
        <v>0</v>
      </c>
      <c r="BF47" s="96">
        <f t="shared" si="18"/>
        <v>0</v>
      </c>
      <c r="BG47" s="96">
        <f t="shared" si="19"/>
        <v>0</v>
      </c>
      <c r="BH47" s="96">
        <f t="shared" si="20"/>
        <v>0</v>
      </c>
      <c r="BI47" s="96">
        <f t="shared" si="21"/>
        <v>0</v>
      </c>
      <c r="BJ47" s="96">
        <f t="shared" si="22"/>
        <v>0</v>
      </c>
      <c r="BK47" s="96">
        <f t="shared" si="23"/>
        <v>0</v>
      </c>
      <c r="BL47" s="96">
        <f t="shared" si="24"/>
        <v>0</v>
      </c>
      <c r="BM47" s="96">
        <f t="shared" si="25"/>
        <v>0</v>
      </c>
      <c r="BN47" s="96"/>
      <c r="BO47" s="95"/>
      <c r="BP47" s="95">
        <f t="shared" si="26"/>
        <v>0</v>
      </c>
      <c r="BQ47" s="95"/>
      <c r="BR47" s="95"/>
      <c r="BS47" s="95">
        <f t="shared" si="27"/>
        <v>0</v>
      </c>
      <c r="BT47" s="95">
        <f t="shared" si="28"/>
        <v>0</v>
      </c>
      <c r="BU47" s="95">
        <f t="shared" si="29"/>
        <v>0</v>
      </c>
      <c r="BV47" s="95">
        <f t="shared" si="30"/>
        <v>0</v>
      </c>
      <c r="BW47" s="95"/>
      <c r="BX47" s="95"/>
      <c r="BY47" s="95"/>
      <c r="BZ47" s="95"/>
      <c r="CA47" s="95">
        <f t="shared" si="44"/>
        <v>0</v>
      </c>
      <c r="CB47" s="97">
        <f t="shared" si="31"/>
        <v>0</v>
      </c>
      <c r="CC47" s="95"/>
      <c r="CD47" s="95"/>
      <c r="CE47" s="95">
        <f t="shared" si="32"/>
        <v>0</v>
      </c>
      <c r="CF47" s="95">
        <f t="shared" si="45"/>
        <v>0</v>
      </c>
      <c r="CG47" s="113"/>
      <c r="CH47" s="22"/>
      <c r="CI47" s="98">
        <f t="shared" si="33"/>
        <v>0</v>
      </c>
      <c r="CJ47" s="95">
        <f t="shared" si="34"/>
        <v>0</v>
      </c>
      <c r="CK47" s="95">
        <f t="shared" si="46"/>
        <v>0</v>
      </c>
      <c r="CL47" s="95">
        <v>0</v>
      </c>
      <c r="CM47" s="99"/>
      <c r="CN47" s="99">
        <v>0</v>
      </c>
      <c r="CO47" s="110"/>
      <c r="CP47" s="99"/>
      <c r="CQ47" s="99"/>
      <c r="CR47" s="99"/>
      <c r="CS47" s="95"/>
      <c r="CT47" s="95"/>
      <c r="CU47" s="96"/>
      <c r="CV47" s="96"/>
      <c r="CW47" s="96"/>
      <c r="CX47" s="96"/>
      <c r="CY47" s="96"/>
      <c r="CZ47" s="93">
        <f t="shared" si="35"/>
        <v>0</v>
      </c>
      <c r="DA47" s="93">
        <f t="shared" si="36"/>
        <v>0</v>
      </c>
      <c r="DB47" s="95">
        <f t="shared" si="37"/>
        <v>0</v>
      </c>
      <c r="DC47" s="100">
        <f t="shared" si="38"/>
        <v>0</v>
      </c>
      <c r="DD47" s="100"/>
      <c r="DE47" s="100">
        <f t="shared" si="39"/>
        <v>0</v>
      </c>
      <c r="DF47" s="13"/>
      <c r="DG47" s="2"/>
      <c r="DH47" s="46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</row>
    <row r="48" spans="1:156" s="1" customFormat="1" ht="12" customHeight="1" x14ac:dyDescent="0.2">
      <c r="A48" s="88">
        <f t="shared" si="3"/>
        <v>509750</v>
      </c>
      <c r="B48" s="21">
        <v>9750</v>
      </c>
      <c r="C48" s="21" t="s">
        <v>98</v>
      </c>
      <c r="D48" s="84" t="s">
        <v>165</v>
      </c>
      <c r="E48" s="114" t="s">
        <v>201</v>
      </c>
      <c r="F48" s="85">
        <v>0</v>
      </c>
      <c r="G48" s="84"/>
      <c r="H48" s="85"/>
      <c r="I48" s="86"/>
      <c r="J48" s="85"/>
      <c r="K48" s="21" t="s">
        <v>10</v>
      </c>
      <c r="L48" s="21"/>
      <c r="M48" s="87"/>
      <c r="N48" s="88"/>
      <c r="O48" s="88">
        <v>3</v>
      </c>
      <c r="P48" s="89">
        <f t="shared" si="40"/>
        <v>5700.7259999999997</v>
      </c>
      <c r="Q48" s="90">
        <f t="shared" si="41"/>
        <v>19002.419999999998</v>
      </c>
      <c r="R48" s="90">
        <f t="shared" si="42"/>
        <v>26397.963600000003</v>
      </c>
      <c r="S48" s="91"/>
      <c r="T48" s="92">
        <v>12</v>
      </c>
      <c r="U48" s="32">
        <f t="shared" si="43"/>
        <v>12</v>
      </c>
      <c r="V48" s="32">
        <v>0</v>
      </c>
      <c r="W48" s="32">
        <v>1</v>
      </c>
      <c r="X48" s="93">
        <v>0</v>
      </c>
      <c r="Y48" s="32">
        <v>0</v>
      </c>
      <c r="Z48" s="32">
        <v>0</v>
      </c>
      <c r="AA48" s="32">
        <v>0</v>
      </c>
      <c r="AB48" s="32">
        <v>0</v>
      </c>
      <c r="AC48" s="32">
        <v>0</v>
      </c>
      <c r="AD48" s="93">
        <v>0</v>
      </c>
      <c r="AE48" s="32">
        <v>0</v>
      </c>
      <c r="AF48" s="32">
        <v>0</v>
      </c>
      <c r="AG48" s="32">
        <v>0</v>
      </c>
      <c r="AH48" s="93">
        <v>0</v>
      </c>
      <c r="AI48" s="93">
        <v>0</v>
      </c>
      <c r="AJ48" s="93">
        <v>0</v>
      </c>
      <c r="AK48" s="32">
        <v>0</v>
      </c>
      <c r="AL48" s="32">
        <v>0</v>
      </c>
      <c r="AM48" s="32">
        <v>0</v>
      </c>
      <c r="AN48" s="32">
        <v>0</v>
      </c>
      <c r="AO48" s="32">
        <v>0</v>
      </c>
      <c r="AP48" s="32">
        <v>0</v>
      </c>
      <c r="AQ48" s="32">
        <v>0</v>
      </c>
      <c r="AR48" s="32">
        <v>0</v>
      </c>
      <c r="AS48" s="32">
        <v>0</v>
      </c>
      <c r="AT48" s="32">
        <v>0</v>
      </c>
      <c r="AU48" s="94">
        <f t="shared" si="7"/>
        <v>13</v>
      </c>
      <c r="AV48" s="95">
        <f t="shared" si="8"/>
        <v>228029.03999999998</v>
      </c>
      <c r="AW48" s="95">
        <f t="shared" si="9"/>
        <v>0</v>
      </c>
      <c r="AX48" s="95">
        <f t="shared" si="10"/>
        <v>19002.419999999998</v>
      </c>
      <c r="AY48" s="95">
        <f t="shared" si="11"/>
        <v>0</v>
      </c>
      <c r="AZ48" s="95">
        <f t="shared" si="12"/>
        <v>0</v>
      </c>
      <c r="BA48" s="95">
        <f t="shared" si="13"/>
        <v>0</v>
      </c>
      <c r="BB48" s="95">
        <f t="shared" si="14"/>
        <v>0</v>
      </c>
      <c r="BC48" s="96">
        <f t="shared" si="15"/>
        <v>0</v>
      </c>
      <c r="BD48" s="96">
        <f t="shared" si="16"/>
        <v>0</v>
      </c>
      <c r="BE48" s="96">
        <f t="shared" si="17"/>
        <v>0</v>
      </c>
      <c r="BF48" s="96">
        <f t="shared" si="18"/>
        <v>0</v>
      </c>
      <c r="BG48" s="96">
        <f t="shared" si="19"/>
        <v>0</v>
      </c>
      <c r="BH48" s="96">
        <f t="shared" si="20"/>
        <v>0</v>
      </c>
      <c r="BI48" s="96">
        <f t="shared" si="21"/>
        <v>0</v>
      </c>
      <c r="BJ48" s="96">
        <f t="shared" si="22"/>
        <v>0</v>
      </c>
      <c r="BK48" s="96">
        <f t="shared" si="23"/>
        <v>0</v>
      </c>
      <c r="BL48" s="96">
        <f t="shared" si="24"/>
        <v>8893.13256</v>
      </c>
      <c r="BM48" s="96">
        <f t="shared" si="25"/>
        <v>0</v>
      </c>
      <c r="BN48" s="96"/>
      <c r="BO48" s="95"/>
      <c r="BP48" s="95">
        <f t="shared" si="26"/>
        <v>0</v>
      </c>
      <c r="BQ48" s="95"/>
      <c r="BR48" s="95"/>
      <c r="BS48" s="95">
        <f t="shared" si="27"/>
        <v>0</v>
      </c>
      <c r="BT48" s="95">
        <f t="shared" si="28"/>
        <v>0</v>
      </c>
      <c r="BU48" s="95">
        <f t="shared" si="29"/>
        <v>0</v>
      </c>
      <c r="BV48" s="95">
        <f t="shared" si="30"/>
        <v>0</v>
      </c>
      <c r="BW48" s="95"/>
      <c r="BX48" s="95"/>
      <c r="BY48" s="95"/>
      <c r="BZ48" s="95"/>
      <c r="CA48" s="95">
        <f t="shared" si="44"/>
        <v>0</v>
      </c>
      <c r="CB48" s="97">
        <f t="shared" si="31"/>
        <v>255924.59255999996</v>
      </c>
      <c r="CC48" s="95"/>
      <c r="CD48" s="95"/>
      <c r="CE48" s="95">
        <f t="shared" si="32"/>
        <v>-7677.7377767999988</v>
      </c>
      <c r="CF48" s="95">
        <f t="shared" si="45"/>
        <v>-2559.2459255999997</v>
      </c>
      <c r="CG48" s="113"/>
      <c r="CH48" s="22"/>
      <c r="CI48" s="98">
        <f t="shared" si="33"/>
        <v>355530.44398435188</v>
      </c>
      <c r="CJ48" s="95">
        <f t="shared" si="34"/>
        <v>-10665.913319530557</v>
      </c>
      <c r="CK48" s="95">
        <f t="shared" si="46"/>
        <v>-3555.304439843519</v>
      </c>
      <c r="CL48" s="95">
        <v>0</v>
      </c>
      <c r="CM48" s="99"/>
      <c r="CN48" s="99">
        <v>0</v>
      </c>
      <c r="CO48" s="110"/>
      <c r="CP48" s="99"/>
      <c r="CQ48" s="99"/>
      <c r="CR48" s="99"/>
      <c r="CS48" s="95"/>
      <c r="CT48" s="95"/>
      <c r="CU48" s="96"/>
      <c r="CV48" s="96"/>
      <c r="CW48" s="96"/>
      <c r="CX48" s="96"/>
      <c r="CY48" s="96"/>
      <c r="CZ48" s="93">
        <f t="shared" si="35"/>
        <v>0</v>
      </c>
      <c r="DA48" s="93">
        <f t="shared" si="36"/>
        <v>0</v>
      </c>
      <c r="DB48" s="95">
        <f t="shared" si="37"/>
        <v>586996.83508257777</v>
      </c>
      <c r="DC48" s="100">
        <f t="shared" si="38"/>
        <v>586997</v>
      </c>
      <c r="DD48" s="100"/>
      <c r="DE48" s="100">
        <f t="shared" si="39"/>
        <v>-586997</v>
      </c>
      <c r="DF48" s="13"/>
      <c r="DG48" s="2"/>
      <c r="DH48" s="46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</row>
    <row r="49" spans="1:156" s="1" customFormat="1" ht="12" customHeight="1" x14ac:dyDescent="0.2">
      <c r="A49" s="88">
        <f t="shared" si="3"/>
        <v>509829</v>
      </c>
      <c r="B49" s="21">
        <v>9829</v>
      </c>
      <c r="C49" s="21" t="s">
        <v>98</v>
      </c>
      <c r="D49" s="84" t="s">
        <v>178</v>
      </c>
      <c r="E49" s="114" t="s">
        <v>201</v>
      </c>
      <c r="F49" s="85">
        <v>0</v>
      </c>
      <c r="G49" s="84"/>
      <c r="H49" s="85"/>
      <c r="I49" s="86"/>
      <c r="J49" s="85"/>
      <c r="K49" s="21" t="s">
        <v>8</v>
      </c>
      <c r="L49" s="21"/>
      <c r="M49" s="87"/>
      <c r="N49" s="88"/>
      <c r="O49" s="88">
        <v>0</v>
      </c>
      <c r="P49" s="89">
        <f t="shared" si="40"/>
        <v>5401.2359999999999</v>
      </c>
      <c r="Q49" s="90">
        <f t="shared" si="41"/>
        <v>18004.12</v>
      </c>
      <c r="R49" s="90">
        <f t="shared" si="42"/>
        <v>25011.1211</v>
      </c>
      <c r="S49" s="91"/>
      <c r="T49" s="92">
        <v>2</v>
      </c>
      <c r="U49" s="32">
        <f t="shared" si="43"/>
        <v>2</v>
      </c>
      <c r="V49" s="32">
        <v>0</v>
      </c>
      <c r="W49" s="32">
        <v>0</v>
      </c>
      <c r="X49" s="93">
        <v>0</v>
      </c>
      <c r="Y49" s="32">
        <v>0</v>
      </c>
      <c r="Z49" s="32">
        <v>0</v>
      </c>
      <c r="AA49" s="32">
        <v>0</v>
      </c>
      <c r="AB49" s="32">
        <v>0</v>
      </c>
      <c r="AC49" s="32">
        <v>0</v>
      </c>
      <c r="AD49" s="93">
        <v>0</v>
      </c>
      <c r="AE49" s="32">
        <v>0</v>
      </c>
      <c r="AF49" s="32">
        <v>0</v>
      </c>
      <c r="AG49" s="32">
        <v>0</v>
      </c>
      <c r="AH49" s="93">
        <v>0</v>
      </c>
      <c r="AI49" s="93">
        <v>0</v>
      </c>
      <c r="AJ49" s="93">
        <v>0</v>
      </c>
      <c r="AK49" s="32">
        <v>0</v>
      </c>
      <c r="AL49" s="32">
        <v>0</v>
      </c>
      <c r="AM49" s="32">
        <v>0</v>
      </c>
      <c r="AN49" s="32">
        <v>0</v>
      </c>
      <c r="AO49" s="32">
        <v>0</v>
      </c>
      <c r="AP49" s="32">
        <v>0</v>
      </c>
      <c r="AQ49" s="32">
        <v>0</v>
      </c>
      <c r="AR49" s="32">
        <v>0</v>
      </c>
      <c r="AS49" s="32">
        <v>0</v>
      </c>
      <c r="AT49" s="32">
        <v>0</v>
      </c>
      <c r="AU49" s="94">
        <f t="shared" si="7"/>
        <v>2</v>
      </c>
      <c r="AV49" s="95">
        <f t="shared" si="8"/>
        <v>36008.239999999998</v>
      </c>
      <c r="AW49" s="95">
        <f t="shared" si="9"/>
        <v>0</v>
      </c>
      <c r="AX49" s="95">
        <f t="shared" si="10"/>
        <v>0</v>
      </c>
      <c r="AY49" s="95">
        <f t="shared" si="11"/>
        <v>0</v>
      </c>
      <c r="AZ49" s="95">
        <f t="shared" si="12"/>
        <v>0</v>
      </c>
      <c r="BA49" s="95">
        <f t="shared" si="13"/>
        <v>0</v>
      </c>
      <c r="BB49" s="95">
        <f t="shared" si="14"/>
        <v>0</v>
      </c>
      <c r="BC49" s="96">
        <f t="shared" si="15"/>
        <v>0</v>
      </c>
      <c r="BD49" s="96">
        <f t="shared" si="16"/>
        <v>0</v>
      </c>
      <c r="BE49" s="96">
        <f t="shared" si="17"/>
        <v>0</v>
      </c>
      <c r="BF49" s="96">
        <f t="shared" si="18"/>
        <v>0</v>
      </c>
      <c r="BG49" s="96">
        <f t="shared" si="19"/>
        <v>0</v>
      </c>
      <c r="BH49" s="96">
        <f t="shared" si="20"/>
        <v>0</v>
      </c>
      <c r="BI49" s="96">
        <f t="shared" si="21"/>
        <v>0</v>
      </c>
      <c r="BJ49" s="96">
        <f t="shared" si="22"/>
        <v>0</v>
      </c>
      <c r="BK49" s="96">
        <f t="shared" si="23"/>
        <v>0</v>
      </c>
      <c r="BL49" s="96">
        <f t="shared" si="24"/>
        <v>0</v>
      </c>
      <c r="BM49" s="96">
        <f t="shared" si="25"/>
        <v>0</v>
      </c>
      <c r="BN49" s="96"/>
      <c r="BO49" s="95"/>
      <c r="BP49" s="95">
        <f t="shared" si="26"/>
        <v>0</v>
      </c>
      <c r="BQ49" s="95"/>
      <c r="BR49" s="95"/>
      <c r="BS49" s="95">
        <f t="shared" si="27"/>
        <v>0</v>
      </c>
      <c r="BT49" s="95">
        <f t="shared" si="28"/>
        <v>0</v>
      </c>
      <c r="BU49" s="95">
        <f t="shared" si="29"/>
        <v>0</v>
      </c>
      <c r="BV49" s="95">
        <f t="shared" si="30"/>
        <v>0</v>
      </c>
      <c r="BW49" s="95"/>
      <c r="BX49" s="95"/>
      <c r="BY49" s="95"/>
      <c r="BZ49" s="95"/>
      <c r="CA49" s="95">
        <f t="shared" si="44"/>
        <v>0</v>
      </c>
      <c r="CB49" s="97">
        <f t="shared" si="31"/>
        <v>36008.239999999998</v>
      </c>
      <c r="CC49" s="95"/>
      <c r="CD49" s="95"/>
      <c r="CE49" s="95">
        <f t="shared" si="32"/>
        <v>-1080.2471999999998</v>
      </c>
      <c r="CF49" s="95">
        <f t="shared" si="45"/>
        <v>-360.08240000000001</v>
      </c>
      <c r="CG49" s="113"/>
      <c r="CH49" s="22"/>
      <c r="CI49" s="98">
        <f t="shared" si="33"/>
        <v>50022.647007999985</v>
      </c>
      <c r="CJ49" s="95">
        <f t="shared" si="34"/>
        <v>-1500.6794102399995</v>
      </c>
      <c r="CK49" s="95">
        <f t="shared" si="46"/>
        <v>-500.22647007999984</v>
      </c>
      <c r="CL49" s="95">
        <v>0</v>
      </c>
      <c r="CM49" s="99"/>
      <c r="CN49" s="99">
        <v>0</v>
      </c>
      <c r="CO49" s="110"/>
      <c r="CP49" s="99"/>
      <c r="CQ49" s="99"/>
      <c r="CR49" s="99"/>
      <c r="CS49" s="95"/>
      <c r="CT49" s="95"/>
      <c r="CU49" s="96"/>
      <c r="CV49" s="96"/>
      <c r="CW49" s="96"/>
      <c r="CX49" s="96"/>
      <c r="CY49" s="96"/>
      <c r="CZ49" s="93">
        <f t="shared" si="35"/>
        <v>0</v>
      </c>
      <c r="DA49" s="93">
        <f t="shared" si="36"/>
        <v>0</v>
      </c>
      <c r="DB49" s="95">
        <f t="shared" si="37"/>
        <v>82589.651527679991</v>
      </c>
      <c r="DC49" s="100">
        <f t="shared" si="38"/>
        <v>82590</v>
      </c>
      <c r="DD49" s="100"/>
      <c r="DE49" s="100">
        <f t="shared" si="39"/>
        <v>-82590</v>
      </c>
      <c r="DF49" s="13"/>
      <c r="DG49" s="2"/>
      <c r="DH49" s="46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</row>
    <row r="50" spans="1:156" s="1" customFormat="1" ht="12" customHeight="1" x14ac:dyDescent="0.2">
      <c r="A50" s="88">
        <f t="shared" ref="A50:A81" si="47">500000+B50</f>
        <v>509648</v>
      </c>
      <c r="B50" s="21">
        <v>9648</v>
      </c>
      <c r="C50" s="21" t="s">
        <v>98</v>
      </c>
      <c r="D50" s="84" t="s">
        <v>108</v>
      </c>
      <c r="E50" s="115" t="s">
        <v>202</v>
      </c>
      <c r="F50" s="85">
        <v>3</v>
      </c>
      <c r="G50" s="84"/>
      <c r="H50" s="85"/>
      <c r="I50" s="86"/>
      <c r="J50" s="85">
        <v>0.15</v>
      </c>
      <c r="K50" s="21" t="s">
        <v>10</v>
      </c>
      <c r="L50" s="21"/>
      <c r="M50" s="87"/>
      <c r="N50" s="88"/>
      <c r="O50" s="88">
        <v>7</v>
      </c>
      <c r="P50" s="89">
        <f t="shared" si="40"/>
        <v>5700.7259999999997</v>
      </c>
      <c r="Q50" s="90">
        <f t="shared" si="41"/>
        <v>19002.419999999998</v>
      </c>
      <c r="R50" s="90">
        <f t="shared" si="42"/>
        <v>26397.963600000003</v>
      </c>
      <c r="S50" s="91"/>
      <c r="T50" s="92">
        <v>4</v>
      </c>
      <c r="U50" s="32">
        <f t="shared" si="43"/>
        <v>4</v>
      </c>
      <c r="V50" s="32">
        <v>0</v>
      </c>
      <c r="W50" s="32">
        <v>0</v>
      </c>
      <c r="X50" s="93">
        <v>0</v>
      </c>
      <c r="Y50" s="32">
        <v>0</v>
      </c>
      <c r="Z50" s="32">
        <v>0</v>
      </c>
      <c r="AA50" s="32">
        <v>0</v>
      </c>
      <c r="AB50" s="32">
        <v>0</v>
      </c>
      <c r="AC50" s="32">
        <v>0</v>
      </c>
      <c r="AD50" s="93">
        <v>0</v>
      </c>
      <c r="AE50" s="32">
        <v>0</v>
      </c>
      <c r="AF50" s="32">
        <v>0</v>
      </c>
      <c r="AG50" s="32">
        <v>0</v>
      </c>
      <c r="AH50" s="93">
        <v>0</v>
      </c>
      <c r="AI50" s="93">
        <v>0</v>
      </c>
      <c r="AJ50" s="93">
        <v>0</v>
      </c>
      <c r="AK50" s="32">
        <v>0</v>
      </c>
      <c r="AL50" s="32">
        <v>0</v>
      </c>
      <c r="AM50" s="32">
        <v>0</v>
      </c>
      <c r="AN50" s="32">
        <v>0</v>
      </c>
      <c r="AO50" s="32">
        <v>0</v>
      </c>
      <c r="AP50" s="32">
        <v>0</v>
      </c>
      <c r="AQ50" s="32">
        <v>0</v>
      </c>
      <c r="AR50" s="32">
        <v>0</v>
      </c>
      <c r="AS50" s="32">
        <v>0</v>
      </c>
      <c r="AT50" s="32">
        <v>0</v>
      </c>
      <c r="AU50" s="94">
        <f t="shared" ref="AU50:AU81" si="48">+U50+V50+W50+Y50-Z50-AB50-AC50-AD50-AE50+AF50-AG50+AJ50</f>
        <v>4</v>
      </c>
      <c r="AV50" s="95">
        <f t="shared" ref="AV50:AV81" si="49">+Q50*U50</f>
        <v>76009.679999999993</v>
      </c>
      <c r="AW50" s="95">
        <f t="shared" ref="AW50:AW81" si="50">+Q50*V50</f>
        <v>0</v>
      </c>
      <c r="AX50" s="95">
        <f t="shared" ref="AX50:AX81" si="51">+Q50*W50</f>
        <v>0</v>
      </c>
      <c r="AY50" s="95">
        <f t="shared" ref="AY50:AY81" si="52">+Q50*X50</f>
        <v>0</v>
      </c>
      <c r="AZ50" s="95">
        <f t="shared" ref="AZ50:AZ81" si="53">+(Q50*1.0833*Y50)+((P50*O50)/25*Y50)</f>
        <v>0</v>
      </c>
      <c r="BA50" s="95">
        <f t="shared" ref="BA50:BA81" si="54">-Q50/8*Z50</f>
        <v>0</v>
      </c>
      <c r="BB50" s="95">
        <f t="shared" ref="BB50:BB81" si="55">+Q50/8*AA50</f>
        <v>0</v>
      </c>
      <c r="BC50" s="96">
        <f t="shared" ref="BC50:BC81" si="56">-Q50*AB50</f>
        <v>0</v>
      </c>
      <c r="BD50" s="96">
        <f t="shared" ref="BD50:BD81" si="57">-Q50*AC50</f>
        <v>0</v>
      </c>
      <c r="BE50" s="96">
        <f t="shared" ref="BE50:BE69" si="58">-Q50/8*AD50</f>
        <v>0</v>
      </c>
      <c r="BF50" s="96">
        <f t="shared" ref="BF50:BF81" si="59">-Q50*AE50</f>
        <v>0</v>
      </c>
      <c r="BG50" s="96">
        <f t="shared" ref="BG50:BG81" si="60">+Q50*AF50</f>
        <v>0</v>
      </c>
      <c r="BH50" s="96">
        <f t="shared" ref="BH50:BH81" si="61">-Q50*AG50</f>
        <v>0</v>
      </c>
      <c r="BI50" s="96">
        <f t="shared" ref="BI50:BI81" si="62">+Q50*AI50</f>
        <v>0</v>
      </c>
      <c r="BJ50" s="96">
        <f t="shared" ref="BJ50:BJ81" si="63">+Q50*AH50</f>
        <v>0</v>
      </c>
      <c r="BK50" s="96">
        <f t="shared" ref="BK50:BK81" si="64">+Q50*AJ50</f>
        <v>0</v>
      </c>
      <c r="BL50" s="96">
        <f t="shared" ref="BL50:BL81" si="65">+(P50*O50)/25*(U50+V50+W50-Z50-AB50-AC50-AD50-AE50+AF50-AG50)</f>
        <v>6384.8131199999989</v>
      </c>
      <c r="BM50" s="96">
        <f t="shared" ref="BM50:BM81" si="66">+$BM$15/25*(U50+V50+Y50+AF50+AH50+AI50)*0</f>
        <v>0</v>
      </c>
      <c r="BN50" s="96"/>
      <c r="BO50" s="95"/>
      <c r="BP50" s="95">
        <f t="shared" ref="BP50:BP81" si="67">+M50*(AU50+AH50+AI50)</f>
        <v>0</v>
      </c>
      <c r="BQ50" s="95"/>
      <c r="BR50" s="95"/>
      <c r="BS50" s="95">
        <f t="shared" ref="BS50:BS81" si="68">+$BS$15*AM50</f>
        <v>0</v>
      </c>
      <c r="BT50" s="95">
        <f t="shared" ref="BT50:BT81" si="69">+$BT$15*AN50</f>
        <v>0</v>
      </c>
      <c r="BU50" s="95">
        <f t="shared" ref="BU50:BU81" si="70">+$BU$15*AO50</f>
        <v>0</v>
      </c>
      <c r="BV50" s="95">
        <f t="shared" ref="BV50:BV81" si="71">+$BV$15*AP50</f>
        <v>0</v>
      </c>
      <c r="BW50" s="95"/>
      <c r="BX50" s="95"/>
      <c r="BY50" s="95"/>
      <c r="BZ50" s="95"/>
      <c r="CA50" s="95">
        <f t="shared" si="44"/>
        <v>0</v>
      </c>
      <c r="CB50" s="97">
        <f t="shared" ref="CB50:CB81" si="72">SUM(AV50:CA50)</f>
        <v>82394.493119999999</v>
      </c>
      <c r="CC50" s="95"/>
      <c r="CD50" s="95"/>
      <c r="CE50" s="95">
        <f t="shared" ref="CE50:CE81" si="73">-MIN(CB50,$CC$12)*$CD$15</f>
        <v>-2471.8347936</v>
      </c>
      <c r="CF50" s="95">
        <f t="shared" si="45"/>
        <v>-1235.9173968</v>
      </c>
      <c r="CG50" s="113"/>
      <c r="CH50" s="22"/>
      <c r="CI50" s="98">
        <f t="shared" ref="CI50:CI81" si="74">+IF(H50&gt;59,0,(CB50*138.92%))</f>
        <v>114462.42984230397</v>
      </c>
      <c r="CJ50" s="95">
        <f t="shared" ref="CJ50:CJ81" si="75">-MIN(CI50,$CC$12)*$CD$15</f>
        <v>-3433.872895269119</v>
      </c>
      <c r="CK50" s="95">
        <f t="shared" si="46"/>
        <v>-1716.9364476345595</v>
      </c>
      <c r="CL50" s="95">
        <v>0</v>
      </c>
      <c r="CM50" s="99"/>
      <c r="CN50" s="99">
        <v>0</v>
      </c>
      <c r="CO50" s="110"/>
      <c r="CP50" s="99"/>
      <c r="CQ50" s="99"/>
      <c r="CR50" s="99"/>
      <c r="CS50" s="95"/>
      <c r="CT50" s="95"/>
      <c r="CU50" s="96"/>
      <c r="CV50" s="96"/>
      <c r="CW50" s="96"/>
      <c r="CX50" s="96"/>
      <c r="CY50" s="96"/>
      <c r="CZ50" s="93">
        <f t="shared" ref="CZ50:CZ82" si="76">-SUM(CB50+CC50+CD50+CE50+CF50)*I50</f>
        <v>0</v>
      </c>
      <c r="DA50" s="93">
        <f t="shared" ref="DA50:DA82" si="77">-SUM(CB50+CC50+CD50+CE50+CF50+CI50+CJ50+CK50)*J50</f>
        <v>-28199.75421435004</v>
      </c>
      <c r="DB50" s="95">
        <f t="shared" ref="DB50:DB81" si="78">SUM(CB50:DA50)</f>
        <v>159798.60721465023</v>
      </c>
      <c r="DC50" s="100">
        <f t="shared" ref="DC50:DC81" si="79">ROUND(DB50,0)</f>
        <v>159799</v>
      </c>
      <c r="DD50" s="100"/>
      <c r="DE50" s="100">
        <f t="shared" ref="DE50:DE81" si="80">+DD50-DC50</f>
        <v>-159799</v>
      </c>
      <c r="DF50" s="13"/>
      <c r="DG50" s="2"/>
      <c r="DH50" s="46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</row>
    <row r="51" spans="1:156" s="1" customFormat="1" ht="12" hidden="1" customHeight="1" x14ac:dyDescent="0.2">
      <c r="A51" s="88">
        <f t="shared" si="47"/>
        <v>509676</v>
      </c>
      <c r="B51" s="21">
        <v>9676</v>
      </c>
      <c r="C51" s="21" t="s">
        <v>98</v>
      </c>
      <c r="D51" s="84" t="s">
        <v>123</v>
      </c>
      <c r="E51" s="115" t="s">
        <v>202</v>
      </c>
      <c r="F51" s="85">
        <v>3</v>
      </c>
      <c r="G51" s="84"/>
      <c r="H51" s="85"/>
      <c r="I51" s="86"/>
      <c r="J51" s="85"/>
      <c r="K51" s="21" t="s">
        <v>8</v>
      </c>
      <c r="L51" s="21"/>
      <c r="M51" s="87"/>
      <c r="N51" s="88"/>
      <c r="O51" s="88">
        <v>7</v>
      </c>
      <c r="P51" s="89">
        <f t="shared" si="40"/>
        <v>5401.2359999999999</v>
      </c>
      <c r="Q51" s="90">
        <f t="shared" si="41"/>
        <v>18004.12</v>
      </c>
      <c r="R51" s="90">
        <f t="shared" si="42"/>
        <v>25011.1211</v>
      </c>
      <c r="S51" s="91"/>
      <c r="T51" s="92">
        <v>0</v>
      </c>
      <c r="U51" s="32">
        <f t="shared" si="43"/>
        <v>0</v>
      </c>
      <c r="V51" s="32">
        <v>0</v>
      </c>
      <c r="W51" s="32">
        <v>0</v>
      </c>
      <c r="X51" s="93">
        <v>0</v>
      </c>
      <c r="Y51" s="32">
        <v>0</v>
      </c>
      <c r="Z51" s="32">
        <v>0</v>
      </c>
      <c r="AA51" s="32">
        <v>0</v>
      </c>
      <c r="AB51" s="32">
        <v>0</v>
      </c>
      <c r="AC51" s="32">
        <v>0</v>
      </c>
      <c r="AD51" s="93">
        <v>0</v>
      </c>
      <c r="AE51" s="32">
        <v>0</v>
      </c>
      <c r="AF51" s="32">
        <v>0</v>
      </c>
      <c r="AG51" s="32">
        <v>0</v>
      </c>
      <c r="AH51" s="93">
        <v>0</v>
      </c>
      <c r="AI51" s="93">
        <v>0</v>
      </c>
      <c r="AJ51" s="93">
        <v>0</v>
      </c>
      <c r="AK51" s="32">
        <v>0</v>
      </c>
      <c r="AL51" s="32">
        <v>0</v>
      </c>
      <c r="AM51" s="32">
        <v>0</v>
      </c>
      <c r="AN51" s="32">
        <v>0</v>
      </c>
      <c r="AO51" s="32">
        <v>0</v>
      </c>
      <c r="AP51" s="32">
        <v>0</v>
      </c>
      <c r="AQ51" s="32">
        <v>0</v>
      </c>
      <c r="AR51" s="32">
        <v>0</v>
      </c>
      <c r="AS51" s="32">
        <v>0</v>
      </c>
      <c r="AT51" s="32">
        <v>0</v>
      </c>
      <c r="AU51" s="94">
        <f t="shared" si="48"/>
        <v>0</v>
      </c>
      <c r="AV51" s="95">
        <f t="shared" si="49"/>
        <v>0</v>
      </c>
      <c r="AW51" s="95">
        <f t="shared" si="50"/>
        <v>0</v>
      </c>
      <c r="AX51" s="95">
        <f t="shared" si="51"/>
        <v>0</v>
      </c>
      <c r="AY51" s="95">
        <f t="shared" si="52"/>
        <v>0</v>
      </c>
      <c r="AZ51" s="95">
        <f t="shared" si="53"/>
        <v>0</v>
      </c>
      <c r="BA51" s="95">
        <f t="shared" si="54"/>
        <v>0</v>
      </c>
      <c r="BB51" s="95">
        <f t="shared" si="55"/>
        <v>0</v>
      </c>
      <c r="BC51" s="96">
        <f t="shared" si="56"/>
        <v>0</v>
      </c>
      <c r="BD51" s="96">
        <f t="shared" si="57"/>
        <v>0</v>
      </c>
      <c r="BE51" s="96">
        <f t="shared" si="58"/>
        <v>0</v>
      </c>
      <c r="BF51" s="96">
        <f t="shared" si="59"/>
        <v>0</v>
      </c>
      <c r="BG51" s="96">
        <f t="shared" si="60"/>
        <v>0</v>
      </c>
      <c r="BH51" s="96">
        <f t="shared" si="61"/>
        <v>0</v>
      </c>
      <c r="BI51" s="96">
        <f t="shared" si="62"/>
        <v>0</v>
      </c>
      <c r="BJ51" s="96">
        <f t="shared" si="63"/>
        <v>0</v>
      </c>
      <c r="BK51" s="96">
        <f t="shared" si="64"/>
        <v>0</v>
      </c>
      <c r="BL51" s="96">
        <f t="shared" si="65"/>
        <v>0</v>
      </c>
      <c r="BM51" s="96">
        <f t="shared" si="66"/>
        <v>0</v>
      </c>
      <c r="BN51" s="96"/>
      <c r="BO51" s="95"/>
      <c r="BP51" s="95">
        <f t="shared" si="67"/>
        <v>0</v>
      </c>
      <c r="BQ51" s="95"/>
      <c r="BR51" s="95"/>
      <c r="BS51" s="95">
        <f t="shared" si="68"/>
        <v>0</v>
      </c>
      <c r="BT51" s="95">
        <f t="shared" si="69"/>
        <v>0</v>
      </c>
      <c r="BU51" s="95">
        <f t="shared" si="70"/>
        <v>0</v>
      </c>
      <c r="BV51" s="95">
        <f t="shared" si="71"/>
        <v>0</v>
      </c>
      <c r="BW51" s="95"/>
      <c r="BX51" s="95"/>
      <c r="BY51" s="95"/>
      <c r="BZ51" s="95"/>
      <c r="CA51" s="95">
        <f t="shared" si="44"/>
        <v>0</v>
      </c>
      <c r="CB51" s="97">
        <f t="shared" si="72"/>
        <v>0</v>
      </c>
      <c r="CC51" s="95"/>
      <c r="CD51" s="95"/>
      <c r="CE51" s="95">
        <f t="shared" si="73"/>
        <v>0</v>
      </c>
      <c r="CF51" s="95">
        <f t="shared" si="45"/>
        <v>0</v>
      </c>
      <c r="CG51" s="113"/>
      <c r="CH51" s="22"/>
      <c r="CI51" s="98">
        <f t="shared" si="74"/>
        <v>0</v>
      </c>
      <c r="CJ51" s="95">
        <f t="shared" si="75"/>
        <v>0</v>
      </c>
      <c r="CK51" s="95">
        <f t="shared" si="46"/>
        <v>0</v>
      </c>
      <c r="CL51" s="95">
        <v>0</v>
      </c>
      <c r="CM51" s="99"/>
      <c r="CN51" s="99">
        <v>0</v>
      </c>
      <c r="CO51" s="110"/>
      <c r="CP51" s="99"/>
      <c r="CQ51" s="99"/>
      <c r="CR51" s="99"/>
      <c r="CS51" s="95"/>
      <c r="CT51" s="95"/>
      <c r="CU51" s="96"/>
      <c r="CV51" s="96"/>
      <c r="CW51" s="96"/>
      <c r="CX51" s="96"/>
      <c r="CY51" s="96"/>
      <c r="CZ51" s="93">
        <f t="shared" si="76"/>
        <v>0</v>
      </c>
      <c r="DA51" s="93">
        <f t="shared" si="77"/>
        <v>0</v>
      </c>
      <c r="DB51" s="95">
        <f t="shared" si="78"/>
        <v>0</v>
      </c>
      <c r="DC51" s="100">
        <f t="shared" si="79"/>
        <v>0</v>
      </c>
      <c r="DD51" s="100"/>
      <c r="DE51" s="100">
        <f t="shared" si="80"/>
        <v>0</v>
      </c>
      <c r="DF51" s="13"/>
      <c r="DG51" s="2"/>
      <c r="DH51" s="46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</row>
    <row r="52" spans="1:156" s="1" customFormat="1" ht="12" hidden="1" customHeight="1" x14ac:dyDescent="0.2">
      <c r="A52" s="88">
        <f t="shared" si="47"/>
        <v>509678</v>
      </c>
      <c r="B52" s="21">
        <v>9678</v>
      </c>
      <c r="C52" s="21" t="s">
        <v>98</v>
      </c>
      <c r="D52" s="84" t="s">
        <v>124</v>
      </c>
      <c r="E52" s="114" t="s">
        <v>201</v>
      </c>
      <c r="F52" s="85">
        <v>3</v>
      </c>
      <c r="G52" s="84"/>
      <c r="H52" s="85">
        <v>65</v>
      </c>
      <c r="I52" s="86"/>
      <c r="J52" s="85"/>
      <c r="K52" s="21" t="s">
        <v>8</v>
      </c>
      <c r="L52" s="21"/>
      <c r="M52" s="87"/>
      <c r="N52" s="88"/>
      <c r="O52" s="88">
        <v>22</v>
      </c>
      <c r="P52" s="89">
        <f t="shared" si="40"/>
        <v>5401.2359999999999</v>
      </c>
      <c r="Q52" s="90">
        <f t="shared" si="41"/>
        <v>18004.12</v>
      </c>
      <c r="R52" s="90">
        <f t="shared" si="42"/>
        <v>25011.1211</v>
      </c>
      <c r="S52" s="91"/>
      <c r="T52" s="92">
        <v>0</v>
      </c>
      <c r="U52" s="32">
        <f t="shared" si="43"/>
        <v>0</v>
      </c>
      <c r="V52" s="32">
        <v>0</v>
      </c>
      <c r="W52" s="32">
        <v>0</v>
      </c>
      <c r="X52" s="93">
        <v>0</v>
      </c>
      <c r="Y52" s="32">
        <v>0</v>
      </c>
      <c r="Z52" s="32">
        <v>0</v>
      </c>
      <c r="AA52" s="32">
        <v>0</v>
      </c>
      <c r="AB52" s="32">
        <v>0</v>
      </c>
      <c r="AC52" s="32">
        <v>0</v>
      </c>
      <c r="AD52" s="93">
        <v>0</v>
      </c>
      <c r="AE52" s="32">
        <v>0</v>
      </c>
      <c r="AF52" s="32">
        <v>0</v>
      </c>
      <c r="AG52" s="32">
        <v>0</v>
      </c>
      <c r="AH52" s="93">
        <v>0</v>
      </c>
      <c r="AI52" s="93">
        <v>0</v>
      </c>
      <c r="AJ52" s="93">
        <v>0</v>
      </c>
      <c r="AK52" s="32">
        <v>0</v>
      </c>
      <c r="AL52" s="32">
        <v>0</v>
      </c>
      <c r="AM52" s="32">
        <v>0</v>
      </c>
      <c r="AN52" s="32">
        <v>0</v>
      </c>
      <c r="AO52" s="32">
        <v>0</v>
      </c>
      <c r="AP52" s="32">
        <v>0</v>
      </c>
      <c r="AQ52" s="32">
        <v>0</v>
      </c>
      <c r="AR52" s="32">
        <v>0</v>
      </c>
      <c r="AS52" s="32">
        <v>0</v>
      </c>
      <c r="AT52" s="32">
        <v>0</v>
      </c>
      <c r="AU52" s="94">
        <f t="shared" si="48"/>
        <v>0</v>
      </c>
      <c r="AV52" s="95">
        <f t="shared" si="49"/>
        <v>0</v>
      </c>
      <c r="AW52" s="95">
        <f t="shared" si="50"/>
        <v>0</v>
      </c>
      <c r="AX52" s="95">
        <f t="shared" si="51"/>
        <v>0</v>
      </c>
      <c r="AY52" s="95">
        <f t="shared" si="52"/>
        <v>0</v>
      </c>
      <c r="AZ52" s="95">
        <f t="shared" si="53"/>
        <v>0</v>
      </c>
      <c r="BA52" s="95">
        <f t="shared" si="54"/>
        <v>0</v>
      </c>
      <c r="BB52" s="95">
        <f t="shared" si="55"/>
        <v>0</v>
      </c>
      <c r="BC52" s="96">
        <f t="shared" si="56"/>
        <v>0</v>
      </c>
      <c r="BD52" s="96">
        <f t="shared" si="57"/>
        <v>0</v>
      </c>
      <c r="BE52" s="96">
        <f t="shared" si="58"/>
        <v>0</v>
      </c>
      <c r="BF52" s="96">
        <f t="shared" si="59"/>
        <v>0</v>
      </c>
      <c r="BG52" s="96">
        <f t="shared" si="60"/>
        <v>0</v>
      </c>
      <c r="BH52" s="96">
        <f t="shared" si="61"/>
        <v>0</v>
      </c>
      <c r="BI52" s="96">
        <f t="shared" si="62"/>
        <v>0</v>
      </c>
      <c r="BJ52" s="96">
        <f t="shared" si="63"/>
        <v>0</v>
      </c>
      <c r="BK52" s="96">
        <f t="shared" si="64"/>
        <v>0</v>
      </c>
      <c r="BL52" s="96">
        <f t="shared" si="65"/>
        <v>0</v>
      </c>
      <c r="BM52" s="96">
        <f t="shared" si="66"/>
        <v>0</v>
      </c>
      <c r="BN52" s="96"/>
      <c r="BO52" s="95"/>
      <c r="BP52" s="95">
        <f t="shared" si="67"/>
        <v>0</v>
      </c>
      <c r="BQ52" s="95"/>
      <c r="BR52" s="95"/>
      <c r="BS52" s="95">
        <f t="shared" si="68"/>
        <v>0</v>
      </c>
      <c r="BT52" s="95">
        <f t="shared" si="69"/>
        <v>0</v>
      </c>
      <c r="BU52" s="95">
        <f t="shared" si="70"/>
        <v>0</v>
      </c>
      <c r="BV52" s="95">
        <f t="shared" si="71"/>
        <v>0</v>
      </c>
      <c r="BW52" s="95"/>
      <c r="BX52" s="95"/>
      <c r="BY52" s="95"/>
      <c r="BZ52" s="95"/>
      <c r="CA52" s="95">
        <f t="shared" si="44"/>
        <v>0</v>
      </c>
      <c r="CB52" s="97">
        <f t="shared" si="72"/>
        <v>0</v>
      </c>
      <c r="CC52" s="95"/>
      <c r="CD52" s="95"/>
      <c r="CE52" s="95">
        <f t="shared" si="73"/>
        <v>0</v>
      </c>
      <c r="CF52" s="95">
        <f t="shared" si="45"/>
        <v>0</v>
      </c>
      <c r="CG52" s="113"/>
      <c r="CH52" s="22"/>
      <c r="CI52" s="98">
        <f t="shared" si="74"/>
        <v>0</v>
      </c>
      <c r="CJ52" s="95">
        <f t="shared" si="75"/>
        <v>0</v>
      </c>
      <c r="CK52" s="95">
        <f t="shared" si="46"/>
        <v>0</v>
      </c>
      <c r="CL52" s="95">
        <v>0</v>
      </c>
      <c r="CM52" s="99"/>
      <c r="CN52" s="99">
        <v>0</v>
      </c>
      <c r="CO52" s="110"/>
      <c r="CP52" s="99"/>
      <c r="CQ52" s="99"/>
      <c r="CR52" s="99"/>
      <c r="CS52" s="95"/>
      <c r="CT52" s="95"/>
      <c r="CU52" s="96"/>
      <c r="CV52" s="96"/>
      <c r="CW52" s="96"/>
      <c r="CX52" s="96"/>
      <c r="CY52" s="96"/>
      <c r="CZ52" s="93">
        <f t="shared" si="76"/>
        <v>0</v>
      </c>
      <c r="DA52" s="93">
        <f t="shared" si="77"/>
        <v>0</v>
      </c>
      <c r="DB52" s="95">
        <f t="shared" si="78"/>
        <v>0</v>
      </c>
      <c r="DC52" s="100">
        <f t="shared" si="79"/>
        <v>0</v>
      </c>
      <c r="DD52" s="100"/>
      <c r="DE52" s="100">
        <f t="shared" si="80"/>
        <v>0</v>
      </c>
      <c r="DF52" s="13"/>
      <c r="DG52" s="2"/>
      <c r="DH52" s="46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</row>
    <row r="53" spans="1:156" s="1" customFormat="1" ht="12" customHeight="1" x14ac:dyDescent="0.2">
      <c r="A53" s="88">
        <f t="shared" si="47"/>
        <v>509679</v>
      </c>
      <c r="B53" s="21">
        <v>9679</v>
      </c>
      <c r="C53" s="21" t="s">
        <v>98</v>
      </c>
      <c r="D53" s="84" t="s">
        <v>125</v>
      </c>
      <c r="E53" s="115" t="s">
        <v>202</v>
      </c>
      <c r="F53" s="85">
        <v>3</v>
      </c>
      <c r="G53" s="84"/>
      <c r="H53" s="85"/>
      <c r="I53" s="86"/>
      <c r="J53" s="85"/>
      <c r="K53" s="21" t="s">
        <v>10</v>
      </c>
      <c r="L53" s="21"/>
      <c r="M53" s="87"/>
      <c r="N53" s="88"/>
      <c r="O53" s="88">
        <v>11</v>
      </c>
      <c r="P53" s="89">
        <f t="shared" si="40"/>
        <v>5700.7259999999997</v>
      </c>
      <c r="Q53" s="90">
        <f t="shared" si="41"/>
        <v>19002.419999999998</v>
      </c>
      <c r="R53" s="90">
        <f t="shared" si="42"/>
        <v>26397.963600000003</v>
      </c>
      <c r="S53" s="91"/>
      <c r="T53" s="92">
        <v>13</v>
      </c>
      <c r="U53" s="32">
        <f t="shared" si="43"/>
        <v>13</v>
      </c>
      <c r="V53" s="32">
        <v>0</v>
      </c>
      <c r="W53" s="32">
        <v>0</v>
      </c>
      <c r="X53" s="93">
        <v>1</v>
      </c>
      <c r="Y53" s="32">
        <v>0</v>
      </c>
      <c r="Z53" s="32">
        <v>0</v>
      </c>
      <c r="AA53" s="32">
        <v>0</v>
      </c>
      <c r="AB53" s="32">
        <v>0</v>
      </c>
      <c r="AC53" s="32">
        <v>0</v>
      </c>
      <c r="AD53" s="93">
        <v>0</v>
      </c>
      <c r="AE53" s="32">
        <v>0</v>
      </c>
      <c r="AF53" s="32">
        <v>0</v>
      </c>
      <c r="AG53" s="32">
        <v>0</v>
      </c>
      <c r="AH53" s="93">
        <v>0</v>
      </c>
      <c r="AI53" s="93">
        <v>0</v>
      </c>
      <c r="AJ53" s="93">
        <v>0</v>
      </c>
      <c r="AK53" s="32">
        <v>0</v>
      </c>
      <c r="AL53" s="32">
        <v>0</v>
      </c>
      <c r="AM53" s="32">
        <v>0</v>
      </c>
      <c r="AN53" s="32">
        <v>0</v>
      </c>
      <c r="AO53" s="32">
        <v>0</v>
      </c>
      <c r="AP53" s="32">
        <v>0</v>
      </c>
      <c r="AQ53" s="32">
        <v>0</v>
      </c>
      <c r="AR53" s="32">
        <v>0</v>
      </c>
      <c r="AS53" s="32">
        <v>0</v>
      </c>
      <c r="AT53" s="32">
        <v>0</v>
      </c>
      <c r="AU53" s="94">
        <f t="shared" si="48"/>
        <v>13</v>
      </c>
      <c r="AV53" s="95">
        <f t="shared" si="49"/>
        <v>247031.45999999996</v>
      </c>
      <c r="AW53" s="95">
        <f t="shared" si="50"/>
        <v>0</v>
      </c>
      <c r="AX53" s="95">
        <f t="shared" si="51"/>
        <v>0</v>
      </c>
      <c r="AY53" s="95">
        <f t="shared" si="52"/>
        <v>19002.419999999998</v>
      </c>
      <c r="AZ53" s="95">
        <f t="shared" si="53"/>
        <v>0</v>
      </c>
      <c r="BA53" s="95">
        <f t="shared" si="54"/>
        <v>0</v>
      </c>
      <c r="BB53" s="95">
        <f t="shared" si="55"/>
        <v>0</v>
      </c>
      <c r="BC53" s="96">
        <f t="shared" si="56"/>
        <v>0</v>
      </c>
      <c r="BD53" s="96">
        <f t="shared" si="57"/>
        <v>0</v>
      </c>
      <c r="BE53" s="96">
        <f t="shared" si="58"/>
        <v>0</v>
      </c>
      <c r="BF53" s="96">
        <f t="shared" si="59"/>
        <v>0</v>
      </c>
      <c r="BG53" s="96">
        <f t="shared" si="60"/>
        <v>0</v>
      </c>
      <c r="BH53" s="96">
        <f t="shared" si="61"/>
        <v>0</v>
      </c>
      <c r="BI53" s="96">
        <f t="shared" si="62"/>
        <v>0</v>
      </c>
      <c r="BJ53" s="96">
        <f t="shared" si="63"/>
        <v>0</v>
      </c>
      <c r="BK53" s="96">
        <f t="shared" si="64"/>
        <v>0</v>
      </c>
      <c r="BL53" s="96">
        <f t="shared" si="65"/>
        <v>32608.152719999998</v>
      </c>
      <c r="BM53" s="96">
        <f t="shared" si="66"/>
        <v>0</v>
      </c>
      <c r="BN53" s="96"/>
      <c r="BO53" s="95"/>
      <c r="BP53" s="95">
        <f t="shared" si="67"/>
        <v>0</v>
      </c>
      <c r="BQ53" s="95"/>
      <c r="BR53" s="95"/>
      <c r="BS53" s="95">
        <f t="shared" si="68"/>
        <v>0</v>
      </c>
      <c r="BT53" s="95">
        <f t="shared" si="69"/>
        <v>0</v>
      </c>
      <c r="BU53" s="95">
        <f t="shared" si="70"/>
        <v>0</v>
      </c>
      <c r="BV53" s="95">
        <f t="shared" si="71"/>
        <v>0</v>
      </c>
      <c r="BW53" s="95"/>
      <c r="BX53" s="95"/>
      <c r="BY53" s="95"/>
      <c r="BZ53" s="95"/>
      <c r="CA53" s="95">
        <f t="shared" si="44"/>
        <v>0</v>
      </c>
      <c r="CB53" s="97">
        <f t="shared" si="72"/>
        <v>298642.03271999996</v>
      </c>
      <c r="CC53" s="95"/>
      <c r="CD53" s="95"/>
      <c r="CE53" s="95">
        <f t="shared" si="73"/>
        <v>-8959.2609815999986</v>
      </c>
      <c r="CF53" s="95">
        <f t="shared" si="45"/>
        <v>-4479.6304907999993</v>
      </c>
      <c r="CG53" s="113"/>
      <c r="CH53" s="22"/>
      <c r="CI53" s="98">
        <f t="shared" si="74"/>
        <v>414873.51185462385</v>
      </c>
      <c r="CJ53" s="95">
        <f t="shared" si="75"/>
        <v>-12446.205355638715</v>
      </c>
      <c r="CK53" s="95">
        <f t="shared" si="46"/>
        <v>-6223.1026778193573</v>
      </c>
      <c r="CL53" s="95">
        <v>0</v>
      </c>
      <c r="CM53" s="99"/>
      <c r="CN53" s="99">
        <v>0</v>
      </c>
      <c r="CO53" s="110"/>
      <c r="CP53" s="99"/>
      <c r="CQ53" s="99"/>
      <c r="CR53" s="99"/>
      <c r="CS53" s="95"/>
      <c r="CT53" s="95"/>
      <c r="CU53" s="96"/>
      <c r="CV53" s="96"/>
      <c r="CW53" s="96"/>
      <c r="CX53" s="96"/>
      <c r="CY53" s="96"/>
      <c r="CZ53" s="93">
        <f t="shared" si="76"/>
        <v>0</v>
      </c>
      <c r="DA53" s="93">
        <f t="shared" si="77"/>
        <v>0</v>
      </c>
      <c r="DB53" s="95">
        <f t="shared" si="78"/>
        <v>681407.34506876569</v>
      </c>
      <c r="DC53" s="100">
        <f t="shared" si="79"/>
        <v>681407</v>
      </c>
      <c r="DD53" s="100"/>
      <c r="DE53" s="100">
        <f t="shared" si="80"/>
        <v>-681407</v>
      </c>
      <c r="DF53" s="13"/>
      <c r="DG53" s="2"/>
      <c r="DH53" s="46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</row>
    <row r="54" spans="1:156" s="1" customFormat="1" ht="12" hidden="1" customHeight="1" x14ac:dyDescent="0.2">
      <c r="A54" s="88">
        <f t="shared" si="47"/>
        <v>509681</v>
      </c>
      <c r="B54" s="21">
        <v>9681</v>
      </c>
      <c r="C54" s="21" t="s">
        <v>98</v>
      </c>
      <c r="D54" s="84" t="s">
        <v>126</v>
      </c>
      <c r="E54" s="115" t="s">
        <v>202</v>
      </c>
      <c r="F54" s="85">
        <v>3</v>
      </c>
      <c r="G54" s="84"/>
      <c r="H54" s="85"/>
      <c r="I54" s="86"/>
      <c r="J54" s="85"/>
      <c r="K54" s="21" t="s">
        <v>10</v>
      </c>
      <c r="L54" s="21"/>
      <c r="M54" s="87"/>
      <c r="N54" s="88"/>
      <c r="O54" s="88">
        <v>7</v>
      </c>
      <c r="P54" s="89">
        <f t="shared" si="40"/>
        <v>5700.7259999999997</v>
      </c>
      <c r="Q54" s="90">
        <f t="shared" si="41"/>
        <v>19002.419999999998</v>
      </c>
      <c r="R54" s="90">
        <f t="shared" si="42"/>
        <v>26397.963600000003</v>
      </c>
      <c r="S54" s="91"/>
      <c r="T54" s="92">
        <v>0</v>
      </c>
      <c r="U54" s="32">
        <f t="shared" si="43"/>
        <v>0</v>
      </c>
      <c r="V54" s="32">
        <v>0</v>
      </c>
      <c r="W54" s="32">
        <v>0</v>
      </c>
      <c r="X54" s="93">
        <v>0</v>
      </c>
      <c r="Y54" s="32">
        <v>0</v>
      </c>
      <c r="Z54" s="32">
        <v>0</v>
      </c>
      <c r="AA54" s="32">
        <v>0</v>
      </c>
      <c r="AB54" s="32">
        <v>0</v>
      </c>
      <c r="AC54" s="32">
        <v>0</v>
      </c>
      <c r="AD54" s="93">
        <v>0</v>
      </c>
      <c r="AE54" s="32">
        <v>0</v>
      </c>
      <c r="AF54" s="32">
        <v>0</v>
      </c>
      <c r="AG54" s="32">
        <v>0</v>
      </c>
      <c r="AH54" s="93">
        <v>0</v>
      </c>
      <c r="AI54" s="93">
        <v>0</v>
      </c>
      <c r="AJ54" s="93">
        <v>0</v>
      </c>
      <c r="AK54" s="32">
        <v>0</v>
      </c>
      <c r="AL54" s="32">
        <v>0</v>
      </c>
      <c r="AM54" s="32">
        <v>0</v>
      </c>
      <c r="AN54" s="32">
        <v>0</v>
      </c>
      <c r="AO54" s="32">
        <v>0</v>
      </c>
      <c r="AP54" s="32">
        <v>0</v>
      </c>
      <c r="AQ54" s="32">
        <v>0</v>
      </c>
      <c r="AR54" s="32">
        <v>0</v>
      </c>
      <c r="AS54" s="32">
        <v>0</v>
      </c>
      <c r="AT54" s="32">
        <v>0</v>
      </c>
      <c r="AU54" s="94">
        <f t="shared" si="48"/>
        <v>0</v>
      </c>
      <c r="AV54" s="95">
        <f t="shared" si="49"/>
        <v>0</v>
      </c>
      <c r="AW54" s="95">
        <f t="shared" si="50"/>
        <v>0</v>
      </c>
      <c r="AX54" s="95">
        <f t="shared" si="51"/>
        <v>0</v>
      </c>
      <c r="AY54" s="95">
        <f t="shared" si="52"/>
        <v>0</v>
      </c>
      <c r="AZ54" s="95">
        <f t="shared" si="53"/>
        <v>0</v>
      </c>
      <c r="BA54" s="95">
        <f t="shared" si="54"/>
        <v>0</v>
      </c>
      <c r="BB54" s="95">
        <f t="shared" si="55"/>
        <v>0</v>
      </c>
      <c r="BC54" s="96">
        <f t="shared" si="56"/>
        <v>0</v>
      </c>
      <c r="BD54" s="96">
        <f t="shared" si="57"/>
        <v>0</v>
      </c>
      <c r="BE54" s="96">
        <f t="shared" si="58"/>
        <v>0</v>
      </c>
      <c r="BF54" s="96">
        <f t="shared" si="59"/>
        <v>0</v>
      </c>
      <c r="BG54" s="96">
        <f t="shared" si="60"/>
        <v>0</v>
      </c>
      <c r="BH54" s="96">
        <f t="shared" si="61"/>
        <v>0</v>
      </c>
      <c r="BI54" s="96">
        <f t="shared" si="62"/>
        <v>0</v>
      </c>
      <c r="BJ54" s="96">
        <f t="shared" si="63"/>
        <v>0</v>
      </c>
      <c r="BK54" s="96">
        <f t="shared" si="64"/>
        <v>0</v>
      </c>
      <c r="BL54" s="96">
        <f t="shared" si="65"/>
        <v>0</v>
      </c>
      <c r="BM54" s="96">
        <f t="shared" si="66"/>
        <v>0</v>
      </c>
      <c r="BN54" s="96"/>
      <c r="BO54" s="95"/>
      <c r="BP54" s="95">
        <f t="shared" si="67"/>
        <v>0</v>
      </c>
      <c r="BQ54" s="95"/>
      <c r="BR54" s="95"/>
      <c r="BS54" s="95">
        <f t="shared" si="68"/>
        <v>0</v>
      </c>
      <c r="BT54" s="95">
        <f t="shared" si="69"/>
        <v>0</v>
      </c>
      <c r="BU54" s="95">
        <f t="shared" si="70"/>
        <v>0</v>
      </c>
      <c r="BV54" s="95">
        <f t="shared" si="71"/>
        <v>0</v>
      </c>
      <c r="BW54" s="95"/>
      <c r="BX54" s="95"/>
      <c r="BY54" s="95"/>
      <c r="BZ54" s="95"/>
      <c r="CA54" s="95">
        <f t="shared" si="44"/>
        <v>0</v>
      </c>
      <c r="CB54" s="97">
        <f t="shared" si="72"/>
        <v>0</v>
      </c>
      <c r="CC54" s="95"/>
      <c r="CD54" s="95"/>
      <c r="CE54" s="95">
        <f t="shared" si="73"/>
        <v>0</v>
      </c>
      <c r="CF54" s="95">
        <f t="shared" si="45"/>
        <v>0</v>
      </c>
      <c r="CG54" s="113"/>
      <c r="CH54" s="22"/>
      <c r="CI54" s="98">
        <f t="shared" si="74"/>
        <v>0</v>
      </c>
      <c r="CJ54" s="95">
        <f t="shared" si="75"/>
        <v>0</v>
      </c>
      <c r="CK54" s="95">
        <f t="shared" si="46"/>
        <v>0</v>
      </c>
      <c r="CL54" s="95">
        <v>0</v>
      </c>
      <c r="CM54" s="99"/>
      <c r="CN54" s="99">
        <v>0</v>
      </c>
      <c r="CO54" s="110"/>
      <c r="CP54" s="99"/>
      <c r="CQ54" s="99"/>
      <c r="CR54" s="99"/>
      <c r="CS54" s="95"/>
      <c r="CT54" s="95"/>
      <c r="CU54" s="96"/>
      <c r="CV54" s="96"/>
      <c r="CW54" s="96"/>
      <c r="CX54" s="96"/>
      <c r="CY54" s="96"/>
      <c r="CZ54" s="93">
        <f t="shared" si="76"/>
        <v>0</v>
      </c>
      <c r="DA54" s="93">
        <f t="shared" si="77"/>
        <v>0</v>
      </c>
      <c r="DB54" s="95">
        <f t="shared" si="78"/>
        <v>0</v>
      </c>
      <c r="DC54" s="100">
        <f t="shared" si="79"/>
        <v>0</v>
      </c>
      <c r="DD54" s="100"/>
      <c r="DE54" s="100">
        <f t="shared" si="80"/>
        <v>0</v>
      </c>
      <c r="DF54" s="13"/>
      <c r="DG54" s="2"/>
      <c r="DH54" s="46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</row>
    <row r="55" spans="1:156" s="1" customFormat="1" ht="12" customHeight="1" x14ac:dyDescent="0.2">
      <c r="A55" s="88">
        <f t="shared" si="47"/>
        <v>509859</v>
      </c>
      <c r="B55" s="21">
        <v>9859</v>
      </c>
      <c r="C55" s="21" t="s">
        <v>98</v>
      </c>
      <c r="D55" s="84" t="s">
        <v>191</v>
      </c>
      <c r="E55" s="115" t="s">
        <v>202</v>
      </c>
      <c r="F55" s="85">
        <v>0</v>
      </c>
      <c r="G55" s="84"/>
      <c r="H55" s="85"/>
      <c r="I55" s="86"/>
      <c r="J55" s="85"/>
      <c r="K55" s="21" t="s">
        <v>10</v>
      </c>
      <c r="L55" s="21"/>
      <c r="M55" s="87"/>
      <c r="N55" s="88"/>
      <c r="O55" s="88">
        <v>0</v>
      </c>
      <c r="P55" s="89">
        <f t="shared" si="40"/>
        <v>5700.7259999999997</v>
      </c>
      <c r="Q55" s="90">
        <f t="shared" si="41"/>
        <v>19002.419999999998</v>
      </c>
      <c r="R55" s="90">
        <f t="shared" si="42"/>
        <v>26397.963600000003</v>
      </c>
      <c r="S55" s="91"/>
      <c r="T55" s="92">
        <v>11</v>
      </c>
      <c r="U55" s="32">
        <f t="shared" si="43"/>
        <v>11</v>
      </c>
      <c r="V55" s="32">
        <v>0</v>
      </c>
      <c r="W55" s="32">
        <v>1</v>
      </c>
      <c r="X55" s="93">
        <v>0</v>
      </c>
      <c r="Y55" s="32">
        <v>0</v>
      </c>
      <c r="Z55" s="32">
        <v>0</v>
      </c>
      <c r="AA55" s="32">
        <v>0</v>
      </c>
      <c r="AB55" s="32">
        <v>0</v>
      </c>
      <c r="AC55" s="32">
        <v>0</v>
      </c>
      <c r="AD55" s="93">
        <v>0</v>
      </c>
      <c r="AE55" s="32">
        <v>0</v>
      </c>
      <c r="AF55" s="32">
        <v>0</v>
      </c>
      <c r="AG55" s="32">
        <v>0</v>
      </c>
      <c r="AH55" s="93">
        <v>0</v>
      </c>
      <c r="AI55" s="93">
        <v>0</v>
      </c>
      <c r="AJ55" s="93">
        <v>0</v>
      </c>
      <c r="AK55" s="32">
        <v>0</v>
      </c>
      <c r="AL55" s="32">
        <v>0</v>
      </c>
      <c r="AM55" s="32">
        <v>0</v>
      </c>
      <c r="AN55" s="32">
        <v>0</v>
      </c>
      <c r="AO55" s="32">
        <v>0</v>
      </c>
      <c r="AP55" s="32">
        <v>0</v>
      </c>
      <c r="AQ55" s="32">
        <v>0</v>
      </c>
      <c r="AR55" s="32">
        <v>0</v>
      </c>
      <c r="AS55" s="32">
        <v>0</v>
      </c>
      <c r="AT55" s="32">
        <v>0</v>
      </c>
      <c r="AU55" s="94">
        <f t="shared" si="48"/>
        <v>12</v>
      </c>
      <c r="AV55" s="95">
        <f t="shared" si="49"/>
        <v>209026.62</v>
      </c>
      <c r="AW55" s="95">
        <f t="shared" si="50"/>
        <v>0</v>
      </c>
      <c r="AX55" s="95">
        <f t="shared" si="51"/>
        <v>19002.419999999998</v>
      </c>
      <c r="AY55" s="95">
        <f t="shared" si="52"/>
        <v>0</v>
      </c>
      <c r="AZ55" s="95">
        <f t="shared" si="53"/>
        <v>0</v>
      </c>
      <c r="BA55" s="95">
        <f t="shared" si="54"/>
        <v>0</v>
      </c>
      <c r="BB55" s="95">
        <f t="shared" si="55"/>
        <v>0</v>
      </c>
      <c r="BC55" s="96">
        <f t="shared" si="56"/>
        <v>0</v>
      </c>
      <c r="BD55" s="96">
        <f t="shared" si="57"/>
        <v>0</v>
      </c>
      <c r="BE55" s="96">
        <f t="shared" si="58"/>
        <v>0</v>
      </c>
      <c r="BF55" s="96">
        <f t="shared" si="59"/>
        <v>0</v>
      </c>
      <c r="BG55" s="96">
        <f t="shared" si="60"/>
        <v>0</v>
      </c>
      <c r="BH55" s="96">
        <f t="shared" si="61"/>
        <v>0</v>
      </c>
      <c r="BI55" s="96">
        <f t="shared" si="62"/>
        <v>0</v>
      </c>
      <c r="BJ55" s="96">
        <f t="shared" si="63"/>
        <v>0</v>
      </c>
      <c r="BK55" s="96">
        <f t="shared" si="64"/>
        <v>0</v>
      </c>
      <c r="BL55" s="96">
        <f t="shared" si="65"/>
        <v>0</v>
      </c>
      <c r="BM55" s="96">
        <f t="shared" si="66"/>
        <v>0</v>
      </c>
      <c r="BN55" s="96"/>
      <c r="BO55" s="95"/>
      <c r="BP55" s="95">
        <f t="shared" si="67"/>
        <v>0</v>
      </c>
      <c r="BQ55" s="95"/>
      <c r="BR55" s="95"/>
      <c r="BS55" s="95">
        <f t="shared" si="68"/>
        <v>0</v>
      </c>
      <c r="BT55" s="95">
        <f t="shared" si="69"/>
        <v>0</v>
      </c>
      <c r="BU55" s="95">
        <f t="shared" si="70"/>
        <v>0</v>
      </c>
      <c r="BV55" s="95">
        <f t="shared" si="71"/>
        <v>0</v>
      </c>
      <c r="BW55" s="95"/>
      <c r="BX55" s="95"/>
      <c r="BY55" s="95"/>
      <c r="BZ55" s="95"/>
      <c r="CA55" s="95">
        <f t="shared" si="44"/>
        <v>0</v>
      </c>
      <c r="CB55" s="97">
        <f t="shared" si="72"/>
        <v>228029.03999999998</v>
      </c>
      <c r="CC55" s="95"/>
      <c r="CD55" s="95"/>
      <c r="CE55" s="95">
        <f t="shared" si="73"/>
        <v>-6840.8711999999987</v>
      </c>
      <c r="CF55" s="95">
        <f t="shared" si="45"/>
        <v>-3420.4355999999993</v>
      </c>
      <c r="CG55" s="113"/>
      <c r="CH55" s="22"/>
      <c r="CI55" s="98">
        <f t="shared" si="74"/>
        <v>316777.94236799993</v>
      </c>
      <c r="CJ55" s="95">
        <f t="shared" si="75"/>
        <v>-9503.3382710399983</v>
      </c>
      <c r="CK55" s="95">
        <f t="shared" si="46"/>
        <v>-4751.6691355199991</v>
      </c>
      <c r="CL55" s="95">
        <v>0</v>
      </c>
      <c r="CM55" s="99"/>
      <c r="CN55" s="99">
        <v>0</v>
      </c>
      <c r="CO55" s="110"/>
      <c r="CP55" s="99"/>
      <c r="CQ55" s="99"/>
      <c r="CR55" s="99"/>
      <c r="CS55" s="95"/>
      <c r="CT55" s="95"/>
      <c r="CU55" s="96"/>
      <c r="CV55" s="96"/>
      <c r="CW55" s="96"/>
      <c r="CX55" s="96"/>
      <c r="CY55" s="96"/>
      <c r="CZ55" s="93">
        <f t="shared" si="76"/>
        <v>0</v>
      </c>
      <c r="DA55" s="93">
        <f t="shared" si="77"/>
        <v>0</v>
      </c>
      <c r="DB55" s="95">
        <f t="shared" si="78"/>
        <v>520290.66816143994</v>
      </c>
      <c r="DC55" s="100">
        <f t="shared" si="79"/>
        <v>520291</v>
      </c>
      <c r="DD55" s="100"/>
      <c r="DE55" s="100">
        <f t="shared" si="80"/>
        <v>-520291</v>
      </c>
      <c r="DF55" s="13"/>
      <c r="DG55" s="2"/>
      <c r="DH55" s="46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</row>
    <row r="56" spans="1:156" s="1" customFormat="1" ht="12" customHeight="1" x14ac:dyDescent="0.2">
      <c r="A56" s="88">
        <f t="shared" si="47"/>
        <v>509683</v>
      </c>
      <c r="B56" s="21">
        <v>9683</v>
      </c>
      <c r="C56" s="21" t="s">
        <v>98</v>
      </c>
      <c r="D56" s="84" t="s">
        <v>127</v>
      </c>
      <c r="E56" s="115" t="s">
        <v>202</v>
      </c>
      <c r="F56" s="85">
        <v>3</v>
      </c>
      <c r="G56" s="84"/>
      <c r="H56" s="85"/>
      <c r="I56" s="86"/>
      <c r="J56" s="85">
        <v>0.2</v>
      </c>
      <c r="K56" s="21" t="s">
        <v>10</v>
      </c>
      <c r="L56" s="21"/>
      <c r="M56" s="87"/>
      <c r="N56" s="88"/>
      <c r="O56" s="88">
        <v>13</v>
      </c>
      <c r="P56" s="89">
        <f t="shared" si="40"/>
        <v>5700.7259999999997</v>
      </c>
      <c r="Q56" s="90">
        <f t="shared" si="41"/>
        <v>19002.419999999998</v>
      </c>
      <c r="R56" s="90">
        <f t="shared" si="42"/>
        <v>26397.963600000003</v>
      </c>
      <c r="S56" s="91"/>
      <c r="T56" s="92">
        <v>0</v>
      </c>
      <c r="U56" s="32">
        <f t="shared" si="43"/>
        <v>0</v>
      </c>
      <c r="V56" s="32">
        <v>0</v>
      </c>
      <c r="W56" s="32">
        <v>0</v>
      </c>
      <c r="X56" s="93">
        <v>0</v>
      </c>
      <c r="Y56" s="32">
        <v>13</v>
      </c>
      <c r="Z56" s="32">
        <v>0</v>
      </c>
      <c r="AA56" s="32">
        <v>0</v>
      </c>
      <c r="AB56" s="32">
        <v>0</v>
      </c>
      <c r="AC56" s="32">
        <v>0</v>
      </c>
      <c r="AD56" s="93">
        <v>0</v>
      </c>
      <c r="AE56" s="32">
        <v>0</v>
      </c>
      <c r="AF56" s="32">
        <v>0</v>
      </c>
      <c r="AG56" s="32">
        <v>0</v>
      </c>
      <c r="AH56" s="93">
        <v>0</v>
      </c>
      <c r="AI56" s="93">
        <v>0</v>
      </c>
      <c r="AJ56" s="93">
        <v>0</v>
      </c>
      <c r="AK56" s="32">
        <v>0</v>
      </c>
      <c r="AL56" s="32">
        <v>0</v>
      </c>
      <c r="AM56" s="32">
        <v>0</v>
      </c>
      <c r="AN56" s="32">
        <v>0</v>
      </c>
      <c r="AO56" s="32">
        <v>0</v>
      </c>
      <c r="AP56" s="32">
        <v>0</v>
      </c>
      <c r="AQ56" s="32">
        <v>0</v>
      </c>
      <c r="AR56" s="32">
        <v>0</v>
      </c>
      <c r="AS56" s="32">
        <v>0</v>
      </c>
      <c r="AT56" s="32">
        <v>0</v>
      </c>
      <c r="AU56" s="94">
        <f t="shared" si="48"/>
        <v>13</v>
      </c>
      <c r="AV56" s="95">
        <f t="shared" si="49"/>
        <v>0</v>
      </c>
      <c r="AW56" s="95">
        <f t="shared" si="50"/>
        <v>0</v>
      </c>
      <c r="AX56" s="95">
        <f t="shared" si="51"/>
        <v>0</v>
      </c>
      <c r="AY56" s="95">
        <f t="shared" si="52"/>
        <v>0</v>
      </c>
      <c r="AZ56" s="112">
        <f t="shared" si="53"/>
        <v>306146.08837799996</v>
      </c>
      <c r="BA56" s="95">
        <f t="shared" si="54"/>
        <v>0</v>
      </c>
      <c r="BB56" s="95">
        <f t="shared" si="55"/>
        <v>0</v>
      </c>
      <c r="BC56" s="96">
        <f t="shared" si="56"/>
        <v>0</v>
      </c>
      <c r="BD56" s="96">
        <f t="shared" si="57"/>
        <v>0</v>
      </c>
      <c r="BE56" s="96">
        <f t="shared" si="58"/>
        <v>0</v>
      </c>
      <c r="BF56" s="96">
        <f t="shared" si="59"/>
        <v>0</v>
      </c>
      <c r="BG56" s="96">
        <f t="shared" si="60"/>
        <v>0</v>
      </c>
      <c r="BH56" s="96">
        <f t="shared" si="61"/>
        <v>0</v>
      </c>
      <c r="BI56" s="96">
        <f t="shared" si="62"/>
        <v>0</v>
      </c>
      <c r="BJ56" s="96">
        <f t="shared" si="63"/>
        <v>0</v>
      </c>
      <c r="BK56" s="96">
        <f t="shared" si="64"/>
        <v>0</v>
      </c>
      <c r="BL56" s="96">
        <f t="shared" si="65"/>
        <v>0</v>
      </c>
      <c r="BM56" s="96">
        <f t="shared" si="66"/>
        <v>0</v>
      </c>
      <c r="BN56" s="96"/>
      <c r="BO56" s="95"/>
      <c r="BP56" s="95">
        <f t="shared" si="67"/>
        <v>0</v>
      </c>
      <c r="BQ56" s="95"/>
      <c r="BR56" s="95"/>
      <c r="BS56" s="95">
        <f t="shared" si="68"/>
        <v>0</v>
      </c>
      <c r="BT56" s="95">
        <f t="shared" si="69"/>
        <v>0</v>
      </c>
      <c r="BU56" s="95">
        <f t="shared" si="70"/>
        <v>0</v>
      </c>
      <c r="BV56" s="95">
        <f t="shared" si="71"/>
        <v>0</v>
      </c>
      <c r="BW56" s="95"/>
      <c r="BX56" s="95"/>
      <c r="BY56" s="95"/>
      <c r="BZ56" s="95"/>
      <c r="CA56" s="95">
        <f t="shared" si="44"/>
        <v>0</v>
      </c>
      <c r="CB56" s="97">
        <f t="shared" si="72"/>
        <v>306146.08837799996</v>
      </c>
      <c r="CC56" s="95"/>
      <c r="CD56" s="95"/>
      <c r="CE56" s="95">
        <f t="shared" si="73"/>
        <v>-9184.3826513399981</v>
      </c>
      <c r="CF56" s="95">
        <f t="shared" si="45"/>
        <v>0</v>
      </c>
      <c r="CG56" s="113"/>
      <c r="CH56" s="22"/>
      <c r="CI56" s="98">
        <f t="shared" si="74"/>
        <v>425298.14597471745</v>
      </c>
      <c r="CJ56" s="95">
        <f t="shared" si="75"/>
        <v>-12758.944379241522</v>
      </c>
      <c r="CK56" s="95">
        <f t="shared" si="46"/>
        <v>-6379.4721896207611</v>
      </c>
      <c r="CL56" s="95">
        <v>0</v>
      </c>
      <c r="CM56" s="99"/>
      <c r="CN56" s="99">
        <v>0</v>
      </c>
      <c r="CO56" s="110"/>
      <c r="CP56" s="99"/>
      <c r="CQ56" s="99"/>
      <c r="CR56" s="99"/>
      <c r="CS56" s="95"/>
      <c r="CT56" s="95"/>
      <c r="CU56" s="96"/>
      <c r="CV56" s="96"/>
      <c r="CW56" s="96"/>
      <c r="CX56" s="96"/>
      <c r="CY56" s="96"/>
      <c r="CZ56" s="93">
        <f t="shared" si="76"/>
        <v>0</v>
      </c>
      <c r="DA56" s="93">
        <f t="shared" si="77"/>
        <v>-140624.28702650304</v>
      </c>
      <c r="DB56" s="95">
        <f t="shared" si="78"/>
        <v>562497.14810601214</v>
      </c>
      <c r="DC56" s="100">
        <f t="shared" si="79"/>
        <v>562497</v>
      </c>
      <c r="DD56" s="100"/>
      <c r="DE56" s="100">
        <f t="shared" si="80"/>
        <v>-562497</v>
      </c>
      <c r="DF56" s="13"/>
      <c r="DG56" s="2"/>
      <c r="DH56" s="46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</row>
    <row r="57" spans="1:156" s="1" customFormat="1" ht="12" hidden="1" customHeight="1" x14ac:dyDescent="0.2">
      <c r="A57" s="88">
        <f t="shared" si="47"/>
        <v>509684</v>
      </c>
      <c r="B57" s="21">
        <v>9684</v>
      </c>
      <c r="C57" s="21" t="s">
        <v>98</v>
      </c>
      <c r="D57" s="84" t="s">
        <v>128</v>
      </c>
      <c r="E57" s="115" t="s">
        <v>202</v>
      </c>
      <c r="F57" s="85">
        <v>0</v>
      </c>
      <c r="G57" s="84"/>
      <c r="H57" s="85"/>
      <c r="I57" s="86"/>
      <c r="J57" s="85"/>
      <c r="K57" s="21" t="s">
        <v>10</v>
      </c>
      <c r="L57" s="21"/>
      <c r="M57" s="87"/>
      <c r="N57" s="88"/>
      <c r="O57" s="88">
        <v>0</v>
      </c>
      <c r="P57" s="89">
        <f t="shared" si="40"/>
        <v>5700.7259999999997</v>
      </c>
      <c r="Q57" s="90">
        <f t="shared" si="41"/>
        <v>19002.419999999998</v>
      </c>
      <c r="R57" s="90">
        <f t="shared" si="42"/>
        <v>26397.963600000003</v>
      </c>
      <c r="S57" s="91"/>
      <c r="T57" s="92">
        <v>0</v>
      </c>
      <c r="U57" s="32">
        <f t="shared" si="43"/>
        <v>0</v>
      </c>
      <c r="V57" s="32">
        <v>0</v>
      </c>
      <c r="W57" s="32">
        <v>0</v>
      </c>
      <c r="X57" s="93">
        <v>0</v>
      </c>
      <c r="Y57" s="32">
        <v>0</v>
      </c>
      <c r="Z57" s="32">
        <v>0</v>
      </c>
      <c r="AA57" s="32">
        <v>0</v>
      </c>
      <c r="AB57" s="32">
        <v>0</v>
      </c>
      <c r="AC57" s="32">
        <v>0</v>
      </c>
      <c r="AD57" s="93">
        <v>0</v>
      </c>
      <c r="AE57" s="32">
        <v>0</v>
      </c>
      <c r="AF57" s="32">
        <v>0</v>
      </c>
      <c r="AG57" s="32">
        <v>0</v>
      </c>
      <c r="AH57" s="93">
        <v>0</v>
      </c>
      <c r="AI57" s="93">
        <v>0</v>
      </c>
      <c r="AJ57" s="93">
        <v>0</v>
      </c>
      <c r="AK57" s="32">
        <v>0</v>
      </c>
      <c r="AL57" s="32">
        <v>0</v>
      </c>
      <c r="AM57" s="32">
        <v>0</v>
      </c>
      <c r="AN57" s="32">
        <v>0</v>
      </c>
      <c r="AO57" s="32">
        <v>0</v>
      </c>
      <c r="AP57" s="32">
        <v>0</v>
      </c>
      <c r="AQ57" s="32">
        <v>0</v>
      </c>
      <c r="AR57" s="32">
        <v>0</v>
      </c>
      <c r="AS57" s="32">
        <v>0</v>
      </c>
      <c r="AT57" s="32">
        <v>0</v>
      </c>
      <c r="AU57" s="94">
        <f t="shared" si="48"/>
        <v>0</v>
      </c>
      <c r="AV57" s="95">
        <f t="shared" si="49"/>
        <v>0</v>
      </c>
      <c r="AW57" s="95">
        <f t="shared" si="50"/>
        <v>0</v>
      </c>
      <c r="AX57" s="95">
        <f t="shared" si="51"/>
        <v>0</v>
      </c>
      <c r="AY57" s="95">
        <f t="shared" si="52"/>
        <v>0</v>
      </c>
      <c r="AZ57" s="95">
        <f t="shared" si="53"/>
        <v>0</v>
      </c>
      <c r="BA57" s="95">
        <f t="shared" si="54"/>
        <v>0</v>
      </c>
      <c r="BB57" s="95">
        <f t="shared" si="55"/>
        <v>0</v>
      </c>
      <c r="BC57" s="96">
        <f t="shared" si="56"/>
        <v>0</v>
      </c>
      <c r="BD57" s="96">
        <f t="shared" si="57"/>
        <v>0</v>
      </c>
      <c r="BE57" s="96">
        <f t="shared" si="58"/>
        <v>0</v>
      </c>
      <c r="BF57" s="96">
        <f t="shared" si="59"/>
        <v>0</v>
      </c>
      <c r="BG57" s="96">
        <f t="shared" si="60"/>
        <v>0</v>
      </c>
      <c r="BH57" s="96">
        <f t="shared" si="61"/>
        <v>0</v>
      </c>
      <c r="BI57" s="96">
        <f t="shared" si="62"/>
        <v>0</v>
      </c>
      <c r="BJ57" s="96">
        <f t="shared" si="63"/>
        <v>0</v>
      </c>
      <c r="BK57" s="96">
        <f t="shared" si="64"/>
        <v>0</v>
      </c>
      <c r="BL57" s="96">
        <f t="shared" si="65"/>
        <v>0</v>
      </c>
      <c r="BM57" s="96">
        <f t="shared" si="66"/>
        <v>0</v>
      </c>
      <c r="BN57" s="96"/>
      <c r="BO57" s="95"/>
      <c r="BP57" s="95">
        <f t="shared" si="67"/>
        <v>0</v>
      </c>
      <c r="BQ57" s="95"/>
      <c r="BR57" s="95"/>
      <c r="BS57" s="95">
        <f t="shared" si="68"/>
        <v>0</v>
      </c>
      <c r="BT57" s="95">
        <f t="shared" si="69"/>
        <v>0</v>
      </c>
      <c r="BU57" s="95">
        <f t="shared" si="70"/>
        <v>0</v>
      </c>
      <c r="BV57" s="95">
        <f t="shared" si="71"/>
        <v>0</v>
      </c>
      <c r="BW57" s="95"/>
      <c r="BX57" s="95"/>
      <c r="BY57" s="95"/>
      <c r="BZ57" s="95"/>
      <c r="CA57" s="95">
        <f t="shared" si="44"/>
        <v>0</v>
      </c>
      <c r="CB57" s="97">
        <f t="shared" si="72"/>
        <v>0</v>
      </c>
      <c r="CC57" s="95"/>
      <c r="CD57" s="95"/>
      <c r="CE57" s="95">
        <f t="shared" si="73"/>
        <v>0</v>
      </c>
      <c r="CF57" s="95">
        <f t="shared" si="45"/>
        <v>0</v>
      </c>
      <c r="CG57" s="113"/>
      <c r="CH57" s="22"/>
      <c r="CI57" s="98">
        <f t="shared" si="74"/>
        <v>0</v>
      </c>
      <c r="CJ57" s="95">
        <f t="shared" si="75"/>
        <v>0</v>
      </c>
      <c r="CK57" s="95">
        <f t="shared" si="46"/>
        <v>0</v>
      </c>
      <c r="CL57" s="95">
        <v>0</v>
      </c>
      <c r="CM57" s="99"/>
      <c r="CN57" s="99">
        <v>0</v>
      </c>
      <c r="CO57" s="110"/>
      <c r="CP57" s="99"/>
      <c r="CQ57" s="99"/>
      <c r="CR57" s="99"/>
      <c r="CS57" s="95"/>
      <c r="CT57" s="95"/>
      <c r="CU57" s="96"/>
      <c r="CV57" s="96"/>
      <c r="CW57" s="96"/>
      <c r="CX57" s="96"/>
      <c r="CY57" s="96"/>
      <c r="CZ57" s="93">
        <f t="shared" si="76"/>
        <v>0</v>
      </c>
      <c r="DA57" s="93">
        <f t="shared" si="77"/>
        <v>0</v>
      </c>
      <c r="DB57" s="95">
        <f t="shared" si="78"/>
        <v>0</v>
      </c>
      <c r="DC57" s="100">
        <f t="shared" si="79"/>
        <v>0</v>
      </c>
      <c r="DD57" s="100"/>
      <c r="DE57" s="100">
        <f t="shared" si="80"/>
        <v>0</v>
      </c>
      <c r="DF57" s="13"/>
      <c r="DG57" s="2"/>
      <c r="DH57" s="46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</row>
    <row r="58" spans="1:156" s="1" customFormat="1" ht="12" customHeight="1" x14ac:dyDescent="0.2">
      <c r="A58" s="88">
        <f t="shared" si="47"/>
        <v>509751</v>
      </c>
      <c r="B58" s="21">
        <v>9751</v>
      </c>
      <c r="C58" s="21" t="s">
        <v>98</v>
      </c>
      <c r="D58" s="84" t="s">
        <v>166</v>
      </c>
      <c r="E58" s="114" t="s">
        <v>201</v>
      </c>
      <c r="F58" s="85">
        <v>0</v>
      </c>
      <c r="G58" s="84"/>
      <c r="H58" s="85"/>
      <c r="I58" s="86"/>
      <c r="J58" s="85"/>
      <c r="K58" s="21" t="s">
        <v>8</v>
      </c>
      <c r="L58" s="21" t="s">
        <v>12</v>
      </c>
      <c r="M58" s="87">
        <f>+X9-X5</f>
        <v>2099.9600000000028</v>
      </c>
      <c r="N58" s="88"/>
      <c r="O58" s="88">
        <v>3</v>
      </c>
      <c r="P58" s="89">
        <f t="shared" si="40"/>
        <v>5401.2359999999999</v>
      </c>
      <c r="Q58" s="90">
        <f t="shared" si="41"/>
        <v>18004.12</v>
      </c>
      <c r="R58" s="90">
        <f t="shared" si="42"/>
        <v>25011.1211</v>
      </c>
      <c r="S58" s="91"/>
      <c r="T58" s="92">
        <v>12</v>
      </c>
      <c r="U58" s="32">
        <f t="shared" si="43"/>
        <v>12</v>
      </c>
      <c r="V58" s="32">
        <v>0</v>
      </c>
      <c r="W58" s="32">
        <v>1</v>
      </c>
      <c r="X58" s="93">
        <v>0</v>
      </c>
      <c r="Y58" s="32">
        <v>0</v>
      </c>
      <c r="Z58" s="32">
        <v>0</v>
      </c>
      <c r="AA58" s="32">
        <v>0</v>
      </c>
      <c r="AB58" s="32">
        <v>0</v>
      </c>
      <c r="AC58" s="32">
        <v>0</v>
      </c>
      <c r="AD58" s="93">
        <v>0</v>
      </c>
      <c r="AE58" s="32">
        <v>0</v>
      </c>
      <c r="AF58" s="32">
        <v>0</v>
      </c>
      <c r="AG58" s="32">
        <v>0</v>
      </c>
      <c r="AH58" s="93">
        <v>0</v>
      </c>
      <c r="AI58" s="93">
        <v>0</v>
      </c>
      <c r="AJ58" s="93">
        <v>0</v>
      </c>
      <c r="AK58" s="32">
        <v>0</v>
      </c>
      <c r="AL58" s="32">
        <v>0</v>
      </c>
      <c r="AM58" s="32">
        <v>0</v>
      </c>
      <c r="AN58" s="32">
        <v>0</v>
      </c>
      <c r="AO58" s="32">
        <v>0</v>
      </c>
      <c r="AP58" s="32">
        <v>0</v>
      </c>
      <c r="AQ58" s="32">
        <v>0</v>
      </c>
      <c r="AR58" s="32">
        <v>0</v>
      </c>
      <c r="AS58" s="32">
        <v>0</v>
      </c>
      <c r="AT58" s="32">
        <v>0</v>
      </c>
      <c r="AU58" s="94">
        <f t="shared" si="48"/>
        <v>13</v>
      </c>
      <c r="AV58" s="95">
        <f t="shared" si="49"/>
        <v>216049.44</v>
      </c>
      <c r="AW58" s="95">
        <f t="shared" si="50"/>
        <v>0</v>
      </c>
      <c r="AX58" s="95">
        <f t="shared" si="51"/>
        <v>18004.12</v>
      </c>
      <c r="AY58" s="95">
        <f t="shared" si="52"/>
        <v>0</v>
      </c>
      <c r="AZ58" s="95">
        <f t="shared" si="53"/>
        <v>0</v>
      </c>
      <c r="BA58" s="95">
        <f t="shared" si="54"/>
        <v>0</v>
      </c>
      <c r="BB58" s="95">
        <f t="shared" si="55"/>
        <v>0</v>
      </c>
      <c r="BC58" s="96">
        <f t="shared" si="56"/>
        <v>0</v>
      </c>
      <c r="BD58" s="96">
        <f t="shared" si="57"/>
        <v>0</v>
      </c>
      <c r="BE58" s="96">
        <f t="shared" si="58"/>
        <v>0</v>
      </c>
      <c r="BF58" s="96">
        <f t="shared" si="59"/>
        <v>0</v>
      </c>
      <c r="BG58" s="96">
        <f t="shared" si="60"/>
        <v>0</v>
      </c>
      <c r="BH58" s="96">
        <f t="shared" si="61"/>
        <v>0</v>
      </c>
      <c r="BI58" s="96">
        <f t="shared" si="62"/>
        <v>0</v>
      </c>
      <c r="BJ58" s="96">
        <f t="shared" si="63"/>
        <v>0</v>
      </c>
      <c r="BK58" s="96">
        <f t="shared" si="64"/>
        <v>0</v>
      </c>
      <c r="BL58" s="96">
        <f t="shared" si="65"/>
        <v>8425.9281599999995</v>
      </c>
      <c r="BM58" s="96">
        <f t="shared" si="66"/>
        <v>0</v>
      </c>
      <c r="BN58" s="96"/>
      <c r="BO58" s="95"/>
      <c r="BP58" s="95">
        <f t="shared" si="67"/>
        <v>27299.480000000036</v>
      </c>
      <c r="BQ58" s="95"/>
      <c r="BR58" s="95"/>
      <c r="BS58" s="95">
        <f t="shared" si="68"/>
        <v>0</v>
      </c>
      <c r="BT58" s="95">
        <f t="shared" si="69"/>
        <v>0</v>
      </c>
      <c r="BU58" s="95">
        <f t="shared" si="70"/>
        <v>0</v>
      </c>
      <c r="BV58" s="95">
        <f t="shared" si="71"/>
        <v>0</v>
      </c>
      <c r="BW58" s="95"/>
      <c r="BX58" s="95"/>
      <c r="BY58" s="95"/>
      <c r="BZ58" s="95"/>
      <c r="CA58" s="95">
        <f t="shared" si="44"/>
        <v>0</v>
      </c>
      <c r="CB58" s="97">
        <f t="shared" si="72"/>
        <v>269778.96816000005</v>
      </c>
      <c r="CC58" s="95"/>
      <c r="CD58" s="95"/>
      <c r="CE58" s="95">
        <f t="shared" si="73"/>
        <v>-8093.3690448000016</v>
      </c>
      <c r="CF58" s="95">
        <f t="shared" si="45"/>
        <v>-2697.7896816000007</v>
      </c>
      <c r="CG58" s="113"/>
      <c r="CH58" s="22"/>
      <c r="CI58" s="98">
        <f t="shared" si="74"/>
        <v>374776.942567872</v>
      </c>
      <c r="CJ58" s="95">
        <f t="shared" si="75"/>
        <v>-11243.30827703616</v>
      </c>
      <c r="CK58" s="95">
        <f t="shared" si="46"/>
        <v>-3747.7694256787199</v>
      </c>
      <c r="CL58" s="95"/>
      <c r="CM58" s="99"/>
      <c r="CN58" s="99"/>
      <c r="CO58" s="110"/>
      <c r="CP58" s="99"/>
      <c r="CQ58" s="99"/>
      <c r="CR58" s="99"/>
      <c r="CS58" s="95"/>
      <c r="CT58" s="95"/>
      <c r="CU58" s="96"/>
      <c r="CV58" s="96"/>
      <c r="CW58" s="96"/>
      <c r="CX58" s="96"/>
      <c r="CY58" s="96"/>
      <c r="CZ58" s="93">
        <f t="shared" si="76"/>
        <v>0</v>
      </c>
      <c r="DA58" s="93">
        <f t="shared" si="77"/>
        <v>0</v>
      </c>
      <c r="DB58" s="95">
        <f t="shared" si="78"/>
        <v>618773.67429875711</v>
      </c>
      <c r="DC58" s="100">
        <f t="shared" si="79"/>
        <v>618774</v>
      </c>
      <c r="DD58" s="100"/>
      <c r="DE58" s="100">
        <f t="shared" si="80"/>
        <v>-618774</v>
      </c>
      <c r="DF58" s="13"/>
      <c r="DG58" s="2"/>
      <c r="DH58" s="46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</row>
    <row r="59" spans="1:156" s="1" customFormat="1" ht="12" hidden="1" customHeight="1" x14ac:dyDescent="0.2">
      <c r="A59" s="88">
        <f t="shared" si="47"/>
        <v>509814</v>
      </c>
      <c r="B59" s="21">
        <v>9814</v>
      </c>
      <c r="C59" s="21" t="s">
        <v>98</v>
      </c>
      <c r="D59" s="84" t="s">
        <v>176</v>
      </c>
      <c r="E59" s="114" t="s">
        <v>201</v>
      </c>
      <c r="F59" s="85">
        <v>0</v>
      </c>
      <c r="G59" s="84"/>
      <c r="H59" s="85"/>
      <c r="I59" s="86"/>
      <c r="J59" s="85"/>
      <c r="K59" s="21" t="s">
        <v>8</v>
      </c>
      <c r="L59" s="21"/>
      <c r="M59" s="87"/>
      <c r="N59" s="88"/>
      <c r="O59" s="88">
        <v>0</v>
      </c>
      <c r="P59" s="89">
        <f t="shared" si="40"/>
        <v>5401.2359999999999</v>
      </c>
      <c r="Q59" s="90">
        <f t="shared" si="41"/>
        <v>18004.12</v>
      </c>
      <c r="R59" s="90">
        <f t="shared" si="42"/>
        <v>25011.1211</v>
      </c>
      <c r="S59" s="91"/>
      <c r="T59" s="92">
        <v>0</v>
      </c>
      <c r="U59" s="32">
        <f t="shared" si="43"/>
        <v>0</v>
      </c>
      <c r="V59" s="32">
        <v>0</v>
      </c>
      <c r="W59" s="32">
        <v>0</v>
      </c>
      <c r="X59" s="93">
        <v>0</v>
      </c>
      <c r="Y59" s="32">
        <v>0</v>
      </c>
      <c r="Z59" s="32">
        <v>0</v>
      </c>
      <c r="AA59" s="32">
        <v>0</v>
      </c>
      <c r="AB59" s="32">
        <v>0</v>
      </c>
      <c r="AC59" s="32">
        <v>0</v>
      </c>
      <c r="AD59" s="93">
        <v>0</v>
      </c>
      <c r="AE59" s="32">
        <v>0</v>
      </c>
      <c r="AF59" s="32">
        <v>0</v>
      </c>
      <c r="AG59" s="32">
        <v>0</v>
      </c>
      <c r="AH59" s="93">
        <v>0</v>
      </c>
      <c r="AI59" s="93">
        <v>0</v>
      </c>
      <c r="AJ59" s="93">
        <v>0</v>
      </c>
      <c r="AK59" s="32">
        <v>0</v>
      </c>
      <c r="AL59" s="32">
        <v>0</v>
      </c>
      <c r="AM59" s="32">
        <v>0</v>
      </c>
      <c r="AN59" s="32">
        <v>0</v>
      </c>
      <c r="AO59" s="32">
        <v>0</v>
      </c>
      <c r="AP59" s="32">
        <v>0</v>
      </c>
      <c r="AQ59" s="32">
        <v>0</v>
      </c>
      <c r="AR59" s="32">
        <v>0</v>
      </c>
      <c r="AS59" s="32">
        <v>0</v>
      </c>
      <c r="AT59" s="32">
        <v>0</v>
      </c>
      <c r="AU59" s="94">
        <f t="shared" si="48"/>
        <v>0</v>
      </c>
      <c r="AV59" s="95">
        <f t="shared" si="49"/>
        <v>0</v>
      </c>
      <c r="AW59" s="95">
        <f t="shared" si="50"/>
        <v>0</v>
      </c>
      <c r="AX59" s="95">
        <f t="shared" si="51"/>
        <v>0</v>
      </c>
      <c r="AY59" s="95">
        <f t="shared" si="52"/>
        <v>0</v>
      </c>
      <c r="AZ59" s="95">
        <f t="shared" si="53"/>
        <v>0</v>
      </c>
      <c r="BA59" s="95">
        <f t="shared" si="54"/>
        <v>0</v>
      </c>
      <c r="BB59" s="95">
        <f t="shared" si="55"/>
        <v>0</v>
      </c>
      <c r="BC59" s="96">
        <f t="shared" si="56"/>
        <v>0</v>
      </c>
      <c r="BD59" s="96">
        <f t="shared" si="57"/>
        <v>0</v>
      </c>
      <c r="BE59" s="96">
        <f t="shared" si="58"/>
        <v>0</v>
      </c>
      <c r="BF59" s="96">
        <f t="shared" si="59"/>
        <v>0</v>
      </c>
      <c r="BG59" s="96">
        <f t="shared" si="60"/>
        <v>0</v>
      </c>
      <c r="BH59" s="96">
        <f t="shared" si="61"/>
        <v>0</v>
      </c>
      <c r="BI59" s="96">
        <f t="shared" si="62"/>
        <v>0</v>
      </c>
      <c r="BJ59" s="96">
        <f t="shared" si="63"/>
        <v>0</v>
      </c>
      <c r="BK59" s="96">
        <f t="shared" si="64"/>
        <v>0</v>
      </c>
      <c r="BL59" s="96">
        <f t="shared" si="65"/>
        <v>0</v>
      </c>
      <c r="BM59" s="96">
        <f t="shared" si="66"/>
        <v>0</v>
      </c>
      <c r="BN59" s="96"/>
      <c r="BO59" s="95"/>
      <c r="BP59" s="95">
        <f t="shared" si="67"/>
        <v>0</v>
      </c>
      <c r="BQ59" s="95"/>
      <c r="BR59" s="95"/>
      <c r="BS59" s="95">
        <f t="shared" si="68"/>
        <v>0</v>
      </c>
      <c r="BT59" s="95">
        <f t="shared" si="69"/>
        <v>0</v>
      </c>
      <c r="BU59" s="95">
        <f t="shared" si="70"/>
        <v>0</v>
      </c>
      <c r="BV59" s="95">
        <f t="shared" si="71"/>
        <v>0</v>
      </c>
      <c r="BW59" s="95"/>
      <c r="BX59" s="95"/>
      <c r="BY59" s="95"/>
      <c r="BZ59" s="95"/>
      <c r="CA59" s="95">
        <f t="shared" si="44"/>
        <v>0</v>
      </c>
      <c r="CB59" s="97">
        <f t="shared" si="72"/>
        <v>0</v>
      </c>
      <c r="CC59" s="95"/>
      <c r="CD59" s="95"/>
      <c r="CE59" s="95">
        <f t="shared" si="73"/>
        <v>0</v>
      </c>
      <c r="CF59" s="95">
        <f t="shared" si="45"/>
        <v>0</v>
      </c>
      <c r="CG59" s="113"/>
      <c r="CH59" s="22"/>
      <c r="CI59" s="98">
        <f t="shared" si="74"/>
        <v>0</v>
      </c>
      <c r="CJ59" s="95">
        <f t="shared" si="75"/>
        <v>0</v>
      </c>
      <c r="CK59" s="95">
        <f t="shared" si="46"/>
        <v>0</v>
      </c>
      <c r="CL59" s="95">
        <v>0</v>
      </c>
      <c r="CM59" s="99"/>
      <c r="CN59" s="99">
        <v>0</v>
      </c>
      <c r="CO59" s="110"/>
      <c r="CP59" s="99"/>
      <c r="CQ59" s="99"/>
      <c r="CR59" s="99"/>
      <c r="CS59" s="95"/>
      <c r="CT59" s="95"/>
      <c r="CU59" s="96"/>
      <c r="CV59" s="96"/>
      <c r="CW59" s="96"/>
      <c r="CX59" s="96"/>
      <c r="CY59" s="96"/>
      <c r="CZ59" s="93">
        <f t="shared" si="76"/>
        <v>0</v>
      </c>
      <c r="DA59" s="93">
        <f t="shared" si="77"/>
        <v>0</v>
      </c>
      <c r="DB59" s="95">
        <f t="shared" si="78"/>
        <v>0</v>
      </c>
      <c r="DC59" s="100">
        <f t="shared" si="79"/>
        <v>0</v>
      </c>
      <c r="DD59" s="100"/>
      <c r="DE59" s="100">
        <f t="shared" si="80"/>
        <v>0</v>
      </c>
      <c r="DF59" s="13"/>
      <c r="DG59" s="2"/>
      <c r="DH59" s="46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</row>
    <row r="60" spans="1:156" s="1" customFormat="1" ht="12" hidden="1" customHeight="1" x14ac:dyDescent="0.2">
      <c r="A60" s="88">
        <f t="shared" si="47"/>
        <v>509687</v>
      </c>
      <c r="B60" s="21">
        <v>9687</v>
      </c>
      <c r="C60" s="21" t="s">
        <v>98</v>
      </c>
      <c r="D60" s="84" t="s">
        <v>129</v>
      </c>
      <c r="E60" s="115" t="s">
        <v>202</v>
      </c>
      <c r="F60" s="85">
        <v>3</v>
      </c>
      <c r="G60" s="84"/>
      <c r="H60" s="85"/>
      <c r="I60" s="86"/>
      <c r="J60" s="85"/>
      <c r="K60" s="21" t="s">
        <v>10</v>
      </c>
      <c r="L60" s="21"/>
      <c r="M60" s="87"/>
      <c r="N60" s="88"/>
      <c r="O60" s="88">
        <v>6</v>
      </c>
      <c r="P60" s="89">
        <f t="shared" si="40"/>
        <v>5700.7259999999997</v>
      </c>
      <c r="Q60" s="90">
        <f t="shared" si="41"/>
        <v>19002.419999999998</v>
      </c>
      <c r="R60" s="90">
        <f t="shared" si="42"/>
        <v>26397.963600000003</v>
      </c>
      <c r="S60" s="91"/>
      <c r="T60" s="92">
        <v>0</v>
      </c>
      <c r="U60" s="32">
        <f t="shared" si="43"/>
        <v>0</v>
      </c>
      <c r="V60" s="32">
        <v>0</v>
      </c>
      <c r="W60" s="32">
        <v>0</v>
      </c>
      <c r="X60" s="93">
        <v>0</v>
      </c>
      <c r="Y60" s="32">
        <v>0</v>
      </c>
      <c r="Z60" s="32">
        <v>0</v>
      </c>
      <c r="AA60" s="32">
        <v>0</v>
      </c>
      <c r="AB60" s="32">
        <v>0</v>
      </c>
      <c r="AC60" s="32">
        <v>0</v>
      </c>
      <c r="AD60" s="93">
        <v>0</v>
      </c>
      <c r="AE60" s="32">
        <v>0</v>
      </c>
      <c r="AF60" s="32">
        <v>0</v>
      </c>
      <c r="AG60" s="32">
        <v>0</v>
      </c>
      <c r="AH60" s="93">
        <v>0</v>
      </c>
      <c r="AI60" s="93">
        <v>0</v>
      </c>
      <c r="AJ60" s="93">
        <v>0</v>
      </c>
      <c r="AK60" s="32">
        <v>0</v>
      </c>
      <c r="AL60" s="32">
        <v>0</v>
      </c>
      <c r="AM60" s="32">
        <v>0</v>
      </c>
      <c r="AN60" s="32">
        <v>0</v>
      </c>
      <c r="AO60" s="32">
        <v>0</v>
      </c>
      <c r="AP60" s="32">
        <v>0</v>
      </c>
      <c r="AQ60" s="32">
        <v>0</v>
      </c>
      <c r="AR60" s="32">
        <v>0</v>
      </c>
      <c r="AS60" s="32">
        <v>0</v>
      </c>
      <c r="AT60" s="32">
        <v>0</v>
      </c>
      <c r="AU60" s="94">
        <f t="shared" si="48"/>
        <v>0</v>
      </c>
      <c r="AV60" s="95">
        <f t="shared" si="49"/>
        <v>0</v>
      </c>
      <c r="AW60" s="95">
        <f t="shared" si="50"/>
        <v>0</v>
      </c>
      <c r="AX60" s="95">
        <f t="shared" si="51"/>
        <v>0</v>
      </c>
      <c r="AY60" s="95">
        <f t="shared" si="52"/>
        <v>0</v>
      </c>
      <c r="AZ60" s="95">
        <f t="shared" si="53"/>
        <v>0</v>
      </c>
      <c r="BA60" s="95">
        <f t="shared" si="54"/>
        <v>0</v>
      </c>
      <c r="BB60" s="95">
        <f t="shared" si="55"/>
        <v>0</v>
      </c>
      <c r="BC60" s="96">
        <f t="shared" si="56"/>
        <v>0</v>
      </c>
      <c r="BD60" s="96">
        <f t="shared" si="57"/>
        <v>0</v>
      </c>
      <c r="BE60" s="96">
        <f t="shared" si="58"/>
        <v>0</v>
      </c>
      <c r="BF60" s="96">
        <f t="shared" si="59"/>
        <v>0</v>
      </c>
      <c r="BG60" s="96">
        <f t="shared" si="60"/>
        <v>0</v>
      </c>
      <c r="BH60" s="96">
        <f t="shared" si="61"/>
        <v>0</v>
      </c>
      <c r="BI60" s="96">
        <f t="shared" si="62"/>
        <v>0</v>
      </c>
      <c r="BJ60" s="96">
        <f t="shared" si="63"/>
        <v>0</v>
      </c>
      <c r="BK60" s="96">
        <f t="shared" si="64"/>
        <v>0</v>
      </c>
      <c r="BL60" s="96">
        <f t="shared" si="65"/>
        <v>0</v>
      </c>
      <c r="BM60" s="96">
        <f t="shared" si="66"/>
        <v>0</v>
      </c>
      <c r="BN60" s="96"/>
      <c r="BO60" s="95"/>
      <c r="BP60" s="95">
        <f t="shared" si="67"/>
        <v>0</v>
      </c>
      <c r="BQ60" s="95"/>
      <c r="BR60" s="95"/>
      <c r="BS60" s="95">
        <f t="shared" si="68"/>
        <v>0</v>
      </c>
      <c r="BT60" s="95">
        <f t="shared" si="69"/>
        <v>0</v>
      </c>
      <c r="BU60" s="95">
        <f t="shared" si="70"/>
        <v>0</v>
      </c>
      <c r="BV60" s="95">
        <f t="shared" si="71"/>
        <v>0</v>
      </c>
      <c r="BW60" s="95"/>
      <c r="BX60" s="95"/>
      <c r="BY60" s="95"/>
      <c r="BZ60" s="95"/>
      <c r="CA60" s="95">
        <f t="shared" si="44"/>
        <v>0</v>
      </c>
      <c r="CB60" s="97">
        <f t="shared" si="72"/>
        <v>0</v>
      </c>
      <c r="CC60" s="95"/>
      <c r="CD60" s="95"/>
      <c r="CE60" s="95">
        <f t="shared" si="73"/>
        <v>0</v>
      </c>
      <c r="CF60" s="95">
        <f t="shared" si="45"/>
        <v>0</v>
      </c>
      <c r="CG60" s="113"/>
      <c r="CH60" s="22"/>
      <c r="CI60" s="98">
        <f t="shared" si="74"/>
        <v>0</v>
      </c>
      <c r="CJ60" s="95">
        <f t="shared" si="75"/>
        <v>0</v>
      </c>
      <c r="CK60" s="95">
        <f t="shared" si="46"/>
        <v>0</v>
      </c>
      <c r="CL60" s="95">
        <v>0</v>
      </c>
      <c r="CM60" s="99"/>
      <c r="CN60" s="99">
        <v>0</v>
      </c>
      <c r="CO60" s="110"/>
      <c r="CP60" s="99"/>
      <c r="CQ60" s="99"/>
      <c r="CR60" s="99"/>
      <c r="CS60" s="95"/>
      <c r="CT60" s="95"/>
      <c r="CU60" s="96"/>
      <c r="CV60" s="96"/>
      <c r="CW60" s="96"/>
      <c r="CX60" s="96"/>
      <c r="CY60" s="96"/>
      <c r="CZ60" s="93">
        <f t="shared" si="76"/>
        <v>0</v>
      </c>
      <c r="DA60" s="93">
        <f t="shared" si="77"/>
        <v>0</v>
      </c>
      <c r="DB60" s="95">
        <f t="shared" si="78"/>
        <v>0</v>
      </c>
      <c r="DC60" s="100">
        <f t="shared" si="79"/>
        <v>0</v>
      </c>
      <c r="DD60" s="100"/>
      <c r="DE60" s="100">
        <f t="shared" si="80"/>
        <v>0</v>
      </c>
      <c r="DF60" s="13"/>
      <c r="DG60" s="2"/>
      <c r="DH60" s="46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</row>
    <row r="61" spans="1:156" s="1" customFormat="1" ht="12" customHeight="1" x14ac:dyDescent="0.2">
      <c r="A61" s="88">
        <f t="shared" si="47"/>
        <v>509827</v>
      </c>
      <c r="B61" s="21">
        <v>9827</v>
      </c>
      <c r="C61" s="21" t="s">
        <v>98</v>
      </c>
      <c r="D61" s="84" t="s">
        <v>177</v>
      </c>
      <c r="E61" s="114" t="s">
        <v>201</v>
      </c>
      <c r="F61" s="85">
        <v>0</v>
      </c>
      <c r="G61" s="84"/>
      <c r="H61" s="85"/>
      <c r="I61" s="86"/>
      <c r="J61" s="85"/>
      <c r="K61" s="21" t="s">
        <v>8</v>
      </c>
      <c r="L61" s="21"/>
      <c r="M61" s="87"/>
      <c r="N61" s="88"/>
      <c r="O61" s="88">
        <v>0</v>
      </c>
      <c r="P61" s="89">
        <f t="shared" si="40"/>
        <v>5401.2359999999999</v>
      </c>
      <c r="Q61" s="90">
        <f t="shared" si="41"/>
        <v>18004.12</v>
      </c>
      <c r="R61" s="90">
        <f t="shared" si="42"/>
        <v>25011.1211</v>
      </c>
      <c r="S61" s="91"/>
      <c r="T61" s="92">
        <v>13</v>
      </c>
      <c r="U61" s="32">
        <f t="shared" si="43"/>
        <v>13</v>
      </c>
      <c r="V61" s="32">
        <v>0</v>
      </c>
      <c r="W61" s="32">
        <v>1</v>
      </c>
      <c r="X61" s="93">
        <v>0</v>
      </c>
      <c r="Y61" s="32">
        <v>0</v>
      </c>
      <c r="Z61" s="32">
        <v>0</v>
      </c>
      <c r="AA61" s="32">
        <v>0</v>
      </c>
      <c r="AB61" s="32">
        <v>0</v>
      </c>
      <c r="AC61" s="32">
        <v>0</v>
      </c>
      <c r="AD61" s="93">
        <v>0</v>
      </c>
      <c r="AE61" s="32">
        <v>0</v>
      </c>
      <c r="AF61" s="32">
        <v>0</v>
      </c>
      <c r="AG61" s="32">
        <v>0</v>
      </c>
      <c r="AH61" s="93">
        <v>0</v>
      </c>
      <c r="AI61" s="93">
        <v>0</v>
      </c>
      <c r="AJ61" s="93">
        <v>0</v>
      </c>
      <c r="AK61" s="32">
        <v>0</v>
      </c>
      <c r="AL61" s="32">
        <v>0</v>
      </c>
      <c r="AM61" s="32">
        <v>0</v>
      </c>
      <c r="AN61" s="32">
        <v>0</v>
      </c>
      <c r="AO61" s="32">
        <v>0</v>
      </c>
      <c r="AP61" s="32">
        <v>0</v>
      </c>
      <c r="AQ61" s="32">
        <v>0</v>
      </c>
      <c r="AR61" s="32">
        <v>0</v>
      </c>
      <c r="AS61" s="32">
        <v>0</v>
      </c>
      <c r="AT61" s="32">
        <v>0</v>
      </c>
      <c r="AU61" s="94">
        <f t="shared" si="48"/>
        <v>14</v>
      </c>
      <c r="AV61" s="103">
        <f t="shared" si="49"/>
        <v>234053.56</v>
      </c>
      <c r="AW61" s="103">
        <f t="shared" si="50"/>
        <v>0</v>
      </c>
      <c r="AX61" s="103">
        <f t="shared" si="51"/>
        <v>18004.12</v>
      </c>
      <c r="AY61" s="95">
        <f t="shared" si="52"/>
        <v>0</v>
      </c>
      <c r="AZ61" s="95">
        <f t="shared" si="53"/>
        <v>0</v>
      </c>
      <c r="BA61" s="95">
        <f t="shared" si="54"/>
        <v>0</v>
      </c>
      <c r="BB61" s="95">
        <f t="shared" si="55"/>
        <v>0</v>
      </c>
      <c r="BC61" s="96">
        <f t="shared" si="56"/>
        <v>0</v>
      </c>
      <c r="BD61" s="96">
        <f t="shared" si="57"/>
        <v>0</v>
      </c>
      <c r="BE61" s="96">
        <f t="shared" si="58"/>
        <v>0</v>
      </c>
      <c r="BF61" s="96">
        <f t="shared" si="59"/>
        <v>0</v>
      </c>
      <c r="BG61" s="96">
        <f t="shared" si="60"/>
        <v>0</v>
      </c>
      <c r="BH61" s="96">
        <f t="shared" si="61"/>
        <v>0</v>
      </c>
      <c r="BI61" s="96">
        <f t="shared" si="62"/>
        <v>0</v>
      </c>
      <c r="BJ61" s="96">
        <f t="shared" si="63"/>
        <v>0</v>
      </c>
      <c r="BK61" s="96">
        <f t="shared" si="64"/>
        <v>0</v>
      </c>
      <c r="BL61" s="96">
        <f t="shared" si="65"/>
        <v>0</v>
      </c>
      <c r="BM61" s="96">
        <f t="shared" si="66"/>
        <v>0</v>
      </c>
      <c r="BN61" s="96"/>
      <c r="BO61" s="95"/>
      <c r="BP61" s="95">
        <f t="shared" si="67"/>
        <v>0</v>
      </c>
      <c r="BQ61" s="95"/>
      <c r="BR61" s="95"/>
      <c r="BS61" s="95">
        <f t="shared" si="68"/>
        <v>0</v>
      </c>
      <c r="BT61" s="95">
        <f t="shared" si="69"/>
        <v>0</v>
      </c>
      <c r="BU61" s="95">
        <f t="shared" si="70"/>
        <v>0</v>
      </c>
      <c r="BV61" s="95">
        <f t="shared" si="71"/>
        <v>0</v>
      </c>
      <c r="BW61" s="95"/>
      <c r="BX61" s="95"/>
      <c r="BY61" s="95"/>
      <c r="BZ61" s="95"/>
      <c r="CA61" s="95">
        <f t="shared" si="44"/>
        <v>0</v>
      </c>
      <c r="CB61" s="97">
        <f t="shared" si="72"/>
        <v>252057.68</v>
      </c>
      <c r="CC61" s="95"/>
      <c r="CD61" s="95"/>
      <c r="CE61" s="95">
        <f t="shared" si="73"/>
        <v>-7561.7303999999995</v>
      </c>
      <c r="CF61" s="95">
        <f t="shared" si="45"/>
        <v>-2520.5767999999998</v>
      </c>
      <c r="CG61" s="113"/>
      <c r="CH61" s="22"/>
      <c r="CI61" s="98">
        <f t="shared" si="74"/>
        <v>350158.52905599994</v>
      </c>
      <c r="CJ61" s="95">
        <f t="shared" si="75"/>
        <v>-10504.755871679998</v>
      </c>
      <c r="CK61" s="95">
        <f t="shared" si="46"/>
        <v>-3501.5852905599995</v>
      </c>
      <c r="CL61" s="95">
        <v>0</v>
      </c>
      <c r="CM61" s="99"/>
      <c r="CN61" s="99">
        <v>0</v>
      </c>
      <c r="CO61" s="110"/>
      <c r="CP61" s="99"/>
      <c r="CQ61" s="99"/>
      <c r="CR61" s="99"/>
      <c r="CS61" s="95"/>
      <c r="CT61" s="95"/>
      <c r="CU61" s="96"/>
      <c r="CV61" s="96"/>
      <c r="CW61" s="96"/>
      <c r="CX61" s="96"/>
      <c r="CY61" s="96"/>
      <c r="CZ61" s="93">
        <f t="shared" si="76"/>
        <v>0</v>
      </c>
      <c r="DA61" s="93">
        <f t="shared" si="77"/>
        <v>0</v>
      </c>
      <c r="DB61" s="95">
        <f t="shared" si="78"/>
        <v>578127.56069375994</v>
      </c>
      <c r="DC61" s="100">
        <f t="shared" si="79"/>
        <v>578128</v>
      </c>
      <c r="DD61" s="100"/>
      <c r="DE61" s="100">
        <f t="shared" si="80"/>
        <v>-578128</v>
      </c>
      <c r="DF61" s="13"/>
      <c r="DG61" s="2"/>
      <c r="DH61" s="46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</row>
    <row r="62" spans="1:156" s="1" customFormat="1" ht="12" hidden="1" customHeight="1" x14ac:dyDescent="0.2">
      <c r="A62" s="88">
        <f t="shared" si="47"/>
        <v>509688</v>
      </c>
      <c r="B62" s="21">
        <v>9688</v>
      </c>
      <c r="C62" s="21" t="s">
        <v>98</v>
      </c>
      <c r="D62" s="84" t="s">
        <v>130</v>
      </c>
      <c r="E62" s="115" t="s">
        <v>202</v>
      </c>
      <c r="F62" s="85">
        <v>3</v>
      </c>
      <c r="G62" s="84"/>
      <c r="H62" s="85"/>
      <c r="I62" s="86"/>
      <c r="J62" s="85"/>
      <c r="K62" s="21" t="s">
        <v>10</v>
      </c>
      <c r="L62" s="21"/>
      <c r="M62" s="87"/>
      <c r="N62" s="88"/>
      <c r="O62" s="88">
        <v>7</v>
      </c>
      <c r="P62" s="89">
        <f t="shared" si="40"/>
        <v>5700.7259999999997</v>
      </c>
      <c r="Q62" s="90">
        <f t="shared" si="41"/>
        <v>19002.419999999998</v>
      </c>
      <c r="R62" s="90">
        <f t="shared" si="42"/>
        <v>26397.963600000003</v>
      </c>
      <c r="S62" s="91"/>
      <c r="T62" s="92">
        <v>0</v>
      </c>
      <c r="U62" s="32">
        <f t="shared" si="43"/>
        <v>0</v>
      </c>
      <c r="V62" s="32">
        <v>0</v>
      </c>
      <c r="W62" s="32">
        <v>0</v>
      </c>
      <c r="X62" s="93">
        <v>0</v>
      </c>
      <c r="Y62" s="32">
        <v>0</v>
      </c>
      <c r="Z62" s="32">
        <v>0</v>
      </c>
      <c r="AA62" s="32">
        <v>0</v>
      </c>
      <c r="AB62" s="32">
        <v>0</v>
      </c>
      <c r="AC62" s="32">
        <v>0</v>
      </c>
      <c r="AD62" s="93">
        <v>0</v>
      </c>
      <c r="AE62" s="32">
        <v>0</v>
      </c>
      <c r="AF62" s="32">
        <v>0</v>
      </c>
      <c r="AG62" s="32">
        <v>0</v>
      </c>
      <c r="AH62" s="93">
        <v>0</v>
      </c>
      <c r="AI62" s="93">
        <v>0</v>
      </c>
      <c r="AJ62" s="93">
        <v>0</v>
      </c>
      <c r="AK62" s="32">
        <v>0</v>
      </c>
      <c r="AL62" s="32">
        <v>0</v>
      </c>
      <c r="AM62" s="32">
        <v>0</v>
      </c>
      <c r="AN62" s="32">
        <v>0</v>
      </c>
      <c r="AO62" s="32">
        <v>0</v>
      </c>
      <c r="AP62" s="32">
        <v>0</v>
      </c>
      <c r="AQ62" s="32">
        <v>0</v>
      </c>
      <c r="AR62" s="32">
        <v>0</v>
      </c>
      <c r="AS62" s="32">
        <v>0</v>
      </c>
      <c r="AT62" s="32">
        <v>0</v>
      </c>
      <c r="AU62" s="94">
        <f t="shared" si="48"/>
        <v>0</v>
      </c>
      <c r="AV62" s="95">
        <f t="shared" si="49"/>
        <v>0</v>
      </c>
      <c r="AW62" s="95">
        <f t="shared" si="50"/>
        <v>0</v>
      </c>
      <c r="AX62" s="95">
        <f t="shared" si="51"/>
        <v>0</v>
      </c>
      <c r="AY62" s="95">
        <f t="shared" si="52"/>
        <v>0</v>
      </c>
      <c r="AZ62" s="95">
        <f t="shared" si="53"/>
        <v>0</v>
      </c>
      <c r="BA62" s="95">
        <f t="shared" si="54"/>
        <v>0</v>
      </c>
      <c r="BB62" s="95">
        <f t="shared" si="55"/>
        <v>0</v>
      </c>
      <c r="BC62" s="96">
        <f t="shared" si="56"/>
        <v>0</v>
      </c>
      <c r="BD62" s="96">
        <f t="shared" si="57"/>
        <v>0</v>
      </c>
      <c r="BE62" s="96">
        <f t="shared" si="58"/>
        <v>0</v>
      </c>
      <c r="BF62" s="96">
        <f t="shared" si="59"/>
        <v>0</v>
      </c>
      <c r="BG62" s="96">
        <f t="shared" si="60"/>
        <v>0</v>
      </c>
      <c r="BH62" s="96">
        <f t="shared" si="61"/>
        <v>0</v>
      </c>
      <c r="BI62" s="96">
        <f t="shared" si="62"/>
        <v>0</v>
      </c>
      <c r="BJ62" s="96">
        <f t="shared" si="63"/>
        <v>0</v>
      </c>
      <c r="BK62" s="96">
        <f t="shared" si="64"/>
        <v>0</v>
      </c>
      <c r="BL62" s="96">
        <f t="shared" si="65"/>
        <v>0</v>
      </c>
      <c r="BM62" s="96">
        <f t="shared" si="66"/>
        <v>0</v>
      </c>
      <c r="BN62" s="96"/>
      <c r="BO62" s="95"/>
      <c r="BP62" s="95">
        <f t="shared" si="67"/>
        <v>0</v>
      </c>
      <c r="BQ62" s="95"/>
      <c r="BR62" s="95"/>
      <c r="BS62" s="95">
        <f t="shared" si="68"/>
        <v>0</v>
      </c>
      <c r="BT62" s="95">
        <f t="shared" si="69"/>
        <v>0</v>
      </c>
      <c r="BU62" s="95">
        <f t="shared" si="70"/>
        <v>0</v>
      </c>
      <c r="BV62" s="95">
        <f t="shared" si="71"/>
        <v>0</v>
      </c>
      <c r="BW62" s="95"/>
      <c r="BX62" s="95"/>
      <c r="BY62" s="95"/>
      <c r="BZ62" s="95"/>
      <c r="CA62" s="95">
        <f t="shared" si="44"/>
        <v>0</v>
      </c>
      <c r="CB62" s="97">
        <f t="shared" si="72"/>
        <v>0</v>
      </c>
      <c r="CC62" s="95"/>
      <c r="CD62" s="95"/>
      <c r="CE62" s="95">
        <f t="shared" si="73"/>
        <v>0</v>
      </c>
      <c r="CF62" s="95">
        <f t="shared" si="45"/>
        <v>0</v>
      </c>
      <c r="CG62" s="113"/>
      <c r="CH62" s="22"/>
      <c r="CI62" s="98">
        <f t="shared" si="74"/>
        <v>0</v>
      </c>
      <c r="CJ62" s="95">
        <f t="shared" si="75"/>
        <v>0</v>
      </c>
      <c r="CK62" s="95">
        <f t="shared" si="46"/>
        <v>0</v>
      </c>
      <c r="CL62" s="95">
        <v>0</v>
      </c>
      <c r="CM62" s="99"/>
      <c r="CN62" s="99">
        <v>0</v>
      </c>
      <c r="CO62" s="110"/>
      <c r="CP62" s="99"/>
      <c r="CQ62" s="99"/>
      <c r="CR62" s="99"/>
      <c r="CS62" s="95"/>
      <c r="CT62" s="95"/>
      <c r="CU62" s="96"/>
      <c r="CV62" s="96"/>
      <c r="CW62" s="96"/>
      <c r="CX62" s="96"/>
      <c r="CY62" s="96"/>
      <c r="CZ62" s="93">
        <f t="shared" si="76"/>
        <v>0</v>
      </c>
      <c r="DA62" s="93">
        <f t="shared" si="77"/>
        <v>0</v>
      </c>
      <c r="DB62" s="95">
        <f t="shared" si="78"/>
        <v>0</v>
      </c>
      <c r="DC62" s="100">
        <f t="shared" si="79"/>
        <v>0</v>
      </c>
      <c r="DD62" s="100"/>
      <c r="DE62" s="100">
        <f t="shared" si="80"/>
        <v>0</v>
      </c>
      <c r="DF62" s="13"/>
      <c r="DG62" s="2"/>
      <c r="DH62" s="46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</row>
    <row r="63" spans="1:156" s="1" customFormat="1" ht="12" hidden="1" customHeight="1" x14ac:dyDescent="0.2">
      <c r="A63" s="88">
        <f t="shared" si="47"/>
        <v>509744</v>
      </c>
      <c r="B63" s="21">
        <v>9744</v>
      </c>
      <c r="C63" s="21" t="s">
        <v>98</v>
      </c>
      <c r="D63" s="84" t="s">
        <v>160</v>
      </c>
      <c r="E63" s="114" t="s">
        <v>201</v>
      </c>
      <c r="F63" s="85">
        <v>0</v>
      </c>
      <c r="G63" s="84"/>
      <c r="H63" s="85">
        <v>60</v>
      </c>
      <c r="I63" s="86"/>
      <c r="J63" s="85"/>
      <c r="K63" s="21" t="s">
        <v>10</v>
      </c>
      <c r="L63" s="21"/>
      <c r="M63" s="87"/>
      <c r="N63" s="88"/>
      <c r="O63" s="88">
        <v>3</v>
      </c>
      <c r="P63" s="89">
        <f t="shared" si="40"/>
        <v>5700.7259999999997</v>
      </c>
      <c r="Q63" s="90">
        <f t="shared" si="41"/>
        <v>19002.419999999998</v>
      </c>
      <c r="R63" s="90">
        <f t="shared" si="42"/>
        <v>26397.963600000003</v>
      </c>
      <c r="S63" s="91"/>
      <c r="T63" s="92">
        <v>0</v>
      </c>
      <c r="U63" s="32">
        <f t="shared" si="43"/>
        <v>0</v>
      </c>
      <c r="V63" s="32">
        <v>0</v>
      </c>
      <c r="W63" s="32">
        <v>0</v>
      </c>
      <c r="X63" s="93">
        <v>0</v>
      </c>
      <c r="Y63" s="32">
        <v>0</v>
      </c>
      <c r="Z63" s="32">
        <v>0</v>
      </c>
      <c r="AA63" s="32">
        <v>0</v>
      </c>
      <c r="AB63" s="32">
        <v>0</v>
      </c>
      <c r="AC63" s="32">
        <v>0</v>
      </c>
      <c r="AD63" s="93">
        <v>0</v>
      </c>
      <c r="AE63" s="32">
        <v>0</v>
      </c>
      <c r="AF63" s="32">
        <v>0</v>
      </c>
      <c r="AG63" s="32">
        <v>0</v>
      </c>
      <c r="AH63" s="93">
        <v>0</v>
      </c>
      <c r="AI63" s="93">
        <v>0</v>
      </c>
      <c r="AJ63" s="93">
        <v>0</v>
      </c>
      <c r="AK63" s="32">
        <v>0</v>
      </c>
      <c r="AL63" s="32">
        <v>0</v>
      </c>
      <c r="AM63" s="32">
        <v>0</v>
      </c>
      <c r="AN63" s="32">
        <v>0</v>
      </c>
      <c r="AO63" s="32">
        <v>0</v>
      </c>
      <c r="AP63" s="32">
        <v>0</v>
      </c>
      <c r="AQ63" s="32">
        <v>0</v>
      </c>
      <c r="AR63" s="32">
        <v>0</v>
      </c>
      <c r="AS63" s="32">
        <v>0</v>
      </c>
      <c r="AT63" s="32">
        <v>0</v>
      </c>
      <c r="AU63" s="94">
        <f t="shared" si="48"/>
        <v>0</v>
      </c>
      <c r="AV63" s="95">
        <f t="shared" si="49"/>
        <v>0</v>
      </c>
      <c r="AW63" s="95">
        <f t="shared" si="50"/>
        <v>0</v>
      </c>
      <c r="AX63" s="95">
        <f t="shared" si="51"/>
        <v>0</v>
      </c>
      <c r="AY63" s="95">
        <f t="shared" si="52"/>
        <v>0</v>
      </c>
      <c r="AZ63" s="95">
        <f t="shared" si="53"/>
        <v>0</v>
      </c>
      <c r="BA63" s="95">
        <f t="shared" si="54"/>
        <v>0</v>
      </c>
      <c r="BB63" s="95">
        <f t="shared" si="55"/>
        <v>0</v>
      </c>
      <c r="BC63" s="96">
        <f t="shared" si="56"/>
        <v>0</v>
      </c>
      <c r="BD63" s="96">
        <f t="shared" si="57"/>
        <v>0</v>
      </c>
      <c r="BE63" s="96">
        <f t="shared" si="58"/>
        <v>0</v>
      </c>
      <c r="BF63" s="96">
        <f t="shared" si="59"/>
        <v>0</v>
      </c>
      <c r="BG63" s="96">
        <f t="shared" si="60"/>
        <v>0</v>
      </c>
      <c r="BH63" s="96">
        <f t="shared" si="61"/>
        <v>0</v>
      </c>
      <c r="BI63" s="96">
        <f t="shared" si="62"/>
        <v>0</v>
      </c>
      <c r="BJ63" s="96">
        <f t="shared" si="63"/>
        <v>0</v>
      </c>
      <c r="BK63" s="96">
        <f t="shared" si="64"/>
        <v>0</v>
      </c>
      <c r="BL63" s="96">
        <f t="shared" si="65"/>
        <v>0</v>
      </c>
      <c r="BM63" s="96">
        <f t="shared" si="66"/>
        <v>0</v>
      </c>
      <c r="BN63" s="96"/>
      <c r="BO63" s="95"/>
      <c r="BP63" s="95">
        <f t="shared" si="67"/>
        <v>0</v>
      </c>
      <c r="BQ63" s="95"/>
      <c r="BR63" s="95"/>
      <c r="BS63" s="95">
        <f t="shared" si="68"/>
        <v>0</v>
      </c>
      <c r="BT63" s="95">
        <f t="shared" si="69"/>
        <v>0</v>
      </c>
      <c r="BU63" s="95">
        <f t="shared" si="70"/>
        <v>0</v>
      </c>
      <c r="BV63" s="95">
        <f t="shared" si="71"/>
        <v>0</v>
      </c>
      <c r="BW63" s="95"/>
      <c r="BX63" s="95"/>
      <c r="BY63" s="95"/>
      <c r="BZ63" s="95"/>
      <c r="CA63" s="95">
        <f t="shared" si="44"/>
        <v>0</v>
      </c>
      <c r="CB63" s="97">
        <f t="shared" si="72"/>
        <v>0</v>
      </c>
      <c r="CC63" s="95"/>
      <c r="CD63" s="95"/>
      <c r="CE63" s="95">
        <f t="shared" si="73"/>
        <v>0</v>
      </c>
      <c r="CF63" s="95">
        <f t="shared" si="45"/>
        <v>0</v>
      </c>
      <c r="CG63" s="113"/>
      <c r="CH63" s="22"/>
      <c r="CI63" s="98">
        <f t="shared" si="74"/>
        <v>0</v>
      </c>
      <c r="CJ63" s="95">
        <f t="shared" si="75"/>
        <v>0</v>
      </c>
      <c r="CK63" s="95">
        <f t="shared" si="46"/>
        <v>0</v>
      </c>
      <c r="CL63" s="95">
        <v>0</v>
      </c>
      <c r="CM63" s="99"/>
      <c r="CN63" s="99">
        <v>0</v>
      </c>
      <c r="CO63" s="110"/>
      <c r="CP63" s="99"/>
      <c r="CQ63" s="99"/>
      <c r="CR63" s="99"/>
      <c r="CS63" s="95"/>
      <c r="CT63" s="95"/>
      <c r="CU63" s="96"/>
      <c r="CV63" s="96"/>
      <c r="CW63" s="96"/>
      <c r="CX63" s="96"/>
      <c r="CY63" s="96"/>
      <c r="CZ63" s="93">
        <f t="shared" si="76"/>
        <v>0</v>
      </c>
      <c r="DA63" s="93">
        <f t="shared" si="77"/>
        <v>0</v>
      </c>
      <c r="DB63" s="95">
        <f t="shared" si="78"/>
        <v>0</v>
      </c>
      <c r="DC63" s="100">
        <f t="shared" si="79"/>
        <v>0</v>
      </c>
      <c r="DD63" s="100"/>
      <c r="DE63" s="100">
        <f t="shared" si="80"/>
        <v>0</v>
      </c>
      <c r="DF63" s="13"/>
      <c r="DG63" s="2"/>
      <c r="DH63" s="46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</row>
    <row r="64" spans="1:156" s="1" customFormat="1" ht="12" hidden="1" customHeight="1" x14ac:dyDescent="0.2">
      <c r="A64" s="88">
        <f t="shared" si="47"/>
        <v>509691</v>
      </c>
      <c r="B64" s="21">
        <v>9691</v>
      </c>
      <c r="C64" s="21" t="s">
        <v>98</v>
      </c>
      <c r="D64" s="84" t="s">
        <v>131</v>
      </c>
      <c r="E64" s="115" t="s">
        <v>202</v>
      </c>
      <c r="F64" s="85">
        <v>3</v>
      </c>
      <c r="G64" s="84"/>
      <c r="H64" s="85"/>
      <c r="I64" s="86"/>
      <c r="J64" s="85"/>
      <c r="K64" s="21" t="s">
        <v>10</v>
      </c>
      <c r="L64" s="21"/>
      <c r="M64" s="87"/>
      <c r="N64" s="88"/>
      <c r="O64" s="88">
        <v>7</v>
      </c>
      <c r="P64" s="89">
        <f t="shared" si="40"/>
        <v>5700.7259999999997</v>
      </c>
      <c r="Q64" s="90">
        <f t="shared" si="41"/>
        <v>19002.419999999998</v>
      </c>
      <c r="R64" s="90">
        <f t="shared" si="42"/>
        <v>26397.963600000003</v>
      </c>
      <c r="S64" s="91"/>
      <c r="T64" s="92">
        <v>0</v>
      </c>
      <c r="U64" s="32">
        <f t="shared" si="43"/>
        <v>0</v>
      </c>
      <c r="V64" s="32">
        <v>0</v>
      </c>
      <c r="W64" s="32">
        <v>0</v>
      </c>
      <c r="X64" s="93">
        <v>0</v>
      </c>
      <c r="Y64" s="32">
        <v>0</v>
      </c>
      <c r="Z64" s="32">
        <v>0</v>
      </c>
      <c r="AA64" s="32">
        <v>0</v>
      </c>
      <c r="AB64" s="32">
        <v>0</v>
      </c>
      <c r="AC64" s="32">
        <v>0</v>
      </c>
      <c r="AD64" s="93">
        <v>0</v>
      </c>
      <c r="AE64" s="32">
        <v>0</v>
      </c>
      <c r="AF64" s="32">
        <v>0</v>
      </c>
      <c r="AG64" s="32">
        <v>0</v>
      </c>
      <c r="AH64" s="93">
        <v>0</v>
      </c>
      <c r="AI64" s="93">
        <v>0</v>
      </c>
      <c r="AJ64" s="93">
        <v>0</v>
      </c>
      <c r="AK64" s="32">
        <v>0</v>
      </c>
      <c r="AL64" s="32">
        <v>0</v>
      </c>
      <c r="AM64" s="32">
        <v>0</v>
      </c>
      <c r="AN64" s="32">
        <v>0</v>
      </c>
      <c r="AO64" s="32">
        <v>0</v>
      </c>
      <c r="AP64" s="32">
        <v>0</v>
      </c>
      <c r="AQ64" s="32">
        <v>0</v>
      </c>
      <c r="AR64" s="32">
        <v>0</v>
      </c>
      <c r="AS64" s="32">
        <v>0</v>
      </c>
      <c r="AT64" s="32">
        <v>0</v>
      </c>
      <c r="AU64" s="94">
        <f t="shared" si="48"/>
        <v>0</v>
      </c>
      <c r="AV64" s="95">
        <f t="shared" si="49"/>
        <v>0</v>
      </c>
      <c r="AW64" s="95">
        <f t="shared" si="50"/>
        <v>0</v>
      </c>
      <c r="AX64" s="95">
        <f t="shared" si="51"/>
        <v>0</v>
      </c>
      <c r="AY64" s="95">
        <f t="shared" si="52"/>
        <v>0</v>
      </c>
      <c r="AZ64" s="95">
        <f t="shared" si="53"/>
        <v>0</v>
      </c>
      <c r="BA64" s="95">
        <f t="shared" si="54"/>
        <v>0</v>
      </c>
      <c r="BB64" s="95">
        <f t="shared" si="55"/>
        <v>0</v>
      </c>
      <c r="BC64" s="96">
        <f t="shared" si="56"/>
        <v>0</v>
      </c>
      <c r="BD64" s="96">
        <f t="shared" si="57"/>
        <v>0</v>
      </c>
      <c r="BE64" s="96">
        <f t="shared" si="58"/>
        <v>0</v>
      </c>
      <c r="BF64" s="96">
        <f t="shared" si="59"/>
        <v>0</v>
      </c>
      <c r="BG64" s="96">
        <f t="shared" si="60"/>
        <v>0</v>
      </c>
      <c r="BH64" s="96">
        <f t="shared" si="61"/>
        <v>0</v>
      </c>
      <c r="BI64" s="96">
        <f t="shared" si="62"/>
        <v>0</v>
      </c>
      <c r="BJ64" s="96">
        <f t="shared" si="63"/>
        <v>0</v>
      </c>
      <c r="BK64" s="96">
        <f t="shared" si="64"/>
        <v>0</v>
      </c>
      <c r="BL64" s="96">
        <f t="shared" si="65"/>
        <v>0</v>
      </c>
      <c r="BM64" s="96">
        <f t="shared" si="66"/>
        <v>0</v>
      </c>
      <c r="BN64" s="96"/>
      <c r="BO64" s="95"/>
      <c r="BP64" s="95">
        <f t="shared" si="67"/>
        <v>0</v>
      </c>
      <c r="BQ64" s="95"/>
      <c r="BR64" s="95"/>
      <c r="BS64" s="95">
        <f t="shared" si="68"/>
        <v>0</v>
      </c>
      <c r="BT64" s="95">
        <f t="shared" si="69"/>
        <v>0</v>
      </c>
      <c r="BU64" s="95">
        <f t="shared" si="70"/>
        <v>0</v>
      </c>
      <c r="BV64" s="95">
        <f t="shared" si="71"/>
        <v>0</v>
      </c>
      <c r="BW64" s="95"/>
      <c r="BX64" s="95"/>
      <c r="BY64" s="95"/>
      <c r="BZ64" s="95"/>
      <c r="CA64" s="95">
        <f t="shared" si="44"/>
        <v>0</v>
      </c>
      <c r="CB64" s="97">
        <f t="shared" si="72"/>
        <v>0</v>
      </c>
      <c r="CC64" s="95"/>
      <c r="CD64" s="95"/>
      <c r="CE64" s="95">
        <f t="shared" si="73"/>
        <v>0</v>
      </c>
      <c r="CF64" s="95">
        <f t="shared" si="45"/>
        <v>0</v>
      </c>
      <c r="CG64" s="113"/>
      <c r="CH64" s="22"/>
      <c r="CI64" s="98">
        <f t="shared" si="74"/>
        <v>0</v>
      </c>
      <c r="CJ64" s="95">
        <f t="shared" si="75"/>
        <v>0</v>
      </c>
      <c r="CK64" s="95">
        <f t="shared" si="46"/>
        <v>0</v>
      </c>
      <c r="CL64" s="95">
        <v>0</v>
      </c>
      <c r="CM64" s="99"/>
      <c r="CN64" s="99">
        <v>0</v>
      </c>
      <c r="CO64" s="110"/>
      <c r="CP64" s="99"/>
      <c r="CQ64" s="99"/>
      <c r="CR64" s="99"/>
      <c r="CS64" s="95"/>
      <c r="CT64" s="95"/>
      <c r="CU64" s="96"/>
      <c r="CV64" s="96"/>
      <c r="CW64" s="96"/>
      <c r="CX64" s="96"/>
      <c r="CY64" s="96"/>
      <c r="CZ64" s="93">
        <f t="shared" si="76"/>
        <v>0</v>
      </c>
      <c r="DA64" s="93">
        <f t="shared" si="77"/>
        <v>0</v>
      </c>
      <c r="DB64" s="95">
        <f t="shared" si="78"/>
        <v>0</v>
      </c>
      <c r="DC64" s="100">
        <f t="shared" si="79"/>
        <v>0</v>
      </c>
      <c r="DD64" s="100"/>
      <c r="DE64" s="100">
        <f t="shared" si="80"/>
        <v>0</v>
      </c>
      <c r="DF64" s="13"/>
      <c r="DG64" s="2"/>
      <c r="DH64" s="46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</row>
    <row r="65" spans="1:156" s="1" customFormat="1" ht="12" hidden="1" customHeight="1" x14ac:dyDescent="0.2">
      <c r="A65" s="88">
        <f t="shared" si="47"/>
        <v>509693</v>
      </c>
      <c r="B65" s="21">
        <v>9693</v>
      </c>
      <c r="C65" s="21" t="s">
        <v>98</v>
      </c>
      <c r="D65" s="84" t="s">
        <v>132</v>
      </c>
      <c r="E65" s="115" t="s">
        <v>202</v>
      </c>
      <c r="F65" s="85">
        <v>0</v>
      </c>
      <c r="G65" s="84"/>
      <c r="H65" s="85">
        <v>64</v>
      </c>
      <c r="I65" s="86"/>
      <c r="J65" s="85"/>
      <c r="K65" s="21" t="s">
        <v>8</v>
      </c>
      <c r="L65" s="21"/>
      <c r="M65" s="87"/>
      <c r="N65" s="88"/>
      <c r="O65" s="88">
        <v>23</v>
      </c>
      <c r="P65" s="89">
        <f t="shared" si="40"/>
        <v>5401.2359999999999</v>
      </c>
      <c r="Q65" s="90">
        <f t="shared" si="41"/>
        <v>18004.12</v>
      </c>
      <c r="R65" s="90">
        <f t="shared" si="42"/>
        <v>25011.1211</v>
      </c>
      <c r="S65" s="91"/>
      <c r="T65" s="92">
        <v>0</v>
      </c>
      <c r="U65" s="32">
        <f t="shared" si="43"/>
        <v>0</v>
      </c>
      <c r="V65" s="32">
        <v>0</v>
      </c>
      <c r="W65" s="32">
        <v>0</v>
      </c>
      <c r="X65" s="93">
        <v>0</v>
      </c>
      <c r="Y65" s="32">
        <v>0</v>
      </c>
      <c r="Z65" s="32">
        <v>0</v>
      </c>
      <c r="AA65" s="32">
        <v>0</v>
      </c>
      <c r="AB65" s="32">
        <v>0</v>
      </c>
      <c r="AC65" s="32">
        <v>0</v>
      </c>
      <c r="AD65" s="93">
        <v>0</v>
      </c>
      <c r="AE65" s="32">
        <v>0</v>
      </c>
      <c r="AF65" s="32">
        <v>0</v>
      </c>
      <c r="AG65" s="32">
        <v>0</v>
      </c>
      <c r="AH65" s="93">
        <v>0</v>
      </c>
      <c r="AI65" s="93">
        <v>0</v>
      </c>
      <c r="AJ65" s="93">
        <v>0</v>
      </c>
      <c r="AK65" s="32">
        <v>0</v>
      </c>
      <c r="AL65" s="32">
        <v>0</v>
      </c>
      <c r="AM65" s="32">
        <v>0</v>
      </c>
      <c r="AN65" s="32">
        <v>0</v>
      </c>
      <c r="AO65" s="32">
        <v>0</v>
      </c>
      <c r="AP65" s="32">
        <v>0</v>
      </c>
      <c r="AQ65" s="32">
        <v>0</v>
      </c>
      <c r="AR65" s="32">
        <v>0</v>
      </c>
      <c r="AS65" s="32">
        <v>0</v>
      </c>
      <c r="AT65" s="32">
        <v>0</v>
      </c>
      <c r="AU65" s="94">
        <f t="shared" si="48"/>
        <v>0</v>
      </c>
      <c r="AV65" s="95">
        <f t="shared" si="49"/>
        <v>0</v>
      </c>
      <c r="AW65" s="95">
        <f t="shared" si="50"/>
        <v>0</v>
      </c>
      <c r="AX65" s="95">
        <f t="shared" si="51"/>
        <v>0</v>
      </c>
      <c r="AY65" s="95">
        <f t="shared" si="52"/>
        <v>0</v>
      </c>
      <c r="AZ65" s="95">
        <f t="shared" si="53"/>
        <v>0</v>
      </c>
      <c r="BA65" s="95">
        <f t="shared" si="54"/>
        <v>0</v>
      </c>
      <c r="BB65" s="95">
        <f t="shared" si="55"/>
        <v>0</v>
      </c>
      <c r="BC65" s="96">
        <f t="shared" si="56"/>
        <v>0</v>
      </c>
      <c r="BD65" s="96">
        <f t="shared" si="57"/>
        <v>0</v>
      </c>
      <c r="BE65" s="96">
        <f t="shared" si="58"/>
        <v>0</v>
      </c>
      <c r="BF65" s="96">
        <f t="shared" si="59"/>
        <v>0</v>
      </c>
      <c r="BG65" s="96">
        <f t="shared" si="60"/>
        <v>0</v>
      </c>
      <c r="BH65" s="96">
        <f t="shared" si="61"/>
        <v>0</v>
      </c>
      <c r="BI65" s="96">
        <f t="shared" si="62"/>
        <v>0</v>
      </c>
      <c r="BJ65" s="96">
        <f t="shared" si="63"/>
        <v>0</v>
      </c>
      <c r="BK65" s="96">
        <f t="shared" si="64"/>
        <v>0</v>
      </c>
      <c r="BL65" s="96">
        <f t="shared" si="65"/>
        <v>0</v>
      </c>
      <c r="BM65" s="96">
        <f t="shared" si="66"/>
        <v>0</v>
      </c>
      <c r="BN65" s="96"/>
      <c r="BO65" s="95"/>
      <c r="BP65" s="95">
        <f t="shared" si="67"/>
        <v>0</v>
      </c>
      <c r="BQ65" s="95"/>
      <c r="BR65" s="95"/>
      <c r="BS65" s="95">
        <f t="shared" si="68"/>
        <v>0</v>
      </c>
      <c r="BT65" s="95">
        <f t="shared" si="69"/>
        <v>0</v>
      </c>
      <c r="BU65" s="95">
        <f t="shared" si="70"/>
        <v>0</v>
      </c>
      <c r="BV65" s="95">
        <f t="shared" si="71"/>
        <v>0</v>
      </c>
      <c r="BW65" s="95"/>
      <c r="BX65" s="95"/>
      <c r="BY65" s="95"/>
      <c r="BZ65" s="95"/>
      <c r="CA65" s="95">
        <f t="shared" si="44"/>
        <v>0</v>
      </c>
      <c r="CB65" s="97">
        <f t="shared" si="72"/>
        <v>0</v>
      </c>
      <c r="CC65" s="95"/>
      <c r="CD65" s="95"/>
      <c r="CE65" s="95">
        <f t="shared" si="73"/>
        <v>0</v>
      </c>
      <c r="CF65" s="95">
        <f t="shared" si="45"/>
        <v>0</v>
      </c>
      <c r="CG65" s="113"/>
      <c r="CH65" s="22"/>
      <c r="CI65" s="98">
        <f t="shared" si="74"/>
        <v>0</v>
      </c>
      <c r="CJ65" s="95">
        <f t="shared" si="75"/>
        <v>0</v>
      </c>
      <c r="CK65" s="95">
        <f t="shared" si="46"/>
        <v>0</v>
      </c>
      <c r="CL65" s="95">
        <v>0</v>
      </c>
      <c r="CM65" s="99"/>
      <c r="CN65" s="99">
        <v>0</v>
      </c>
      <c r="CO65" s="110"/>
      <c r="CP65" s="99"/>
      <c r="CQ65" s="99"/>
      <c r="CR65" s="99"/>
      <c r="CS65" s="95"/>
      <c r="CT65" s="95"/>
      <c r="CU65" s="96"/>
      <c r="CV65" s="96"/>
      <c r="CW65" s="96"/>
      <c r="CX65" s="96"/>
      <c r="CY65" s="96"/>
      <c r="CZ65" s="93">
        <f t="shared" si="76"/>
        <v>0</v>
      </c>
      <c r="DA65" s="93">
        <f t="shared" si="77"/>
        <v>0</v>
      </c>
      <c r="DB65" s="95">
        <f t="shared" si="78"/>
        <v>0</v>
      </c>
      <c r="DC65" s="100">
        <f t="shared" si="79"/>
        <v>0</v>
      </c>
      <c r="DD65" s="100"/>
      <c r="DE65" s="100">
        <f t="shared" si="80"/>
        <v>0</v>
      </c>
      <c r="DF65" s="13"/>
      <c r="DG65" s="2"/>
      <c r="DH65" s="46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</row>
    <row r="66" spans="1:156" s="1" customFormat="1" ht="12" hidden="1" customHeight="1" x14ac:dyDescent="0.2">
      <c r="A66" s="88">
        <f t="shared" si="47"/>
        <v>509694</v>
      </c>
      <c r="B66" s="21">
        <v>9694</v>
      </c>
      <c r="C66" s="21" t="s">
        <v>98</v>
      </c>
      <c r="D66" s="84" t="s">
        <v>133</v>
      </c>
      <c r="E66" s="115" t="s">
        <v>202</v>
      </c>
      <c r="F66" s="85">
        <v>3</v>
      </c>
      <c r="G66" s="84"/>
      <c r="H66" s="85"/>
      <c r="I66" s="86"/>
      <c r="J66" s="85">
        <v>0.45</v>
      </c>
      <c r="K66" s="21" t="s">
        <v>8</v>
      </c>
      <c r="L66" s="21"/>
      <c r="M66" s="87"/>
      <c r="N66" s="88"/>
      <c r="O66" s="88">
        <v>5</v>
      </c>
      <c r="P66" s="89">
        <f t="shared" si="40"/>
        <v>5401.2359999999999</v>
      </c>
      <c r="Q66" s="90">
        <f t="shared" si="41"/>
        <v>18004.12</v>
      </c>
      <c r="R66" s="90">
        <f t="shared" si="42"/>
        <v>25011.1211</v>
      </c>
      <c r="S66" s="91"/>
      <c r="T66" s="92">
        <v>0</v>
      </c>
      <c r="U66" s="32">
        <f t="shared" si="43"/>
        <v>0</v>
      </c>
      <c r="V66" s="32">
        <v>0</v>
      </c>
      <c r="W66" s="32">
        <v>0</v>
      </c>
      <c r="X66" s="93">
        <v>0</v>
      </c>
      <c r="Y66" s="32">
        <v>0</v>
      </c>
      <c r="Z66" s="32">
        <v>0</v>
      </c>
      <c r="AA66" s="32">
        <v>0</v>
      </c>
      <c r="AB66" s="32">
        <v>0</v>
      </c>
      <c r="AC66" s="32">
        <v>0</v>
      </c>
      <c r="AD66" s="93">
        <v>0</v>
      </c>
      <c r="AE66" s="32">
        <v>0</v>
      </c>
      <c r="AF66" s="32">
        <v>0</v>
      </c>
      <c r="AG66" s="32">
        <v>0</v>
      </c>
      <c r="AH66" s="93">
        <v>0</v>
      </c>
      <c r="AI66" s="93">
        <v>0</v>
      </c>
      <c r="AJ66" s="93">
        <v>0</v>
      </c>
      <c r="AK66" s="32">
        <v>0</v>
      </c>
      <c r="AL66" s="32">
        <v>0</v>
      </c>
      <c r="AM66" s="32">
        <v>0</v>
      </c>
      <c r="AN66" s="32">
        <v>0</v>
      </c>
      <c r="AO66" s="32">
        <v>0</v>
      </c>
      <c r="AP66" s="32">
        <v>0</v>
      </c>
      <c r="AQ66" s="32">
        <v>0</v>
      </c>
      <c r="AR66" s="32">
        <v>0</v>
      </c>
      <c r="AS66" s="32">
        <v>0</v>
      </c>
      <c r="AT66" s="32">
        <v>0</v>
      </c>
      <c r="AU66" s="94">
        <f t="shared" si="48"/>
        <v>0</v>
      </c>
      <c r="AV66" s="95">
        <f t="shared" si="49"/>
        <v>0</v>
      </c>
      <c r="AW66" s="95">
        <f t="shared" si="50"/>
        <v>0</v>
      </c>
      <c r="AX66" s="95">
        <f t="shared" si="51"/>
        <v>0</v>
      </c>
      <c r="AY66" s="95">
        <f t="shared" si="52"/>
        <v>0</v>
      </c>
      <c r="AZ66" s="95">
        <f t="shared" si="53"/>
        <v>0</v>
      </c>
      <c r="BA66" s="95">
        <f t="shared" si="54"/>
        <v>0</v>
      </c>
      <c r="BB66" s="95">
        <f t="shared" si="55"/>
        <v>0</v>
      </c>
      <c r="BC66" s="96">
        <f t="shared" si="56"/>
        <v>0</v>
      </c>
      <c r="BD66" s="96">
        <f t="shared" si="57"/>
        <v>0</v>
      </c>
      <c r="BE66" s="96">
        <f t="shared" si="58"/>
        <v>0</v>
      </c>
      <c r="BF66" s="96">
        <f t="shared" si="59"/>
        <v>0</v>
      </c>
      <c r="BG66" s="96">
        <f t="shared" si="60"/>
        <v>0</v>
      </c>
      <c r="BH66" s="96">
        <f t="shared" si="61"/>
        <v>0</v>
      </c>
      <c r="BI66" s="96">
        <f t="shared" si="62"/>
        <v>0</v>
      </c>
      <c r="BJ66" s="96">
        <f t="shared" si="63"/>
        <v>0</v>
      </c>
      <c r="BK66" s="96">
        <f t="shared" si="64"/>
        <v>0</v>
      </c>
      <c r="BL66" s="96">
        <f t="shared" si="65"/>
        <v>0</v>
      </c>
      <c r="BM66" s="96">
        <f t="shared" si="66"/>
        <v>0</v>
      </c>
      <c r="BN66" s="96"/>
      <c r="BO66" s="95"/>
      <c r="BP66" s="95">
        <f t="shared" si="67"/>
        <v>0</v>
      </c>
      <c r="BQ66" s="95"/>
      <c r="BR66" s="95"/>
      <c r="BS66" s="95">
        <f t="shared" si="68"/>
        <v>0</v>
      </c>
      <c r="BT66" s="95">
        <f t="shared" si="69"/>
        <v>0</v>
      </c>
      <c r="BU66" s="95">
        <f t="shared" si="70"/>
        <v>0</v>
      </c>
      <c r="BV66" s="95">
        <f t="shared" si="71"/>
        <v>0</v>
      </c>
      <c r="BW66" s="95"/>
      <c r="BX66" s="95"/>
      <c r="BY66" s="95"/>
      <c r="BZ66" s="95"/>
      <c r="CA66" s="95">
        <f t="shared" si="44"/>
        <v>0</v>
      </c>
      <c r="CB66" s="97">
        <f t="shared" si="72"/>
        <v>0</v>
      </c>
      <c r="CC66" s="95"/>
      <c r="CD66" s="95"/>
      <c r="CE66" s="95">
        <f t="shared" si="73"/>
        <v>0</v>
      </c>
      <c r="CF66" s="95">
        <f t="shared" si="45"/>
        <v>0</v>
      </c>
      <c r="CG66" s="113"/>
      <c r="CH66" s="22"/>
      <c r="CI66" s="98">
        <f t="shared" si="74"/>
        <v>0</v>
      </c>
      <c r="CJ66" s="95">
        <f t="shared" si="75"/>
        <v>0</v>
      </c>
      <c r="CK66" s="95">
        <f t="shared" si="46"/>
        <v>0</v>
      </c>
      <c r="CL66" s="95">
        <v>0</v>
      </c>
      <c r="CM66" s="99"/>
      <c r="CN66" s="99">
        <v>0</v>
      </c>
      <c r="CO66" s="110"/>
      <c r="CP66" s="99"/>
      <c r="CQ66" s="99"/>
      <c r="CR66" s="99"/>
      <c r="CS66" s="95"/>
      <c r="CT66" s="95"/>
      <c r="CU66" s="96"/>
      <c r="CV66" s="96"/>
      <c r="CW66" s="96"/>
      <c r="CX66" s="96"/>
      <c r="CY66" s="96"/>
      <c r="CZ66" s="93">
        <f t="shared" si="76"/>
        <v>0</v>
      </c>
      <c r="DA66" s="93">
        <f t="shared" si="77"/>
        <v>0</v>
      </c>
      <c r="DB66" s="95">
        <f t="shared" si="78"/>
        <v>0</v>
      </c>
      <c r="DC66" s="100">
        <f t="shared" si="79"/>
        <v>0</v>
      </c>
      <c r="DD66" s="100"/>
      <c r="DE66" s="100">
        <f t="shared" si="80"/>
        <v>0</v>
      </c>
      <c r="DF66" s="13"/>
      <c r="DG66" s="2"/>
      <c r="DH66" s="46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</row>
    <row r="67" spans="1:156" s="1" customFormat="1" ht="12" hidden="1" customHeight="1" x14ac:dyDescent="0.2">
      <c r="A67" s="88">
        <f t="shared" si="47"/>
        <v>509695</v>
      </c>
      <c r="B67" s="21">
        <v>9695</v>
      </c>
      <c r="C67" s="21" t="s">
        <v>98</v>
      </c>
      <c r="D67" s="84" t="s">
        <v>134</v>
      </c>
      <c r="E67" s="115" t="s">
        <v>202</v>
      </c>
      <c r="F67" s="85">
        <v>3</v>
      </c>
      <c r="G67" s="84"/>
      <c r="H67" s="85"/>
      <c r="I67" s="86"/>
      <c r="J67" s="85"/>
      <c r="K67" s="21" t="s">
        <v>10</v>
      </c>
      <c r="L67" s="21"/>
      <c r="M67" s="87"/>
      <c r="N67" s="88"/>
      <c r="O67" s="88">
        <v>7</v>
      </c>
      <c r="P67" s="89">
        <f t="shared" si="40"/>
        <v>5700.7259999999997</v>
      </c>
      <c r="Q67" s="90">
        <f t="shared" si="41"/>
        <v>19002.419999999998</v>
      </c>
      <c r="R67" s="90">
        <f t="shared" si="42"/>
        <v>26397.963600000003</v>
      </c>
      <c r="S67" s="91"/>
      <c r="T67" s="92">
        <v>0</v>
      </c>
      <c r="U67" s="32">
        <f t="shared" si="43"/>
        <v>0</v>
      </c>
      <c r="V67" s="32">
        <v>0</v>
      </c>
      <c r="W67" s="32">
        <v>0</v>
      </c>
      <c r="X67" s="93">
        <v>0</v>
      </c>
      <c r="Y67" s="32">
        <v>0</v>
      </c>
      <c r="Z67" s="32">
        <v>0</v>
      </c>
      <c r="AA67" s="32">
        <v>0</v>
      </c>
      <c r="AB67" s="32">
        <v>0</v>
      </c>
      <c r="AC67" s="32">
        <v>0</v>
      </c>
      <c r="AD67" s="93">
        <v>0</v>
      </c>
      <c r="AE67" s="32">
        <v>0</v>
      </c>
      <c r="AF67" s="32">
        <v>0</v>
      </c>
      <c r="AG67" s="32">
        <v>0</v>
      </c>
      <c r="AH67" s="93">
        <v>0</v>
      </c>
      <c r="AI67" s="93">
        <v>0</v>
      </c>
      <c r="AJ67" s="93">
        <v>0</v>
      </c>
      <c r="AK67" s="32">
        <v>0</v>
      </c>
      <c r="AL67" s="32">
        <v>0</v>
      </c>
      <c r="AM67" s="32">
        <v>0</v>
      </c>
      <c r="AN67" s="32">
        <v>0</v>
      </c>
      <c r="AO67" s="32">
        <v>0</v>
      </c>
      <c r="AP67" s="32">
        <v>0</v>
      </c>
      <c r="AQ67" s="32">
        <v>0</v>
      </c>
      <c r="AR67" s="32">
        <v>0</v>
      </c>
      <c r="AS67" s="32">
        <v>0</v>
      </c>
      <c r="AT67" s="32">
        <v>0</v>
      </c>
      <c r="AU67" s="94">
        <f t="shared" si="48"/>
        <v>0</v>
      </c>
      <c r="AV67" s="95">
        <f t="shared" si="49"/>
        <v>0</v>
      </c>
      <c r="AW67" s="95">
        <f t="shared" si="50"/>
        <v>0</v>
      </c>
      <c r="AX67" s="95">
        <f t="shared" si="51"/>
        <v>0</v>
      </c>
      <c r="AY67" s="95">
        <f t="shared" si="52"/>
        <v>0</v>
      </c>
      <c r="AZ67" s="95">
        <f t="shared" si="53"/>
        <v>0</v>
      </c>
      <c r="BA67" s="95">
        <f t="shared" si="54"/>
        <v>0</v>
      </c>
      <c r="BB67" s="95">
        <f t="shared" si="55"/>
        <v>0</v>
      </c>
      <c r="BC67" s="96">
        <f t="shared" si="56"/>
        <v>0</v>
      </c>
      <c r="BD67" s="96">
        <f t="shared" si="57"/>
        <v>0</v>
      </c>
      <c r="BE67" s="96">
        <f t="shared" si="58"/>
        <v>0</v>
      </c>
      <c r="BF67" s="96">
        <f t="shared" si="59"/>
        <v>0</v>
      </c>
      <c r="BG67" s="96">
        <f t="shared" si="60"/>
        <v>0</v>
      </c>
      <c r="BH67" s="96">
        <f t="shared" si="61"/>
        <v>0</v>
      </c>
      <c r="BI67" s="96">
        <f t="shared" si="62"/>
        <v>0</v>
      </c>
      <c r="BJ67" s="96">
        <f t="shared" si="63"/>
        <v>0</v>
      </c>
      <c r="BK67" s="96">
        <f t="shared" si="64"/>
        <v>0</v>
      </c>
      <c r="BL67" s="96">
        <f t="shared" si="65"/>
        <v>0</v>
      </c>
      <c r="BM67" s="96">
        <f t="shared" si="66"/>
        <v>0</v>
      </c>
      <c r="BN67" s="96"/>
      <c r="BO67" s="95"/>
      <c r="BP67" s="95">
        <f t="shared" si="67"/>
        <v>0</v>
      </c>
      <c r="BQ67" s="95"/>
      <c r="BR67" s="95"/>
      <c r="BS67" s="95">
        <f t="shared" si="68"/>
        <v>0</v>
      </c>
      <c r="BT67" s="95">
        <f t="shared" si="69"/>
        <v>0</v>
      </c>
      <c r="BU67" s="95">
        <f t="shared" si="70"/>
        <v>0</v>
      </c>
      <c r="BV67" s="95">
        <f t="shared" si="71"/>
        <v>0</v>
      </c>
      <c r="BW67" s="95"/>
      <c r="BX67" s="95"/>
      <c r="BY67" s="95"/>
      <c r="BZ67" s="95"/>
      <c r="CA67" s="95">
        <f t="shared" si="44"/>
        <v>0</v>
      </c>
      <c r="CB67" s="97">
        <f t="shared" si="72"/>
        <v>0</v>
      </c>
      <c r="CC67" s="95"/>
      <c r="CD67" s="95"/>
      <c r="CE67" s="95">
        <f t="shared" si="73"/>
        <v>0</v>
      </c>
      <c r="CF67" s="95">
        <f t="shared" si="45"/>
        <v>0</v>
      </c>
      <c r="CG67" s="113"/>
      <c r="CH67" s="22"/>
      <c r="CI67" s="98">
        <f t="shared" si="74"/>
        <v>0</v>
      </c>
      <c r="CJ67" s="95">
        <f t="shared" si="75"/>
        <v>0</v>
      </c>
      <c r="CK67" s="95">
        <f t="shared" si="46"/>
        <v>0</v>
      </c>
      <c r="CL67" s="95">
        <v>0</v>
      </c>
      <c r="CM67" s="99"/>
      <c r="CN67" s="99">
        <v>0</v>
      </c>
      <c r="CO67" s="110"/>
      <c r="CP67" s="99"/>
      <c r="CQ67" s="99"/>
      <c r="CR67" s="99"/>
      <c r="CS67" s="95"/>
      <c r="CT67" s="95"/>
      <c r="CU67" s="96"/>
      <c r="CV67" s="96"/>
      <c r="CW67" s="96"/>
      <c r="CX67" s="96"/>
      <c r="CY67" s="96"/>
      <c r="CZ67" s="93">
        <f t="shared" si="76"/>
        <v>0</v>
      </c>
      <c r="DA67" s="93">
        <f t="shared" si="77"/>
        <v>0</v>
      </c>
      <c r="DB67" s="95">
        <f t="shared" si="78"/>
        <v>0</v>
      </c>
      <c r="DC67" s="100">
        <f t="shared" si="79"/>
        <v>0</v>
      </c>
      <c r="DD67" s="100"/>
      <c r="DE67" s="100">
        <f t="shared" si="80"/>
        <v>0</v>
      </c>
      <c r="DF67" s="13"/>
      <c r="DG67" s="2"/>
      <c r="DH67" s="46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</row>
    <row r="68" spans="1:156" s="1" customFormat="1" ht="12" hidden="1" customHeight="1" x14ac:dyDescent="0.2">
      <c r="A68" s="88">
        <f t="shared" si="47"/>
        <v>509696</v>
      </c>
      <c r="B68" s="21">
        <v>9696</v>
      </c>
      <c r="C68" s="21" t="s">
        <v>98</v>
      </c>
      <c r="D68" s="84" t="s">
        <v>135</v>
      </c>
      <c r="E68" s="115" t="s">
        <v>202</v>
      </c>
      <c r="F68" s="85">
        <v>3</v>
      </c>
      <c r="G68" s="84"/>
      <c r="H68" s="85"/>
      <c r="I68" s="86"/>
      <c r="J68" s="85"/>
      <c r="K68" s="21" t="s">
        <v>10</v>
      </c>
      <c r="L68" s="21"/>
      <c r="M68" s="87"/>
      <c r="N68" s="88"/>
      <c r="O68" s="88">
        <v>6</v>
      </c>
      <c r="P68" s="89">
        <f t="shared" si="40"/>
        <v>5700.7259999999997</v>
      </c>
      <c r="Q68" s="90">
        <f t="shared" si="41"/>
        <v>19002.419999999998</v>
      </c>
      <c r="R68" s="90">
        <f t="shared" si="42"/>
        <v>26397.963600000003</v>
      </c>
      <c r="S68" s="91"/>
      <c r="T68" s="92">
        <v>0</v>
      </c>
      <c r="U68" s="32">
        <f t="shared" si="43"/>
        <v>0</v>
      </c>
      <c r="V68" s="32">
        <v>0</v>
      </c>
      <c r="W68" s="32">
        <v>0</v>
      </c>
      <c r="X68" s="93">
        <v>0</v>
      </c>
      <c r="Y68" s="32">
        <v>0</v>
      </c>
      <c r="Z68" s="32">
        <v>0</v>
      </c>
      <c r="AA68" s="32">
        <v>0</v>
      </c>
      <c r="AB68" s="32">
        <v>0</v>
      </c>
      <c r="AC68" s="32">
        <v>0</v>
      </c>
      <c r="AD68" s="93">
        <v>0</v>
      </c>
      <c r="AE68" s="32">
        <v>0</v>
      </c>
      <c r="AF68" s="32">
        <v>0</v>
      </c>
      <c r="AG68" s="32">
        <v>0</v>
      </c>
      <c r="AH68" s="93">
        <v>0</v>
      </c>
      <c r="AI68" s="93">
        <v>0</v>
      </c>
      <c r="AJ68" s="93">
        <v>0</v>
      </c>
      <c r="AK68" s="32">
        <v>0</v>
      </c>
      <c r="AL68" s="32">
        <v>0</v>
      </c>
      <c r="AM68" s="32">
        <v>0</v>
      </c>
      <c r="AN68" s="32">
        <v>0</v>
      </c>
      <c r="AO68" s="32">
        <v>0</v>
      </c>
      <c r="AP68" s="32">
        <v>0</v>
      </c>
      <c r="AQ68" s="32">
        <v>0</v>
      </c>
      <c r="AR68" s="32">
        <v>0</v>
      </c>
      <c r="AS68" s="32">
        <v>0</v>
      </c>
      <c r="AT68" s="32">
        <v>0</v>
      </c>
      <c r="AU68" s="94">
        <f t="shared" si="48"/>
        <v>0</v>
      </c>
      <c r="AV68" s="95">
        <f t="shared" si="49"/>
        <v>0</v>
      </c>
      <c r="AW68" s="95">
        <f t="shared" si="50"/>
        <v>0</v>
      </c>
      <c r="AX68" s="95">
        <f t="shared" si="51"/>
        <v>0</v>
      </c>
      <c r="AY68" s="95">
        <f t="shared" si="52"/>
        <v>0</v>
      </c>
      <c r="AZ68" s="95">
        <f t="shared" si="53"/>
        <v>0</v>
      </c>
      <c r="BA68" s="95">
        <f t="shared" si="54"/>
        <v>0</v>
      </c>
      <c r="BB68" s="95">
        <f t="shared" si="55"/>
        <v>0</v>
      </c>
      <c r="BC68" s="96">
        <f t="shared" si="56"/>
        <v>0</v>
      </c>
      <c r="BD68" s="96">
        <f t="shared" si="57"/>
        <v>0</v>
      </c>
      <c r="BE68" s="96">
        <f t="shared" si="58"/>
        <v>0</v>
      </c>
      <c r="BF68" s="96">
        <f t="shared" si="59"/>
        <v>0</v>
      </c>
      <c r="BG68" s="96">
        <f t="shared" si="60"/>
        <v>0</v>
      </c>
      <c r="BH68" s="96">
        <f t="shared" si="61"/>
        <v>0</v>
      </c>
      <c r="BI68" s="96">
        <f t="shared" si="62"/>
        <v>0</v>
      </c>
      <c r="BJ68" s="96">
        <f t="shared" si="63"/>
        <v>0</v>
      </c>
      <c r="BK68" s="96">
        <f t="shared" si="64"/>
        <v>0</v>
      </c>
      <c r="BL68" s="96">
        <f t="shared" si="65"/>
        <v>0</v>
      </c>
      <c r="BM68" s="96">
        <f t="shared" si="66"/>
        <v>0</v>
      </c>
      <c r="BN68" s="96"/>
      <c r="BO68" s="95"/>
      <c r="BP68" s="95">
        <f t="shared" si="67"/>
        <v>0</v>
      </c>
      <c r="BQ68" s="95"/>
      <c r="BR68" s="95"/>
      <c r="BS68" s="95">
        <f t="shared" si="68"/>
        <v>0</v>
      </c>
      <c r="BT68" s="95">
        <f t="shared" si="69"/>
        <v>0</v>
      </c>
      <c r="BU68" s="95">
        <f t="shared" si="70"/>
        <v>0</v>
      </c>
      <c r="BV68" s="95">
        <f t="shared" si="71"/>
        <v>0</v>
      </c>
      <c r="BW68" s="95"/>
      <c r="BX68" s="95"/>
      <c r="BY68" s="95"/>
      <c r="BZ68" s="95"/>
      <c r="CA68" s="95">
        <f t="shared" si="44"/>
        <v>0</v>
      </c>
      <c r="CB68" s="97">
        <f t="shared" si="72"/>
        <v>0</v>
      </c>
      <c r="CC68" s="95"/>
      <c r="CD68" s="95"/>
      <c r="CE68" s="95">
        <f t="shared" si="73"/>
        <v>0</v>
      </c>
      <c r="CF68" s="95">
        <f t="shared" si="45"/>
        <v>0</v>
      </c>
      <c r="CG68" s="113"/>
      <c r="CH68" s="22"/>
      <c r="CI68" s="98">
        <f t="shared" si="74"/>
        <v>0</v>
      </c>
      <c r="CJ68" s="95">
        <f t="shared" si="75"/>
        <v>0</v>
      </c>
      <c r="CK68" s="95">
        <f t="shared" si="46"/>
        <v>0</v>
      </c>
      <c r="CL68" s="95">
        <v>0</v>
      </c>
      <c r="CM68" s="99"/>
      <c r="CN68" s="99">
        <v>0</v>
      </c>
      <c r="CO68" s="110"/>
      <c r="CP68" s="99"/>
      <c r="CQ68" s="99"/>
      <c r="CR68" s="99"/>
      <c r="CS68" s="95"/>
      <c r="CT68" s="95"/>
      <c r="CU68" s="96"/>
      <c r="CV68" s="96"/>
      <c r="CW68" s="96"/>
      <c r="CX68" s="96"/>
      <c r="CY68" s="96"/>
      <c r="CZ68" s="93">
        <f t="shared" si="76"/>
        <v>0</v>
      </c>
      <c r="DA68" s="93">
        <f t="shared" si="77"/>
        <v>0</v>
      </c>
      <c r="DB68" s="95">
        <f t="shared" si="78"/>
        <v>0</v>
      </c>
      <c r="DC68" s="100">
        <f t="shared" si="79"/>
        <v>0</v>
      </c>
      <c r="DD68" s="100"/>
      <c r="DE68" s="100">
        <f t="shared" si="80"/>
        <v>0</v>
      </c>
      <c r="DF68" s="13"/>
      <c r="DG68" s="2"/>
      <c r="DH68" s="46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</row>
    <row r="69" spans="1:156" s="1" customFormat="1" ht="12" hidden="1" customHeight="1" x14ac:dyDescent="0.2">
      <c r="A69" s="88">
        <f t="shared" si="47"/>
        <v>509858</v>
      </c>
      <c r="B69" s="21">
        <v>9858</v>
      </c>
      <c r="C69" s="21" t="s">
        <v>98</v>
      </c>
      <c r="D69" s="84" t="s">
        <v>190</v>
      </c>
      <c r="E69" s="115" t="s">
        <v>202</v>
      </c>
      <c r="F69" s="85">
        <v>0</v>
      </c>
      <c r="G69" s="84"/>
      <c r="H69" s="85"/>
      <c r="I69" s="86"/>
      <c r="J69" s="85"/>
      <c r="K69" s="21" t="s">
        <v>10</v>
      </c>
      <c r="L69" s="21"/>
      <c r="M69" s="87"/>
      <c r="N69" s="88"/>
      <c r="O69" s="88">
        <v>0</v>
      </c>
      <c r="P69" s="89">
        <f t="shared" si="40"/>
        <v>5700.7259999999997</v>
      </c>
      <c r="Q69" s="90">
        <f t="shared" si="41"/>
        <v>19002.419999999998</v>
      </c>
      <c r="R69" s="90">
        <f t="shared" si="42"/>
        <v>26397.963600000003</v>
      </c>
      <c r="S69" s="91"/>
      <c r="T69" s="92">
        <v>0</v>
      </c>
      <c r="U69" s="32">
        <f t="shared" si="43"/>
        <v>0</v>
      </c>
      <c r="V69" s="32">
        <v>0</v>
      </c>
      <c r="W69" s="32">
        <v>0</v>
      </c>
      <c r="X69" s="93">
        <v>0</v>
      </c>
      <c r="Y69" s="32">
        <v>0</v>
      </c>
      <c r="Z69" s="32">
        <v>0</v>
      </c>
      <c r="AA69" s="32">
        <v>0</v>
      </c>
      <c r="AB69" s="32">
        <v>0</v>
      </c>
      <c r="AC69" s="32">
        <v>0</v>
      </c>
      <c r="AD69" s="93">
        <v>0</v>
      </c>
      <c r="AE69" s="32">
        <v>0</v>
      </c>
      <c r="AF69" s="32">
        <v>0</v>
      </c>
      <c r="AG69" s="32">
        <v>0</v>
      </c>
      <c r="AH69" s="93">
        <v>0</v>
      </c>
      <c r="AI69" s="93">
        <v>0</v>
      </c>
      <c r="AJ69" s="93">
        <v>0</v>
      </c>
      <c r="AK69" s="32">
        <v>0</v>
      </c>
      <c r="AL69" s="32">
        <v>0</v>
      </c>
      <c r="AM69" s="32">
        <v>0</v>
      </c>
      <c r="AN69" s="32">
        <v>0</v>
      </c>
      <c r="AO69" s="32">
        <v>0</v>
      </c>
      <c r="AP69" s="32">
        <v>0</v>
      </c>
      <c r="AQ69" s="32">
        <v>0</v>
      </c>
      <c r="AR69" s="32">
        <v>0</v>
      </c>
      <c r="AS69" s="32">
        <v>0</v>
      </c>
      <c r="AT69" s="32">
        <v>0</v>
      </c>
      <c r="AU69" s="94">
        <f t="shared" si="48"/>
        <v>0</v>
      </c>
      <c r="AV69" s="95">
        <f t="shared" si="49"/>
        <v>0</v>
      </c>
      <c r="AW69" s="95">
        <f t="shared" si="50"/>
        <v>0</v>
      </c>
      <c r="AX69" s="95">
        <f t="shared" si="51"/>
        <v>0</v>
      </c>
      <c r="AY69" s="95">
        <f t="shared" si="52"/>
        <v>0</v>
      </c>
      <c r="AZ69" s="95">
        <f t="shared" si="53"/>
        <v>0</v>
      </c>
      <c r="BA69" s="95">
        <f t="shared" si="54"/>
        <v>0</v>
      </c>
      <c r="BB69" s="95">
        <f t="shared" si="55"/>
        <v>0</v>
      </c>
      <c r="BC69" s="96">
        <f t="shared" si="56"/>
        <v>0</v>
      </c>
      <c r="BD69" s="96">
        <f t="shared" si="57"/>
        <v>0</v>
      </c>
      <c r="BE69" s="96">
        <f t="shared" si="58"/>
        <v>0</v>
      </c>
      <c r="BF69" s="96">
        <f t="shared" si="59"/>
        <v>0</v>
      </c>
      <c r="BG69" s="96">
        <f t="shared" si="60"/>
        <v>0</v>
      </c>
      <c r="BH69" s="96">
        <f t="shared" si="61"/>
        <v>0</v>
      </c>
      <c r="BI69" s="96">
        <f t="shared" si="62"/>
        <v>0</v>
      </c>
      <c r="BJ69" s="96">
        <f t="shared" si="63"/>
        <v>0</v>
      </c>
      <c r="BK69" s="96">
        <f t="shared" si="64"/>
        <v>0</v>
      </c>
      <c r="BL69" s="96">
        <f t="shared" si="65"/>
        <v>0</v>
      </c>
      <c r="BM69" s="96">
        <f t="shared" si="66"/>
        <v>0</v>
      </c>
      <c r="BN69" s="96"/>
      <c r="BO69" s="95"/>
      <c r="BP69" s="95">
        <f t="shared" si="67"/>
        <v>0</v>
      </c>
      <c r="BQ69" s="95"/>
      <c r="BR69" s="95"/>
      <c r="BS69" s="95">
        <f t="shared" si="68"/>
        <v>0</v>
      </c>
      <c r="BT69" s="95">
        <f t="shared" si="69"/>
        <v>0</v>
      </c>
      <c r="BU69" s="95">
        <f t="shared" si="70"/>
        <v>0</v>
      </c>
      <c r="BV69" s="95">
        <f t="shared" si="71"/>
        <v>0</v>
      </c>
      <c r="BW69" s="95"/>
      <c r="BX69" s="95"/>
      <c r="BY69" s="95"/>
      <c r="BZ69" s="95"/>
      <c r="CA69" s="95">
        <f t="shared" si="44"/>
        <v>0</v>
      </c>
      <c r="CB69" s="97">
        <f t="shared" si="72"/>
        <v>0</v>
      </c>
      <c r="CC69" s="95"/>
      <c r="CD69" s="95"/>
      <c r="CE69" s="95">
        <f t="shared" si="73"/>
        <v>0</v>
      </c>
      <c r="CF69" s="95">
        <f t="shared" si="45"/>
        <v>0</v>
      </c>
      <c r="CG69" s="113"/>
      <c r="CH69" s="22"/>
      <c r="CI69" s="98">
        <f t="shared" si="74"/>
        <v>0</v>
      </c>
      <c r="CJ69" s="95">
        <f t="shared" si="75"/>
        <v>0</v>
      </c>
      <c r="CK69" s="95">
        <f t="shared" si="46"/>
        <v>0</v>
      </c>
      <c r="CL69" s="95">
        <v>0</v>
      </c>
      <c r="CM69" s="99"/>
      <c r="CN69" s="99">
        <v>0</v>
      </c>
      <c r="CO69" s="110"/>
      <c r="CP69" s="99"/>
      <c r="CQ69" s="99"/>
      <c r="CR69" s="99"/>
      <c r="CS69" s="95"/>
      <c r="CT69" s="95"/>
      <c r="CU69" s="96"/>
      <c r="CV69" s="96"/>
      <c r="CW69" s="96"/>
      <c r="CX69" s="96"/>
      <c r="CY69" s="96"/>
      <c r="CZ69" s="93">
        <f t="shared" si="76"/>
        <v>0</v>
      </c>
      <c r="DA69" s="93">
        <f t="shared" si="77"/>
        <v>0</v>
      </c>
      <c r="DB69" s="95">
        <f t="shared" si="78"/>
        <v>0</v>
      </c>
      <c r="DC69" s="100">
        <f t="shared" si="79"/>
        <v>0</v>
      </c>
      <c r="DD69" s="100"/>
      <c r="DE69" s="100">
        <f t="shared" si="80"/>
        <v>0</v>
      </c>
      <c r="DF69" s="13"/>
      <c r="DG69" s="2"/>
      <c r="DH69" s="46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</row>
    <row r="70" spans="1:156" s="1" customFormat="1" ht="12" customHeight="1" x14ac:dyDescent="0.2">
      <c r="A70" s="88">
        <f t="shared" si="47"/>
        <v>509697</v>
      </c>
      <c r="B70" s="21">
        <v>9697</v>
      </c>
      <c r="C70" s="21" t="s">
        <v>98</v>
      </c>
      <c r="D70" s="84" t="s">
        <v>136</v>
      </c>
      <c r="E70" s="115" t="s">
        <v>202</v>
      </c>
      <c r="F70" s="85">
        <v>3</v>
      </c>
      <c r="G70" s="84"/>
      <c r="H70" s="85"/>
      <c r="I70" s="86"/>
      <c r="J70" s="85">
        <v>0.2</v>
      </c>
      <c r="K70" s="21" t="s">
        <v>10</v>
      </c>
      <c r="L70" s="21"/>
      <c r="M70" s="87"/>
      <c r="N70" s="88"/>
      <c r="O70" s="88">
        <v>10</v>
      </c>
      <c r="P70" s="89">
        <f t="shared" si="40"/>
        <v>5700.7259999999997</v>
      </c>
      <c r="Q70" s="90">
        <f t="shared" si="41"/>
        <v>19002.419999999998</v>
      </c>
      <c r="R70" s="90">
        <f t="shared" si="42"/>
        <v>26397.963600000003</v>
      </c>
      <c r="S70" s="91"/>
      <c r="T70" s="92">
        <v>13</v>
      </c>
      <c r="U70" s="32">
        <f t="shared" si="43"/>
        <v>13</v>
      </c>
      <c r="V70" s="32">
        <v>0</v>
      </c>
      <c r="W70" s="32">
        <v>0</v>
      </c>
      <c r="X70" s="93">
        <v>1</v>
      </c>
      <c r="Y70" s="32">
        <v>0</v>
      </c>
      <c r="Z70" s="32">
        <v>0</v>
      </c>
      <c r="AA70" s="32">
        <v>0</v>
      </c>
      <c r="AB70" s="32">
        <v>0</v>
      </c>
      <c r="AC70" s="32">
        <v>0</v>
      </c>
      <c r="AD70" s="93">
        <v>0</v>
      </c>
      <c r="AE70" s="32">
        <v>0</v>
      </c>
      <c r="AF70" s="32">
        <v>0</v>
      </c>
      <c r="AG70" s="32">
        <v>0</v>
      </c>
      <c r="AH70" s="93">
        <v>0</v>
      </c>
      <c r="AI70" s="93">
        <v>0</v>
      </c>
      <c r="AJ70" s="93">
        <v>0</v>
      </c>
      <c r="AK70" s="32">
        <v>0</v>
      </c>
      <c r="AL70" s="32">
        <v>0</v>
      </c>
      <c r="AM70" s="32">
        <v>0</v>
      </c>
      <c r="AN70" s="32">
        <v>0</v>
      </c>
      <c r="AO70" s="32">
        <v>0</v>
      </c>
      <c r="AP70" s="32">
        <v>0</v>
      </c>
      <c r="AQ70" s="32">
        <v>0</v>
      </c>
      <c r="AR70" s="32">
        <v>0</v>
      </c>
      <c r="AS70" s="32">
        <v>0</v>
      </c>
      <c r="AT70" s="32">
        <v>0</v>
      </c>
      <c r="AU70" s="94">
        <f t="shared" si="48"/>
        <v>13</v>
      </c>
      <c r="AV70" s="95">
        <f t="shared" si="49"/>
        <v>247031.45999999996</v>
      </c>
      <c r="AW70" s="95">
        <f t="shared" si="50"/>
        <v>0</v>
      </c>
      <c r="AX70" s="95">
        <f t="shared" si="51"/>
        <v>0</v>
      </c>
      <c r="AY70" s="95">
        <f t="shared" si="52"/>
        <v>19002.419999999998</v>
      </c>
      <c r="AZ70" s="95">
        <f t="shared" si="53"/>
        <v>0</v>
      </c>
      <c r="BA70" s="95">
        <f t="shared" si="54"/>
        <v>0</v>
      </c>
      <c r="BB70" s="95">
        <f t="shared" si="55"/>
        <v>0</v>
      </c>
      <c r="BC70" s="96">
        <f t="shared" si="56"/>
        <v>0</v>
      </c>
      <c r="BD70" s="96">
        <f t="shared" si="57"/>
        <v>0</v>
      </c>
      <c r="BE70" s="96">
        <f>-Q70*AD70</f>
        <v>0</v>
      </c>
      <c r="BF70" s="96">
        <f t="shared" si="59"/>
        <v>0</v>
      </c>
      <c r="BG70" s="96">
        <f t="shared" si="60"/>
        <v>0</v>
      </c>
      <c r="BH70" s="96">
        <f t="shared" si="61"/>
        <v>0</v>
      </c>
      <c r="BI70" s="96">
        <f t="shared" si="62"/>
        <v>0</v>
      </c>
      <c r="BJ70" s="96">
        <f t="shared" si="63"/>
        <v>0</v>
      </c>
      <c r="BK70" s="96">
        <f t="shared" si="64"/>
        <v>0</v>
      </c>
      <c r="BL70" s="96">
        <f t="shared" si="65"/>
        <v>29643.775199999996</v>
      </c>
      <c r="BM70" s="96">
        <f t="shared" si="66"/>
        <v>0</v>
      </c>
      <c r="BN70" s="96"/>
      <c r="BO70" s="95"/>
      <c r="BP70" s="95">
        <f t="shared" si="67"/>
        <v>0</v>
      </c>
      <c r="BQ70" s="95"/>
      <c r="BR70" s="95"/>
      <c r="BS70" s="95">
        <f t="shared" si="68"/>
        <v>0</v>
      </c>
      <c r="BT70" s="95">
        <f t="shared" si="69"/>
        <v>0</v>
      </c>
      <c r="BU70" s="95">
        <f t="shared" si="70"/>
        <v>0</v>
      </c>
      <c r="BV70" s="95">
        <f t="shared" si="71"/>
        <v>0</v>
      </c>
      <c r="BW70" s="95"/>
      <c r="BX70" s="95"/>
      <c r="BY70" s="95"/>
      <c r="BZ70" s="95"/>
      <c r="CA70" s="95">
        <f t="shared" si="44"/>
        <v>0</v>
      </c>
      <c r="CB70" s="97">
        <f t="shared" si="72"/>
        <v>295677.65519999992</v>
      </c>
      <c r="CC70" s="95"/>
      <c r="CD70" s="95"/>
      <c r="CE70" s="95">
        <f t="shared" si="73"/>
        <v>-8870.3296559999981</v>
      </c>
      <c r="CF70" s="95">
        <f t="shared" si="45"/>
        <v>-4435.164827999999</v>
      </c>
      <c r="CG70" s="113"/>
      <c r="CH70" s="22"/>
      <c r="CI70" s="98">
        <f t="shared" si="74"/>
        <v>410755.3986038398</v>
      </c>
      <c r="CJ70" s="95">
        <f t="shared" si="75"/>
        <v>-12322.661958115194</v>
      </c>
      <c r="CK70" s="95">
        <f t="shared" si="46"/>
        <v>-6161.3309790575968</v>
      </c>
      <c r="CL70" s="95">
        <v>0</v>
      </c>
      <c r="CM70" s="99"/>
      <c r="CN70" s="99">
        <v>0</v>
      </c>
      <c r="CO70" s="110"/>
      <c r="CP70" s="99"/>
      <c r="CQ70" s="99"/>
      <c r="CR70" s="99"/>
      <c r="CS70" s="95"/>
      <c r="CT70" s="95"/>
      <c r="CU70" s="96"/>
      <c r="CV70" s="96"/>
      <c r="CW70" s="96"/>
      <c r="CX70" s="96"/>
      <c r="CY70" s="96"/>
      <c r="CZ70" s="93">
        <f t="shared" si="76"/>
        <v>0</v>
      </c>
      <c r="DA70" s="93">
        <f t="shared" si="77"/>
        <v>-134928.71327653338</v>
      </c>
      <c r="DB70" s="95">
        <f t="shared" si="78"/>
        <v>539714.85310613352</v>
      </c>
      <c r="DC70" s="100">
        <f t="shared" si="79"/>
        <v>539715</v>
      </c>
      <c r="DD70" s="100"/>
      <c r="DE70" s="100">
        <f t="shared" si="80"/>
        <v>-539715</v>
      </c>
      <c r="DF70" s="13"/>
      <c r="DG70" s="2"/>
      <c r="DH70" s="46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</row>
    <row r="71" spans="1:156" s="1" customFormat="1" ht="12" hidden="1" customHeight="1" x14ac:dyDescent="0.2">
      <c r="A71" s="88">
        <f t="shared" si="47"/>
        <v>509855</v>
      </c>
      <c r="B71" s="21">
        <v>9855</v>
      </c>
      <c r="C71" s="21" t="s">
        <v>98</v>
      </c>
      <c r="D71" s="84" t="s">
        <v>187</v>
      </c>
      <c r="E71" s="115" t="s">
        <v>202</v>
      </c>
      <c r="F71" s="85">
        <v>0</v>
      </c>
      <c r="G71" s="84"/>
      <c r="H71" s="85"/>
      <c r="I71" s="86"/>
      <c r="J71" s="85"/>
      <c r="K71" s="21" t="s">
        <v>10</v>
      </c>
      <c r="L71" s="21"/>
      <c r="M71" s="87"/>
      <c r="N71" s="88"/>
      <c r="O71" s="88">
        <v>0</v>
      </c>
      <c r="P71" s="89">
        <f t="shared" si="40"/>
        <v>5700.7259999999997</v>
      </c>
      <c r="Q71" s="90">
        <f t="shared" si="41"/>
        <v>19002.419999999998</v>
      </c>
      <c r="R71" s="90">
        <f t="shared" si="42"/>
        <v>26397.963600000003</v>
      </c>
      <c r="S71" s="91"/>
      <c r="T71" s="92">
        <v>0</v>
      </c>
      <c r="U71" s="32">
        <f t="shared" si="43"/>
        <v>0</v>
      </c>
      <c r="V71" s="32">
        <v>0</v>
      </c>
      <c r="W71" s="32">
        <v>0</v>
      </c>
      <c r="X71" s="93">
        <v>0</v>
      </c>
      <c r="Y71" s="32">
        <v>0</v>
      </c>
      <c r="Z71" s="32">
        <v>0</v>
      </c>
      <c r="AA71" s="32">
        <v>0</v>
      </c>
      <c r="AB71" s="32">
        <v>0</v>
      </c>
      <c r="AC71" s="32">
        <v>0</v>
      </c>
      <c r="AD71" s="93">
        <v>0</v>
      </c>
      <c r="AE71" s="32">
        <v>0</v>
      </c>
      <c r="AF71" s="32">
        <v>0</v>
      </c>
      <c r="AG71" s="32">
        <v>0</v>
      </c>
      <c r="AH71" s="93">
        <v>0</v>
      </c>
      <c r="AI71" s="93">
        <v>0</v>
      </c>
      <c r="AJ71" s="93">
        <v>0</v>
      </c>
      <c r="AK71" s="32">
        <v>0</v>
      </c>
      <c r="AL71" s="32">
        <v>0</v>
      </c>
      <c r="AM71" s="32">
        <v>0</v>
      </c>
      <c r="AN71" s="32">
        <v>0</v>
      </c>
      <c r="AO71" s="32">
        <v>0</v>
      </c>
      <c r="AP71" s="32">
        <v>0</v>
      </c>
      <c r="AQ71" s="32">
        <v>0</v>
      </c>
      <c r="AR71" s="32">
        <v>0</v>
      </c>
      <c r="AS71" s="32">
        <v>0</v>
      </c>
      <c r="AT71" s="32">
        <v>0</v>
      </c>
      <c r="AU71" s="94">
        <f t="shared" si="48"/>
        <v>0</v>
      </c>
      <c r="AV71" s="95">
        <f t="shared" si="49"/>
        <v>0</v>
      </c>
      <c r="AW71" s="95">
        <f t="shared" si="50"/>
        <v>0</v>
      </c>
      <c r="AX71" s="95">
        <f t="shared" si="51"/>
        <v>0</v>
      </c>
      <c r="AY71" s="95">
        <f t="shared" si="52"/>
        <v>0</v>
      </c>
      <c r="AZ71" s="95">
        <f t="shared" si="53"/>
        <v>0</v>
      </c>
      <c r="BA71" s="95">
        <f t="shared" si="54"/>
        <v>0</v>
      </c>
      <c r="BB71" s="95">
        <f t="shared" si="55"/>
        <v>0</v>
      </c>
      <c r="BC71" s="96">
        <f t="shared" si="56"/>
        <v>0</v>
      </c>
      <c r="BD71" s="96">
        <f t="shared" si="57"/>
        <v>0</v>
      </c>
      <c r="BE71" s="96">
        <f t="shared" ref="BE71:BE113" si="81">-Q71/8*AD71</f>
        <v>0</v>
      </c>
      <c r="BF71" s="96">
        <f t="shared" si="59"/>
        <v>0</v>
      </c>
      <c r="BG71" s="96">
        <f t="shared" si="60"/>
        <v>0</v>
      </c>
      <c r="BH71" s="96">
        <f t="shared" si="61"/>
        <v>0</v>
      </c>
      <c r="BI71" s="96">
        <f t="shared" si="62"/>
        <v>0</v>
      </c>
      <c r="BJ71" s="96">
        <f t="shared" si="63"/>
        <v>0</v>
      </c>
      <c r="BK71" s="96">
        <f t="shared" si="64"/>
        <v>0</v>
      </c>
      <c r="BL71" s="96">
        <f t="shared" si="65"/>
        <v>0</v>
      </c>
      <c r="BM71" s="96">
        <f t="shared" si="66"/>
        <v>0</v>
      </c>
      <c r="BN71" s="96"/>
      <c r="BO71" s="95"/>
      <c r="BP71" s="95">
        <f t="shared" si="67"/>
        <v>0</v>
      </c>
      <c r="BQ71" s="95"/>
      <c r="BR71" s="95"/>
      <c r="BS71" s="95">
        <f t="shared" si="68"/>
        <v>0</v>
      </c>
      <c r="BT71" s="95">
        <f t="shared" si="69"/>
        <v>0</v>
      </c>
      <c r="BU71" s="95">
        <f t="shared" si="70"/>
        <v>0</v>
      </c>
      <c r="BV71" s="95">
        <f t="shared" si="71"/>
        <v>0</v>
      </c>
      <c r="BW71" s="95"/>
      <c r="BX71" s="95"/>
      <c r="BY71" s="95"/>
      <c r="BZ71" s="95"/>
      <c r="CA71" s="95">
        <f t="shared" si="44"/>
        <v>0</v>
      </c>
      <c r="CB71" s="97">
        <f t="shared" si="72"/>
        <v>0</v>
      </c>
      <c r="CC71" s="95"/>
      <c r="CD71" s="95"/>
      <c r="CE71" s="95">
        <f t="shared" si="73"/>
        <v>0</v>
      </c>
      <c r="CF71" s="95">
        <f t="shared" si="45"/>
        <v>0</v>
      </c>
      <c r="CG71" s="113"/>
      <c r="CH71" s="22"/>
      <c r="CI71" s="98">
        <f t="shared" si="74"/>
        <v>0</v>
      </c>
      <c r="CJ71" s="95">
        <f t="shared" si="75"/>
        <v>0</v>
      </c>
      <c r="CK71" s="95">
        <f t="shared" si="46"/>
        <v>0</v>
      </c>
      <c r="CL71" s="95">
        <v>0</v>
      </c>
      <c r="CM71" s="99"/>
      <c r="CN71" s="99">
        <v>0</v>
      </c>
      <c r="CO71" s="110"/>
      <c r="CP71" s="99"/>
      <c r="CQ71" s="99"/>
      <c r="CR71" s="99"/>
      <c r="CS71" s="95"/>
      <c r="CT71" s="95"/>
      <c r="CU71" s="96"/>
      <c r="CV71" s="96"/>
      <c r="CW71" s="96"/>
      <c r="CX71" s="96"/>
      <c r="CY71" s="96"/>
      <c r="CZ71" s="93">
        <f t="shared" si="76"/>
        <v>0</v>
      </c>
      <c r="DA71" s="93">
        <f t="shared" si="77"/>
        <v>0</v>
      </c>
      <c r="DB71" s="95">
        <f t="shared" si="78"/>
        <v>0</v>
      </c>
      <c r="DC71" s="100">
        <f t="shared" si="79"/>
        <v>0</v>
      </c>
      <c r="DD71" s="100"/>
      <c r="DE71" s="100">
        <f t="shared" si="80"/>
        <v>0</v>
      </c>
      <c r="DF71" s="13"/>
      <c r="DG71" s="2"/>
      <c r="DH71" s="46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</row>
    <row r="72" spans="1:156" s="1" customFormat="1" ht="12" hidden="1" customHeight="1" x14ac:dyDescent="0.2">
      <c r="A72" s="88">
        <f t="shared" si="47"/>
        <v>509698</v>
      </c>
      <c r="B72" s="21">
        <v>9698</v>
      </c>
      <c r="C72" s="21" t="s">
        <v>98</v>
      </c>
      <c r="D72" s="84" t="s">
        <v>137</v>
      </c>
      <c r="E72" s="114" t="s">
        <v>201</v>
      </c>
      <c r="F72" s="85">
        <v>0</v>
      </c>
      <c r="G72" s="84"/>
      <c r="H72" s="85"/>
      <c r="I72" s="86"/>
      <c r="J72" s="85"/>
      <c r="K72" s="21" t="s">
        <v>10</v>
      </c>
      <c r="L72" s="21"/>
      <c r="M72" s="87"/>
      <c r="N72" s="88"/>
      <c r="O72" s="88">
        <v>8</v>
      </c>
      <c r="P72" s="89">
        <f t="shared" si="40"/>
        <v>5700.7259999999997</v>
      </c>
      <c r="Q72" s="90">
        <f t="shared" si="41"/>
        <v>19002.419999999998</v>
      </c>
      <c r="R72" s="90">
        <f t="shared" si="42"/>
        <v>26397.963600000003</v>
      </c>
      <c r="S72" s="91"/>
      <c r="T72" s="92">
        <v>0</v>
      </c>
      <c r="U72" s="32">
        <f t="shared" si="43"/>
        <v>0</v>
      </c>
      <c r="V72" s="32">
        <v>0</v>
      </c>
      <c r="W72" s="32">
        <v>0</v>
      </c>
      <c r="X72" s="93">
        <v>0</v>
      </c>
      <c r="Y72" s="32">
        <v>0</v>
      </c>
      <c r="Z72" s="32">
        <v>0</v>
      </c>
      <c r="AA72" s="32">
        <v>0</v>
      </c>
      <c r="AB72" s="32">
        <v>0</v>
      </c>
      <c r="AC72" s="32">
        <v>0</v>
      </c>
      <c r="AD72" s="93">
        <v>0</v>
      </c>
      <c r="AE72" s="32">
        <v>0</v>
      </c>
      <c r="AF72" s="32">
        <v>0</v>
      </c>
      <c r="AG72" s="32">
        <v>0</v>
      </c>
      <c r="AH72" s="93">
        <v>0</v>
      </c>
      <c r="AI72" s="93">
        <v>0</v>
      </c>
      <c r="AJ72" s="93">
        <v>0</v>
      </c>
      <c r="AK72" s="32">
        <v>0</v>
      </c>
      <c r="AL72" s="32">
        <v>0</v>
      </c>
      <c r="AM72" s="32">
        <v>0</v>
      </c>
      <c r="AN72" s="32">
        <v>0</v>
      </c>
      <c r="AO72" s="32">
        <v>0</v>
      </c>
      <c r="AP72" s="32">
        <v>0</v>
      </c>
      <c r="AQ72" s="32">
        <v>0</v>
      </c>
      <c r="AR72" s="32">
        <v>0</v>
      </c>
      <c r="AS72" s="32">
        <v>0</v>
      </c>
      <c r="AT72" s="32">
        <v>0</v>
      </c>
      <c r="AU72" s="94">
        <f t="shared" si="48"/>
        <v>0</v>
      </c>
      <c r="AV72" s="95">
        <f t="shared" si="49"/>
        <v>0</v>
      </c>
      <c r="AW72" s="95">
        <f t="shared" si="50"/>
        <v>0</v>
      </c>
      <c r="AX72" s="95">
        <f t="shared" si="51"/>
        <v>0</v>
      </c>
      <c r="AY72" s="95">
        <f t="shared" si="52"/>
        <v>0</v>
      </c>
      <c r="AZ72" s="95">
        <f t="shared" si="53"/>
        <v>0</v>
      </c>
      <c r="BA72" s="95">
        <f t="shared" si="54"/>
        <v>0</v>
      </c>
      <c r="BB72" s="95">
        <f t="shared" si="55"/>
        <v>0</v>
      </c>
      <c r="BC72" s="96">
        <f t="shared" si="56"/>
        <v>0</v>
      </c>
      <c r="BD72" s="96">
        <f t="shared" si="57"/>
        <v>0</v>
      </c>
      <c r="BE72" s="96">
        <f t="shared" si="81"/>
        <v>0</v>
      </c>
      <c r="BF72" s="96">
        <f t="shared" si="59"/>
        <v>0</v>
      </c>
      <c r="BG72" s="96">
        <f t="shared" si="60"/>
        <v>0</v>
      </c>
      <c r="BH72" s="96">
        <f t="shared" si="61"/>
        <v>0</v>
      </c>
      <c r="BI72" s="96">
        <f t="shared" si="62"/>
        <v>0</v>
      </c>
      <c r="BJ72" s="96">
        <f t="shared" si="63"/>
        <v>0</v>
      </c>
      <c r="BK72" s="96">
        <f t="shared" si="64"/>
        <v>0</v>
      </c>
      <c r="BL72" s="96">
        <f t="shared" si="65"/>
        <v>0</v>
      </c>
      <c r="BM72" s="96">
        <f t="shared" si="66"/>
        <v>0</v>
      </c>
      <c r="BN72" s="96"/>
      <c r="BO72" s="95"/>
      <c r="BP72" s="95">
        <f t="shared" si="67"/>
        <v>0</v>
      </c>
      <c r="BQ72" s="95"/>
      <c r="BR72" s="95"/>
      <c r="BS72" s="95">
        <f t="shared" si="68"/>
        <v>0</v>
      </c>
      <c r="BT72" s="95">
        <f t="shared" si="69"/>
        <v>0</v>
      </c>
      <c r="BU72" s="95">
        <f t="shared" si="70"/>
        <v>0</v>
      </c>
      <c r="BV72" s="95">
        <f t="shared" si="71"/>
        <v>0</v>
      </c>
      <c r="BW72" s="95"/>
      <c r="BX72" s="95"/>
      <c r="BY72" s="95"/>
      <c r="BZ72" s="95"/>
      <c r="CA72" s="95">
        <f t="shared" si="44"/>
        <v>0</v>
      </c>
      <c r="CB72" s="97">
        <f t="shared" si="72"/>
        <v>0</v>
      </c>
      <c r="CC72" s="95"/>
      <c r="CD72" s="95"/>
      <c r="CE72" s="95">
        <f t="shared" si="73"/>
        <v>0</v>
      </c>
      <c r="CF72" s="95">
        <f t="shared" si="45"/>
        <v>0</v>
      </c>
      <c r="CG72" s="113"/>
      <c r="CH72" s="22"/>
      <c r="CI72" s="98">
        <f t="shared" si="74"/>
        <v>0</v>
      </c>
      <c r="CJ72" s="95">
        <f t="shared" si="75"/>
        <v>0</v>
      </c>
      <c r="CK72" s="95">
        <f t="shared" si="46"/>
        <v>0</v>
      </c>
      <c r="CL72" s="95">
        <v>0</v>
      </c>
      <c r="CM72" s="99"/>
      <c r="CN72" s="99">
        <v>0</v>
      </c>
      <c r="CO72" s="110"/>
      <c r="CP72" s="99"/>
      <c r="CQ72" s="99"/>
      <c r="CR72" s="99"/>
      <c r="CS72" s="95"/>
      <c r="CT72" s="95"/>
      <c r="CU72" s="96"/>
      <c r="CV72" s="96"/>
      <c r="CW72" s="96"/>
      <c r="CX72" s="96"/>
      <c r="CY72" s="96"/>
      <c r="CZ72" s="93">
        <f t="shared" si="76"/>
        <v>0</v>
      </c>
      <c r="DA72" s="93">
        <f t="shared" si="77"/>
        <v>0</v>
      </c>
      <c r="DB72" s="95">
        <f t="shared" si="78"/>
        <v>0</v>
      </c>
      <c r="DC72" s="100">
        <f t="shared" si="79"/>
        <v>0</v>
      </c>
      <c r="DD72" s="100"/>
      <c r="DE72" s="100">
        <f t="shared" si="80"/>
        <v>0</v>
      </c>
      <c r="DF72" s="13"/>
      <c r="DG72" s="2"/>
      <c r="DH72" s="46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</row>
    <row r="73" spans="1:156" s="1" customFormat="1" ht="12" customHeight="1" x14ac:dyDescent="0.2">
      <c r="A73" s="88">
        <f t="shared" si="47"/>
        <v>509741</v>
      </c>
      <c r="B73" s="21">
        <v>9741</v>
      </c>
      <c r="C73" s="21" t="s">
        <v>98</v>
      </c>
      <c r="D73" s="84" t="s">
        <v>157</v>
      </c>
      <c r="E73" s="114" t="s">
        <v>201</v>
      </c>
      <c r="F73" s="85">
        <v>0</v>
      </c>
      <c r="G73" s="84"/>
      <c r="H73" s="85"/>
      <c r="I73" s="86"/>
      <c r="J73" s="85"/>
      <c r="K73" s="21" t="s">
        <v>8</v>
      </c>
      <c r="L73" s="21"/>
      <c r="M73" s="87"/>
      <c r="N73" s="88"/>
      <c r="O73" s="88">
        <v>3</v>
      </c>
      <c r="P73" s="89">
        <f t="shared" si="40"/>
        <v>5401.2359999999999</v>
      </c>
      <c r="Q73" s="90">
        <f t="shared" si="41"/>
        <v>18004.12</v>
      </c>
      <c r="R73" s="90">
        <f t="shared" si="42"/>
        <v>25011.1211</v>
      </c>
      <c r="S73" s="91"/>
      <c r="T73" s="92">
        <v>3</v>
      </c>
      <c r="U73" s="32">
        <f t="shared" si="43"/>
        <v>3</v>
      </c>
      <c r="V73" s="32">
        <v>0</v>
      </c>
      <c r="W73" s="32">
        <v>0</v>
      </c>
      <c r="X73" s="93">
        <v>0</v>
      </c>
      <c r="Y73" s="32">
        <v>0</v>
      </c>
      <c r="Z73" s="32">
        <v>0</v>
      </c>
      <c r="AA73" s="32">
        <v>0</v>
      </c>
      <c r="AB73" s="32">
        <v>0</v>
      </c>
      <c r="AC73" s="32">
        <v>0</v>
      </c>
      <c r="AD73" s="93">
        <v>0</v>
      </c>
      <c r="AE73" s="32">
        <v>0</v>
      </c>
      <c r="AF73" s="32">
        <v>0</v>
      </c>
      <c r="AG73" s="32">
        <v>0</v>
      </c>
      <c r="AH73" s="93">
        <v>0</v>
      </c>
      <c r="AI73" s="93">
        <v>0</v>
      </c>
      <c r="AJ73" s="93">
        <v>0</v>
      </c>
      <c r="AK73" s="32">
        <v>0</v>
      </c>
      <c r="AL73" s="32">
        <v>0</v>
      </c>
      <c r="AM73" s="32">
        <v>0</v>
      </c>
      <c r="AN73" s="32">
        <v>0</v>
      </c>
      <c r="AO73" s="32">
        <v>0</v>
      </c>
      <c r="AP73" s="32">
        <v>0</v>
      </c>
      <c r="AQ73" s="32">
        <v>0</v>
      </c>
      <c r="AR73" s="32">
        <v>0</v>
      </c>
      <c r="AS73" s="32">
        <v>0</v>
      </c>
      <c r="AT73" s="32">
        <v>0</v>
      </c>
      <c r="AU73" s="94">
        <f t="shared" si="48"/>
        <v>3</v>
      </c>
      <c r="AV73" s="95">
        <f t="shared" si="49"/>
        <v>54012.36</v>
      </c>
      <c r="AW73" s="95">
        <f t="shared" si="50"/>
        <v>0</v>
      </c>
      <c r="AX73" s="112">
        <f t="shared" si="51"/>
        <v>0</v>
      </c>
      <c r="AY73" s="95">
        <f t="shared" si="52"/>
        <v>0</v>
      </c>
      <c r="AZ73" s="95">
        <f t="shared" si="53"/>
        <v>0</v>
      </c>
      <c r="BA73" s="95">
        <f t="shared" si="54"/>
        <v>0</v>
      </c>
      <c r="BB73" s="95">
        <f t="shared" si="55"/>
        <v>0</v>
      </c>
      <c r="BC73" s="96">
        <f t="shared" si="56"/>
        <v>0</v>
      </c>
      <c r="BD73" s="96">
        <f t="shared" si="57"/>
        <v>0</v>
      </c>
      <c r="BE73" s="96">
        <f t="shared" si="81"/>
        <v>0</v>
      </c>
      <c r="BF73" s="96">
        <f t="shared" si="59"/>
        <v>0</v>
      </c>
      <c r="BG73" s="96">
        <f t="shared" si="60"/>
        <v>0</v>
      </c>
      <c r="BH73" s="96">
        <f t="shared" si="61"/>
        <v>0</v>
      </c>
      <c r="BI73" s="96">
        <f t="shared" si="62"/>
        <v>0</v>
      </c>
      <c r="BJ73" s="96">
        <f t="shared" si="63"/>
        <v>0</v>
      </c>
      <c r="BK73" s="96">
        <f t="shared" si="64"/>
        <v>0</v>
      </c>
      <c r="BL73" s="96">
        <f t="shared" si="65"/>
        <v>1944.4449599999998</v>
      </c>
      <c r="BM73" s="96">
        <f t="shared" si="66"/>
        <v>0</v>
      </c>
      <c r="BN73" s="96"/>
      <c r="BO73" s="95"/>
      <c r="BP73" s="95">
        <f t="shared" si="67"/>
        <v>0</v>
      </c>
      <c r="BQ73" s="95"/>
      <c r="BR73" s="95"/>
      <c r="BS73" s="95">
        <f t="shared" si="68"/>
        <v>0</v>
      </c>
      <c r="BT73" s="95">
        <f t="shared" si="69"/>
        <v>0</v>
      </c>
      <c r="BU73" s="95">
        <f t="shared" si="70"/>
        <v>0</v>
      </c>
      <c r="BV73" s="95">
        <f t="shared" si="71"/>
        <v>0</v>
      </c>
      <c r="BW73" s="95"/>
      <c r="BX73" s="95"/>
      <c r="BY73" s="95"/>
      <c r="BZ73" s="95"/>
      <c r="CA73" s="95">
        <f t="shared" si="44"/>
        <v>0</v>
      </c>
      <c r="CB73" s="97">
        <f t="shared" si="72"/>
        <v>55956.804960000001</v>
      </c>
      <c r="CC73" s="95"/>
      <c r="CD73" s="95"/>
      <c r="CE73" s="95">
        <f t="shared" si="73"/>
        <v>-1678.7041488</v>
      </c>
      <c r="CF73" s="95">
        <f t="shared" si="45"/>
        <v>-559.56804959999999</v>
      </c>
      <c r="CG73" s="113"/>
      <c r="CH73" s="22"/>
      <c r="CI73" s="98">
        <f t="shared" si="74"/>
        <v>77735.193450431994</v>
      </c>
      <c r="CJ73" s="95">
        <f t="shared" si="75"/>
        <v>-2332.0558035129598</v>
      </c>
      <c r="CK73" s="95">
        <f t="shared" si="46"/>
        <v>-777.35193450431996</v>
      </c>
      <c r="CL73" s="95">
        <v>0</v>
      </c>
      <c r="CM73" s="99"/>
      <c r="CN73" s="99">
        <v>0</v>
      </c>
      <c r="CO73" s="110"/>
      <c r="CP73" s="99"/>
      <c r="CQ73" s="99"/>
      <c r="CR73" s="99"/>
      <c r="CS73" s="95"/>
      <c r="CT73" s="95"/>
      <c r="CU73" s="96"/>
      <c r="CV73" s="96"/>
      <c r="CW73" s="96"/>
      <c r="CX73" s="96"/>
      <c r="CY73" s="96"/>
      <c r="CZ73" s="93">
        <f t="shared" si="76"/>
        <v>0</v>
      </c>
      <c r="DA73" s="93">
        <f t="shared" si="77"/>
        <v>0</v>
      </c>
      <c r="DB73" s="95">
        <f t="shared" si="78"/>
        <v>128344.31847401471</v>
      </c>
      <c r="DC73" s="100">
        <f t="shared" si="79"/>
        <v>128344</v>
      </c>
      <c r="DD73" s="100"/>
      <c r="DE73" s="100">
        <f t="shared" si="80"/>
        <v>-128344</v>
      </c>
      <c r="DF73" s="13"/>
      <c r="DG73" s="2"/>
      <c r="DH73" s="46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</row>
    <row r="74" spans="1:156" s="1" customFormat="1" ht="12" customHeight="1" x14ac:dyDescent="0.2">
      <c r="A74" s="88">
        <f t="shared" si="47"/>
        <v>509699</v>
      </c>
      <c r="B74" s="21">
        <v>9699</v>
      </c>
      <c r="C74" s="21" t="s">
        <v>98</v>
      </c>
      <c r="D74" s="84" t="s">
        <v>138</v>
      </c>
      <c r="E74" s="114" t="s">
        <v>201</v>
      </c>
      <c r="F74" s="85">
        <v>3</v>
      </c>
      <c r="G74" s="84"/>
      <c r="H74" s="85">
        <v>60</v>
      </c>
      <c r="I74" s="86"/>
      <c r="J74" s="85"/>
      <c r="K74" s="21" t="s">
        <v>10</v>
      </c>
      <c r="L74" s="21"/>
      <c r="M74" s="87"/>
      <c r="N74" s="88"/>
      <c r="O74" s="88">
        <v>7</v>
      </c>
      <c r="P74" s="89">
        <f t="shared" si="40"/>
        <v>5700.7259999999997</v>
      </c>
      <c r="Q74" s="90">
        <f t="shared" si="41"/>
        <v>19002.419999999998</v>
      </c>
      <c r="R74" s="90">
        <f t="shared" si="42"/>
        <v>26397.963600000003</v>
      </c>
      <c r="S74" s="91"/>
      <c r="T74" s="92">
        <v>8</v>
      </c>
      <c r="U74" s="32">
        <f t="shared" si="43"/>
        <v>8</v>
      </c>
      <c r="V74" s="32">
        <v>3</v>
      </c>
      <c r="W74" s="32">
        <v>1</v>
      </c>
      <c r="X74" s="93">
        <v>0</v>
      </c>
      <c r="Y74" s="32">
        <v>0</v>
      </c>
      <c r="Z74" s="32">
        <v>0</v>
      </c>
      <c r="AA74" s="32">
        <v>15</v>
      </c>
      <c r="AB74" s="32">
        <v>0</v>
      </c>
      <c r="AC74" s="32">
        <v>0</v>
      </c>
      <c r="AD74" s="93">
        <v>0</v>
      </c>
      <c r="AE74" s="32">
        <v>0</v>
      </c>
      <c r="AF74" s="32">
        <v>0</v>
      </c>
      <c r="AG74" s="32">
        <v>0</v>
      </c>
      <c r="AH74" s="93">
        <v>0</v>
      </c>
      <c r="AI74" s="93">
        <v>0.625</v>
      </c>
      <c r="AJ74" s="93">
        <v>0</v>
      </c>
      <c r="AK74" s="32">
        <v>0</v>
      </c>
      <c r="AL74" s="32">
        <v>0</v>
      </c>
      <c r="AM74" s="32">
        <v>0</v>
      </c>
      <c r="AN74" s="32">
        <v>0</v>
      </c>
      <c r="AO74" s="32">
        <v>0</v>
      </c>
      <c r="AP74" s="32">
        <v>0</v>
      </c>
      <c r="AQ74" s="32">
        <v>0</v>
      </c>
      <c r="AR74" s="32">
        <v>0</v>
      </c>
      <c r="AS74" s="32">
        <v>0</v>
      </c>
      <c r="AT74" s="32">
        <v>0</v>
      </c>
      <c r="AU74" s="94">
        <f t="shared" si="48"/>
        <v>12</v>
      </c>
      <c r="AV74" s="95">
        <f t="shared" si="49"/>
        <v>152019.35999999999</v>
      </c>
      <c r="AW74" s="95">
        <f t="shared" si="50"/>
        <v>57007.259999999995</v>
      </c>
      <c r="AX74" s="95">
        <f t="shared" si="51"/>
        <v>19002.419999999998</v>
      </c>
      <c r="AY74" s="95">
        <f t="shared" si="52"/>
        <v>0</v>
      </c>
      <c r="AZ74" s="95">
        <f t="shared" si="53"/>
        <v>0</v>
      </c>
      <c r="BA74" s="95">
        <f t="shared" si="54"/>
        <v>0</v>
      </c>
      <c r="BB74" s="95">
        <f t="shared" si="55"/>
        <v>35629.537499999999</v>
      </c>
      <c r="BC74" s="96">
        <f t="shared" si="56"/>
        <v>0</v>
      </c>
      <c r="BD74" s="96">
        <f t="shared" si="57"/>
        <v>0</v>
      </c>
      <c r="BE74" s="96">
        <f t="shared" si="81"/>
        <v>0</v>
      </c>
      <c r="BF74" s="96">
        <f t="shared" si="59"/>
        <v>0</v>
      </c>
      <c r="BG74" s="96">
        <f t="shared" si="60"/>
        <v>0</v>
      </c>
      <c r="BH74" s="96">
        <f t="shared" si="61"/>
        <v>0</v>
      </c>
      <c r="BI74" s="96">
        <f t="shared" si="62"/>
        <v>11876.512499999999</v>
      </c>
      <c r="BJ74" s="96">
        <f t="shared" si="63"/>
        <v>0</v>
      </c>
      <c r="BK74" s="96">
        <f t="shared" si="64"/>
        <v>0</v>
      </c>
      <c r="BL74" s="96">
        <f t="shared" si="65"/>
        <v>19154.439359999997</v>
      </c>
      <c r="BM74" s="96">
        <f t="shared" si="66"/>
        <v>0</v>
      </c>
      <c r="BN74" s="96"/>
      <c r="BO74" s="95"/>
      <c r="BP74" s="95">
        <f t="shared" si="67"/>
        <v>0</v>
      </c>
      <c r="BQ74" s="95"/>
      <c r="BR74" s="95"/>
      <c r="BS74" s="95">
        <f t="shared" si="68"/>
        <v>0</v>
      </c>
      <c r="BT74" s="95">
        <f t="shared" si="69"/>
        <v>0</v>
      </c>
      <c r="BU74" s="95">
        <f t="shared" si="70"/>
        <v>0</v>
      </c>
      <c r="BV74" s="95">
        <f t="shared" si="71"/>
        <v>0</v>
      </c>
      <c r="BW74" s="95"/>
      <c r="BX74" s="95"/>
      <c r="BY74" s="95"/>
      <c r="BZ74" s="95"/>
      <c r="CA74" s="95">
        <f t="shared" si="44"/>
        <v>409382.69418691192</v>
      </c>
      <c r="CB74" s="97">
        <f t="shared" si="72"/>
        <v>704072.22354691196</v>
      </c>
      <c r="CC74" s="95"/>
      <c r="CD74" s="95"/>
      <c r="CE74" s="95">
        <f t="shared" si="73"/>
        <v>-21122.166706407359</v>
      </c>
      <c r="CF74" s="95">
        <f t="shared" si="45"/>
        <v>-7040.7222354691194</v>
      </c>
      <c r="CG74" s="113"/>
      <c r="CH74" s="22"/>
      <c r="CI74" s="98">
        <f t="shared" si="74"/>
        <v>0</v>
      </c>
      <c r="CJ74" s="95">
        <f t="shared" si="75"/>
        <v>0</v>
      </c>
      <c r="CK74" s="95">
        <f t="shared" si="46"/>
        <v>0</v>
      </c>
      <c r="CL74" s="95">
        <v>0</v>
      </c>
      <c r="CM74" s="99"/>
      <c r="CN74" s="99">
        <v>0</v>
      </c>
      <c r="CO74" s="110"/>
      <c r="CP74" s="99"/>
      <c r="CQ74" s="99"/>
      <c r="CR74" s="99"/>
      <c r="CS74" s="95"/>
      <c r="CT74" s="95"/>
      <c r="CU74" s="96"/>
      <c r="CV74" s="96"/>
      <c r="CW74" s="96"/>
      <c r="CX74" s="96"/>
      <c r="CY74" s="96"/>
      <c r="CZ74" s="93">
        <f t="shared" si="76"/>
        <v>0</v>
      </c>
      <c r="DA74" s="93">
        <f t="shared" si="77"/>
        <v>0</v>
      </c>
      <c r="DB74" s="95">
        <f t="shared" si="78"/>
        <v>675909.33460503549</v>
      </c>
      <c r="DC74" s="100">
        <f t="shared" si="79"/>
        <v>675909</v>
      </c>
      <c r="DD74" s="100"/>
      <c r="DE74" s="100">
        <f t="shared" si="80"/>
        <v>-675909</v>
      </c>
      <c r="DF74" s="13"/>
      <c r="DG74" s="2"/>
      <c r="DH74" s="46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</row>
    <row r="75" spans="1:156" s="1" customFormat="1" ht="12" hidden="1" customHeight="1" x14ac:dyDescent="0.2">
      <c r="A75" s="88">
        <f t="shared" si="47"/>
        <v>509753</v>
      </c>
      <c r="B75" s="21">
        <v>9753</v>
      </c>
      <c r="C75" s="21" t="s">
        <v>98</v>
      </c>
      <c r="D75" s="84" t="s">
        <v>167</v>
      </c>
      <c r="E75" s="114" t="s">
        <v>201</v>
      </c>
      <c r="F75" s="85">
        <v>0</v>
      </c>
      <c r="G75" s="84"/>
      <c r="H75" s="85"/>
      <c r="I75" s="86"/>
      <c r="J75" s="85"/>
      <c r="K75" s="21" t="s">
        <v>10</v>
      </c>
      <c r="L75" s="21"/>
      <c r="M75" s="87"/>
      <c r="N75" s="88"/>
      <c r="O75" s="88">
        <v>3</v>
      </c>
      <c r="P75" s="89">
        <f t="shared" si="40"/>
        <v>5700.7259999999997</v>
      </c>
      <c r="Q75" s="90">
        <f t="shared" si="41"/>
        <v>19002.419999999998</v>
      </c>
      <c r="R75" s="90">
        <f t="shared" si="42"/>
        <v>26397.963600000003</v>
      </c>
      <c r="S75" s="91"/>
      <c r="T75" s="92">
        <v>0</v>
      </c>
      <c r="U75" s="32">
        <f t="shared" si="43"/>
        <v>0</v>
      </c>
      <c r="V75" s="32">
        <v>0</v>
      </c>
      <c r="W75" s="32">
        <v>0</v>
      </c>
      <c r="X75" s="93">
        <v>0</v>
      </c>
      <c r="Y75" s="32">
        <v>0</v>
      </c>
      <c r="Z75" s="32">
        <v>0</v>
      </c>
      <c r="AA75" s="32">
        <v>0</v>
      </c>
      <c r="AB75" s="32">
        <v>0</v>
      </c>
      <c r="AC75" s="32">
        <v>0</v>
      </c>
      <c r="AD75" s="93">
        <v>0</v>
      </c>
      <c r="AE75" s="32">
        <v>0</v>
      </c>
      <c r="AF75" s="32">
        <v>0</v>
      </c>
      <c r="AG75" s="32">
        <v>0</v>
      </c>
      <c r="AH75" s="93">
        <v>0</v>
      </c>
      <c r="AI75" s="93">
        <v>0</v>
      </c>
      <c r="AJ75" s="93">
        <v>0</v>
      </c>
      <c r="AK75" s="32">
        <v>0</v>
      </c>
      <c r="AL75" s="32">
        <v>0</v>
      </c>
      <c r="AM75" s="32">
        <v>0</v>
      </c>
      <c r="AN75" s="32">
        <v>0</v>
      </c>
      <c r="AO75" s="32">
        <v>0</v>
      </c>
      <c r="AP75" s="32">
        <v>0</v>
      </c>
      <c r="AQ75" s="32">
        <v>0</v>
      </c>
      <c r="AR75" s="32">
        <v>0</v>
      </c>
      <c r="AS75" s="32">
        <v>0</v>
      </c>
      <c r="AT75" s="32">
        <v>0</v>
      </c>
      <c r="AU75" s="94">
        <f t="shared" si="48"/>
        <v>0</v>
      </c>
      <c r="AV75" s="95">
        <f t="shared" si="49"/>
        <v>0</v>
      </c>
      <c r="AW75" s="95">
        <f t="shared" si="50"/>
        <v>0</v>
      </c>
      <c r="AX75" s="95">
        <f t="shared" si="51"/>
        <v>0</v>
      </c>
      <c r="AY75" s="95">
        <f t="shared" si="52"/>
        <v>0</v>
      </c>
      <c r="AZ75" s="95">
        <f t="shared" si="53"/>
        <v>0</v>
      </c>
      <c r="BA75" s="95">
        <f t="shared" si="54"/>
        <v>0</v>
      </c>
      <c r="BB75" s="95">
        <f t="shared" si="55"/>
        <v>0</v>
      </c>
      <c r="BC75" s="96">
        <f t="shared" si="56"/>
        <v>0</v>
      </c>
      <c r="BD75" s="96">
        <f t="shared" si="57"/>
        <v>0</v>
      </c>
      <c r="BE75" s="96">
        <f t="shared" si="81"/>
        <v>0</v>
      </c>
      <c r="BF75" s="96">
        <f t="shared" si="59"/>
        <v>0</v>
      </c>
      <c r="BG75" s="96">
        <f t="shared" si="60"/>
        <v>0</v>
      </c>
      <c r="BH75" s="96">
        <f t="shared" si="61"/>
        <v>0</v>
      </c>
      <c r="BI75" s="96">
        <f t="shared" si="62"/>
        <v>0</v>
      </c>
      <c r="BJ75" s="96">
        <f t="shared" si="63"/>
        <v>0</v>
      </c>
      <c r="BK75" s="96">
        <f t="shared" si="64"/>
        <v>0</v>
      </c>
      <c r="BL75" s="96">
        <f t="shared" si="65"/>
        <v>0</v>
      </c>
      <c r="BM75" s="96">
        <f t="shared" si="66"/>
        <v>0</v>
      </c>
      <c r="BN75" s="96"/>
      <c r="BO75" s="95"/>
      <c r="BP75" s="95">
        <f t="shared" si="67"/>
        <v>0</v>
      </c>
      <c r="BQ75" s="95"/>
      <c r="BR75" s="95"/>
      <c r="BS75" s="95">
        <f t="shared" si="68"/>
        <v>0</v>
      </c>
      <c r="BT75" s="95">
        <f t="shared" si="69"/>
        <v>0</v>
      </c>
      <c r="BU75" s="95">
        <f t="shared" si="70"/>
        <v>0</v>
      </c>
      <c r="BV75" s="95">
        <f t="shared" si="71"/>
        <v>0</v>
      </c>
      <c r="BW75" s="95"/>
      <c r="BX75" s="95"/>
      <c r="BY75" s="95"/>
      <c r="BZ75" s="95"/>
      <c r="CA75" s="95">
        <f t="shared" si="44"/>
        <v>0</v>
      </c>
      <c r="CB75" s="97">
        <f t="shared" si="72"/>
        <v>0</v>
      </c>
      <c r="CC75" s="95"/>
      <c r="CD75" s="95"/>
      <c r="CE75" s="95">
        <f t="shared" si="73"/>
        <v>0</v>
      </c>
      <c r="CF75" s="95">
        <f t="shared" si="45"/>
        <v>0</v>
      </c>
      <c r="CG75" s="113"/>
      <c r="CH75" s="22"/>
      <c r="CI75" s="98">
        <f t="shared" si="74"/>
        <v>0</v>
      </c>
      <c r="CJ75" s="95">
        <f t="shared" si="75"/>
        <v>0</v>
      </c>
      <c r="CK75" s="95">
        <f t="shared" si="46"/>
        <v>0</v>
      </c>
      <c r="CL75" s="95">
        <v>0</v>
      </c>
      <c r="CM75" s="99"/>
      <c r="CN75" s="99">
        <v>0</v>
      </c>
      <c r="CO75" s="110"/>
      <c r="CP75" s="99"/>
      <c r="CQ75" s="99"/>
      <c r="CR75" s="99"/>
      <c r="CS75" s="95"/>
      <c r="CT75" s="95"/>
      <c r="CU75" s="96"/>
      <c r="CV75" s="96"/>
      <c r="CW75" s="96"/>
      <c r="CX75" s="96"/>
      <c r="CY75" s="96"/>
      <c r="CZ75" s="93">
        <f t="shared" si="76"/>
        <v>0</v>
      </c>
      <c r="DA75" s="93">
        <f t="shared" si="77"/>
        <v>0</v>
      </c>
      <c r="DB75" s="95">
        <f t="shared" si="78"/>
        <v>0</v>
      </c>
      <c r="DC75" s="100">
        <f t="shared" si="79"/>
        <v>0</v>
      </c>
      <c r="DD75" s="100"/>
      <c r="DE75" s="100">
        <f t="shared" si="80"/>
        <v>0</v>
      </c>
      <c r="DF75" s="13"/>
      <c r="DG75" s="2"/>
      <c r="DH75" s="46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</row>
    <row r="76" spans="1:156" s="1" customFormat="1" ht="12" customHeight="1" x14ac:dyDescent="0.2">
      <c r="A76" s="88">
        <f t="shared" si="47"/>
        <v>509847</v>
      </c>
      <c r="B76" s="21">
        <v>9847</v>
      </c>
      <c r="C76" s="21" t="s">
        <v>98</v>
      </c>
      <c r="D76" s="84" t="s">
        <v>183</v>
      </c>
      <c r="E76" s="114" t="s">
        <v>201</v>
      </c>
      <c r="F76" s="85">
        <v>0</v>
      </c>
      <c r="G76" s="84"/>
      <c r="H76" s="85"/>
      <c r="I76" s="86"/>
      <c r="J76" s="85"/>
      <c r="K76" s="21" t="s">
        <v>8</v>
      </c>
      <c r="L76" s="21"/>
      <c r="M76" s="87"/>
      <c r="N76" s="88"/>
      <c r="O76" s="88">
        <v>0</v>
      </c>
      <c r="P76" s="89">
        <f t="shared" si="40"/>
        <v>5401.2359999999999</v>
      </c>
      <c r="Q76" s="90">
        <f t="shared" si="41"/>
        <v>18004.12</v>
      </c>
      <c r="R76" s="90">
        <f t="shared" si="42"/>
        <v>25011.1211</v>
      </c>
      <c r="S76" s="91"/>
      <c r="T76" s="92">
        <v>7</v>
      </c>
      <c r="U76" s="32">
        <f t="shared" si="43"/>
        <v>7</v>
      </c>
      <c r="V76" s="32">
        <v>0</v>
      </c>
      <c r="W76" s="32">
        <v>1</v>
      </c>
      <c r="X76" s="93">
        <v>0</v>
      </c>
      <c r="Y76" s="32">
        <v>0</v>
      </c>
      <c r="Z76" s="32">
        <v>0</v>
      </c>
      <c r="AA76" s="32">
        <v>0</v>
      </c>
      <c r="AB76" s="32">
        <v>0</v>
      </c>
      <c r="AC76" s="32">
        <v>0</v>
      </c>
      <c r="AD76" s="93">
        <v>0</v>
      </c>
      <c r="AE76" s="32">
        <v>0</v>
      </c>
      <c r="AF76" s="32">
        <v>0</v>
      </c>
      <c r="AG76" s="32">
        <v>0</v>
      </c>
      <c r="AH76" s="93">
        <v>0</v>
      </c>
      <c r="AI76" s="93">
        <v>0</v>
      </c>
      <c r="AJ76" s="93">
        <v>0</v>
      </c>
      <c r="AK76" s="32">
        <v>0</v>
      </c>
      <c r="AL76" s="32">
        <v>0</v>
      </c>
      <c r="AM76" s="32">
        <v>0</v>
      </c>
      <c r="AN76" s="32">
        <v>0</v>
      </c>
      <c r="AO76" s="32">
        <v>0</v>
      </c>
      <c r="AP76" s="32">
        <v>0</v>
      </c>
      <c r="AQ76" s="32">
        <v>0</v>
      </c>
      <c r="AR76" s="32">
        <v>0</v>
      </c>
      <c r="AS76" s="32">
        <v>0</v>
      </c>
      <c r="AT76" s="32">
        <v>0</v>
      </c>
      <c r="AU76" s="94">
        <f t="shared" si="48"/>
        <v>8</v>
      </c>
      <c r="AV76" s="95">
        <f t="shared" si="49"/>
        <v>126028.84</v>
      </c>
      <c r="AW76" s="95">
        <f t="shared" si="50"/>
        <v>0</v>
      </c>
      <c r="AX76" s="95">
        <f t="shared" si="51"/>
        <v>18004.12</v>
      </c>
      <c r="AY76" s="95">
        <f t="shared" si="52"/>
        <v>0</v>
      </c>
      <c r="AZ76" s="95">
        <f t="shared" si="53"/>
        <v>0</v>
      </c>
      <c r="BA76" s="95">
        <f t="shared" si="54"/>
        <v>0</v>
      </c>
      <c r="BB76" s="95">
        <f t="shared" si="55"/>
        <v>0</v>
      </c>
      <c r="BC76" s="96">
        <f t="shared" si="56"/>
        <v>0</v>
      </c>
      <c r="BD76" s="96">
        <f t="shared" si="57"/>
        <v>0</v>
      </c>
      <c r="BE76" s="96">
        <f t="shared" si="81"/>
        <v>0</v>
      </c>
      <c r="BF76" s="96">
        <f t="shared" si="59"/>
        <v>0</v>
      </c>
      <c r="BG76" s="96">
        <f t="shared" si="60"/>
        <v>0</v>
      </c>
      <c r="BH76" s="96">
        <f t="shared" si="61"/>
        <v>0</v>
      </c>
      <c r="BI76" s="96">
        <f t="shared" si="62"/>
        <v>0</v>
      </c>
      <c r="BJ76" s="96">
        <f t="shared" si="63"/>
        <v>0</v>
      </c>
      <c r="BK76" s="96">
        <f t="shared" si="64"/>
        <v>0</v>
      </c>
      <c r="BL76" s="96">
        <f t="shared" si="65"/>
        <v>0</v>
      </c>
      <c r="BM76" s="96">
        <f t="shared" si="66"/>
        <v>0</v>
      </c>
      <c r="BN76" s="96"/>
      <c r="BO76" s="95"/>
      <c r="BP76" s="95">
        <f t="shared" si="67"/>
        <v>0</v>
      </c>
      <c r="BQ76" s="95"/>
      <c r="BR76" s="95"/>
      <c r="BS76" s="95">
        <f t="shared" si="68"/>
        <v>0</v>
      </c>
      <c r="BT76" s="95">
        <f t="shared" si="69"/>
        <v>0</v>
      </c>
      <c r="BU76" s="95">
        <f t="shared" si="70"/>
        <v>0</v>
      </c>
      <c r="BV76" s="95">
        <f t="shared" si="71"/>
        <v>0</v>
      </c>
      <c r="BW76" s="95"/>
      <c r="BX76" s="95"/>
      <c r="BY76" s="95"/>
      <c r="BZ76" s="95"/>
      <c r="CA76" s="95">
        <f t="shared" si="44"/>
        <v>0</v>
      </c>
      <c r="CB76" s="97">
        <f t="shared" si="72"/>
        <v>144032.95999999999</v>
      </c>
      <c r="CC76" s="95"/>
      <c r="CD76" s="95"/>
      <c r="CE76" s="95">
        <f t="shared" si="73"/>
        <v>-4320.9887999999992</v>
      </c>
      <c r="CF76" s="95">
        <f t="shared" si="45"/>
        <v>-1440.3296</v>
      </c>
      <c r="CG76" s="113"/>
      <c r="CH76" s="22"/>
      <c r="CI76" s="98">
        <f t="shared" si="74"/>
        <v>200090.58803199994</v>
      </c>
      <c r="CJ76" s="95">
        <f t="shared" si="75"/>
        <v>-6002.7176409599979</v>
      </c>
      <c r="CK76" s="95">
        <f t="shared" si="46"/>
        <v>-2000.9058803199994</v>
      </c>
      <c r="CL76" s="95">
        <v>0</v>
      </c>
      <c r="CM76" s="99"/>
      <c r="CN76" s="99">
        <v>0</v>
      </c>
      <c r="CO76" s="110"/>
      <c r="CP76" s="99"/>
      <c r="CQ76" s="99"/>
      <c r="CR76" s="99"/>
      <c r="CS76" s="95"/>
      <c r="CT76" s="95"/>
      <c r="CU76" s="96"/>
      <c r="CV76" s="96"/>
      <c r="CW76" s="96"/>
      <c r="CX76" s="96"/>
      <c r="CY76" s="96"/>
      <c r="CZ76" s="93">
        <f t="shared" si="76"/>
        <v>0</v>
      </c>
      <c r="DA76" s="93">
        <f t="shared" si="77"/>
        <v>0</v>
      </c>
      <c r="DB76" s="95">
        <f t="shared" si="78"/>
        <v>330358.60611071996</v>
      </c>
      <c r="DC76" s="100">
        <f t="shared" si="79"/>
        <v>330359</v>
      </c>
      <c r="DD76" s="100"/>
      <c r="DE76" s="100">
        <f t="shared" si="80"/>
        <v>-330359</v>
      </c>
      <c r="DF76" s="13"/>
      <c r="DG76" s="2"/>
      <c r="DH76" s="46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</row>
    <row r="77" spans="1:156" s="1" customFormat="1" ht="12" customHeight="1" x14ac:dyDescent="0.2">
      <c r="A77" s="88">
        <f t="shared" si="47"/>
        <v>509702</v>
      </c>
      <c r="B77" s="21">
        <v>9702</v>
      </c>
      <c r="C77" s="21" t="s">
        <v>98</v>
      </c>
      <c r="D77" s="84" t="s">
        <v>139</v>
      </c>
      <c r="E77" s="115" t="s">
        <v>202</v>
      </c>
      <c r="F77" s="85">
        <v>0</v>
      </c>
      <c r="G77" s="84"/>
      <c r="H77" s="85"/>
      <c r="I77" s="86"/>
      <c r="J77" s="85"/>
      <c r="K77" s="21" t="s">
        <v>10</v>
      </c>
      <c r="L77" s="21"/>
      <c r="M77" s="87"/>
      <c r="N77" s="88"/>
      <c r="O77" s="88">
        <v>20</v>
      </c>
      <c r="P77" s="89">
        <f t="shared" si="40"/>
        <v>5700.7259999999997</v>
      </c>
      <c r="Q77" s="90">
        <f t="shared" si="41"/>
        <v>19002.419999999998</v>
      </c>
      <c r="R77" s="90">
        <f t="shared" si="42"/>
        <v>26397.963600000003</v>
      </c>
      <c r="S77" s="91"/>
      <c r="T77" s="92">
        <v>9</v>
      </c>
      <c r="U77" s="32">
        <f t="shared" si="43"/>
        <v>9</v>
      </c>
      <c r="V77" s="32">
        <v>0</v>
      </c>
      <c r="W77" s="32">
        <v>1</v>
      </c>
      <c r="X77" s="93">
        <v>0</v>
      </c>
      <c r="Y77" s="32">
        <v>0</v>
      </c>
      <c r="Z77" s="32">
        <v>0</v>
      </c>
      <c r="AA77" s="32">
        <v>0</v>
      </c>
      <c r="AB77" s="32">
        <v>0</v>
      </c>
      <c r="AC77" s="32">
        <v>0</v>
      </c>
      <c r="AD77" s="93">
        <v>0</v>
      </c>
      <c r="AE77" s="32">
        <v>0</v>
      </c>
      <c r="AF77" s="32">
        <v>0</v>
      </c>
      <c r="AG77" s="32">
        <v>0</v>
      </c>
      <c r="AH77" s="93">
        <v>0</v>
      </c>
      <c r="AI77" s="93">
        <v>0</v>
      </c>
      <c r="AJ77" s="93">
        <v>0</v>
      </c>
      <c r="AK77" s="32">
        <v>0</v>
      </c>
      <c r="AL77" s="32">
        <v>0</v>
      </c>
      <c r="AM77" s="32">
        <v>0</v>
      </c>
      <c r="AN77" s="32">
        <v>0</v>
      </c>
      <c r="AO77" s="32">
        <v>0</v>
      </c>
      <c r="AP77" s="32">
        <v>0</v>
      </c>
      <c r="AQ77" s="32">
        <v>0</v>
      </c>
      <c r="AR77" s="32">
        <v>0</v>
      </c>
      <c r="AS77" s="32">
        <v>0</v>
      </c>
      <c r="AT77" s="32">
        <v>0</v>
      </c>
      <c r="AU77" s="94">
        <f t="shared" si="48"/>
        <v>10</v>
      </c>
      <c r="AV77" s="95">
        <f t="shared" si="49"/>
        <v>171021.77999999997</v>
      </c>
      <c r="AW77" s="95">
        <f t="shared" si="50"/>
        <v>0</v>
      </c>
      <c r="AX77" s="95">
        <f t="shared" si="51"/>
        <v>19002.419999999998</v>
      </c>
      <c r="AY77" s="95">
        <f t="shared" si="52"/>
        <v>0</v>
      </c>
      <c r="AZ77" s="95">
        <f t="shared" si="53"/>
        <v>0</v>
      </c>
      <c r="BA77" s="95">
        <f t="shared" si="54"/>
        <v>0</v>
      </c>
      <c r="BB77" s="95">
        <f t="shared" si="55"/>
        <v>0</v>
      </c>
      <c r="BC77" s="96">
        <f t="shared" si="56"/>
        <v>0</v>
      </c>
      <c r="BD77" s="96">
        <f t="shared" si="57"/>
        <v>0</v>
      </c>
      <c r="BE77" s="96">
        <f t="shared" si="81"/>
        <v>0</v>
      </c>
      <c r="BF77" s="96">
        <f t="shared" si="59"/>
        <v>0</v>
      </c>
      <c r="BG77" s="96">
        <f t="shared" si="60"/>
        <v>0</v>
      </c>
      <c r="BH77" s="96">
        <f t="shared" si="61"/>
        <v>0</v>
      </c>
      <c r="BI77" s="96">
        <f t="shared" si="62"/>
        <v>0</v>
      </c>
      <c r="BJ77" s="96">
        <f t="shared" si="63"/>
        <v>0</v>
      </c>
      <c r="BK77" s="96">
        <f t="shared" si="64"/>
        <v>0</v>
      </c>
      <c r="BL77" s="96">
        <f t="shared" si="65"/>
        <v>45605.807999999997</v>
      </c>
      <c r="BM77" s="96">
        <f t="shared" si="66"/>
        <v>0</v>
      </c>
      <c r="BN77" s="96"/>
      <c r="BO77" s="95"/>
      <c r="BP77" s="95">
        <f t="shared" si="67"/>
        <v>0</v>
      </c>
      <c r="BQ77" s="95"/>
      <c r="BR77" s="95"/>
      <c r="BS77" s="95">
        <f t="shared" si="68"/>
        <v>0</v>
      </c>
      <c r="BT77" s="95">
        <f t="shared" si="69"/>
        <v>0</v>
      </c>
      <c r="BU77" s="95">
        <f t="shared" si="70"/>
        <v>0</v>
      </c>
      <c r="BV77" s="95">
        <f t="shared" si="71"/>
        <v>0</v>
      </c>
      <c r="BW77" s="95"/>
      <c r="BX77" s="95"/>
      <c r="BY77" s="95"/>
      <c r="BZ77" s="95"/>
      <c r="CA77" s="95">
        <f t="shared" si="44"/>
        <v>0</v>
      </c>
      <c r="CB77" s="97">
        <f t="shared" si="72"/>
        <v>235630.00799999994</v>
      </c>
      <c r="CC77" s="95"/>
      <c r="CD77" s="95"/>
      <c r="CE77" s="95">
        <f t="shared" si="73"/>
        <v>-7068.9002399999981</v>
      </c>
      <c r="CF77" s="95">
        <f t="shared" si="45"/>
        <v>-3534.4501199999991</v>
      </c>
      <c r="CG77" s="113"/>
      <c r="CH77" s="22"/>
      <c r="CI77" s="98">
        <f t="shared" si="74"/>
        <v>327337.20711359987</v>
      </c>
      <c r="CJ77" s="95">
        <f t="shared" si="75"/>
        <v>-9820.116213407995</v>
      </c>
      <c r="CK77" s="95">
        <f t="shared" si="46"/>
        <v>-4910.0581067039975</v>
      </c>
      <c r="CL77" s="95">
        <v>0</v>
      </c>
      <c r="CM77" s="99"/>
      <c r="CN77" s="99">
        <v>0</v>
      </c>
      <c r="CO77" s="110"/>
      <c r="CP77" s="99"/>
      <c r="CQ77" s="99"/>
      <c r="CR77" s="99"/>
      <c r="CS77" s="95"/>
      <c r="CT77" s="95"/>
      <c r="CU77" s="96"/>
      <c r="CV77" s="96"/>
      <c r="CW77" s="96"/>
      <c r="CX77" s="96"/>
      <c r="CY77" s="96"/>
      <c r="CZ77" s="93">
        <f t="shared" si="76"/>
        <v>0</v>
      </c>
      <c r="DA77" s="93">
        <f t="shared" si="77"/>
        <v>0</v>
      </c>
      <c r="DB77" s="95">
        <f t="shared" si="78"/>
        <v>537633.69043348788</v>
      </c>
      <c r="DC77" s="100">
        <f t="shared" si="79"/>
        <v>537634</v>
      </c>
      <c r="DD77" s="100"/>
      <c r="DE77" s="100">
        <f t="shared" si="80"/>
        <v>-537634</v>
      </c>
      <c r="DF77" s="13"/>
      <c r="DG77" s="2"/>
      <c r="DH77" s="46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</row>
    <row r="78" spans="1:156" s="1" customFormat="1" ht="12" customHeight="1" x14ac:dyDescent="0.2">
      <c r="A78" s="88">
        <f t="shared" si="47"/>
        <v>509848</v>
      </c>
      <c r="B78" s="21">
        <v>9848</v>
      </c>
      <c r="C78" s="21" t="s">
        <v>98</v>
      </c>
      <c r="D78" s="84" t="s">
        <v>184</v>
      </c>
      <c r="E78" s="114" t="s">
        <v>201</v>
      </c>
      <c r="F78" s="85">
        <v>0</v>
      </c>
      <c r="G78" s="84"/>
      <c r="H78" s="85"/>
      <c r="I78" s="86"/>
      <c r="J78" s="85">
        <v>0.15</v>
      </c>
      <c r="K78" s="21" t="s">
        <v>8</v>
      </c>
      <c r="L78" s="21"/>
      <c r="M78" s="87"/>
      <c r="N78" s="88"/>
      <c r="O78" s="88">
        <v>0</v>
      </c>
      <c r="P78" s="89">
        <f t="shared" si="40"/>
        <v>5401.2359999999999</v>
      </c>
      <c r="Q78" s="90">
        <f t="shared" si="41"/>
        <v>18004.12</v>
      </c>
      <c r="R78" s="90">
        <f t="shared" si="42"/>
        <v>25011.1211</v>
      </c>
      <c r="S78" s="91"/>
      <c r="T78" s="92">
        <v>11</v>
      </c>
      <c r="U78" s="32">
        <f t="shared" si="43"/>
        <v>11</v>
      </c>
      <c r="V78" s="32">
        <v>0</v>
      </c>
      <c r="W78" s="32">
        <v>1</v>
      </c>
      <c r="X78" s="93">
        <v>0</v>
      </c>
      <c r="Y78" s="32">
        <v>0</v>
      </c>
      <c r="Z78" s="32">
        <v>0</v>
      </c>
      <c r="AA78" s="32">
        <v>0</v>
      </c>
      <c r="AB78" s="32">
        <v>0</v>
      </c>
      <c r="AC78" s="32">
        <v>0</v>
      </c>
      <c r="AD78" s="93">
        <v>0</v>
      </c>
      <c r="AE78" s="32">
        <v>0</v>
      </c>
      <c r="AF78" s="32">
        <v>0</v>
      </c>
      <c r="AG78" s="32">
        <v>0</v>
      </c>
      <c r="AH78" s="93">
        <v>0</v>
      </c>
      <c r="AI78" s="93">
        <v>0</v>
      </c>
      <c r="AJ78" s="93">
        <v>0</v>
      </c>
      <c r="AK78" s="32">
        <v>0</v>
      </c>
      <c r="AL78" s="32">
        <v>0</v>
      </c>
      <c r="AM78" s="32">
        <v>0</v>
      </c>
      <c r="AN78" s="32">
        <v>0</v>
      </c>
      <c r="AO78" s="32">
        <v>0</v>
      </c>
      <c r="AP78" s="32">
        <v>0</v>
      </c>
      <c r="AQ78" s="32">
        <v>0</v>
      </c>
      <c r="AR78" s="32">
        <v>0</v>
      </c>
      <c r="AS78" s="32">
        <v>0</v>
      </c>
      <c r="AT78" s="32">
        <v>0</v>
      </c>
      <c r="AU78" s="94">
        <f t="shared" si="48"/>
        <v>12</v>
      </c>
      <c r="AV78" s="95">
        <f t="shared" si="49"/>
        <v>198045.31999999998</v>
      </c>
      <c r="AW78" s="95">
        <f t="shared" si="50"/>
        <v>0</v>
      </c>
      <c r="AX78" s="95">
        <f t="shared" si="51"/>
        <v>18004.12</v>
      </c>
      <c r="AY78" s="95">
        <f t="shared" si="52"/>
        <v>0</v>
      </c>
      <c r="AZ78" s="95">
        <f t="shared" si="53"/>
        <v>0</v>
      </c>
      <c r="BA78" s="95">
        <f t="shared" si="54"/>
        <v>0</v>
      </c>
      <c r="BB78" s="95">
        <f t="shared" si="55"/>
        <v>0</v>
      </c>
      <c r="BC78" s="96">
        <f t="shared" si="56"/>
        <v>0</v>
      </c>
      <c r="BD78" s="96">
        <f t="shared" si="57"/>
        <v>0</v>
      </c>
      <c r="BE78" s="96">
        <f t="shared" si="81"/>
        <v>0</v>
      </c>
      <c r="BF78" s="96">
        <f t="shared" si="59"/>
        <v>0</v>
      </c>
      <c r="BG78" s="96">
        <f t="shared" si="60"/>
        <v>0</v>
      </c>
      <c r="BH78" s="96">
        <f t="shared" si="61"/>
        <v>0</v>
      </c>
      <c r="BI78" s="96">
        <f t="shared" si="62"/>
        <v>0</v>
      </c>
      <c r="BJ78" s="96">
        <f t="shared" si="63"/>
        <v>0</v>
      </c>
      <c r="BK78" s="96">
        <f t="shared" si="64"/>
        <v>0</v>
      </c>
      <c r="BL78" s="96">
        <f t="shared" si="65"/>
        <v>0</v>
      </c>
      <c r="BM78" s="96">
        <f t="shared" si="66"/>
        <v>0</v>
      </c>
      <c r="BN78" s="96"/>
      <c r="BO78" s="95"/>
      <c r="BP78" s="95">
        <f t="shared" si="67"/>
        <v>0</v>
      </c>
      <c r="BQ78" s="95"/>
      <c r="BR78" s="95"/>
      <c r="BS78" s="95">
        <f t="shared" si="68"/>
        <v>0</v>
      </c>
      <c r="BT78" s="95">
        <f t="shared" si="69"/>
        <v>0</v>
      </c>
      <c r="BU78" s="95">
        <f t="shared" si="70"/>
        <v>0</v>
      </c>
      <c r="BV78" s="95">
        <f t="shared" si="71"/>
        <v>0</v>
      </c>
      <c r="BW78" s="95"/>
      <c r="BX78" s="95"/>
      <c r="BY78" s="95"/>
      <c r="BZ78" s="95"/>
      <c r="CA78" s="95">
        <f t="shared" si="44"/>
        <v>0</v>
      </c>
      <c r="CB78" s="97">
        <f t="shared" si="72"/>
        <v>216049.43999999997</v>
      </c>
      <c r="CC78" s="95"/>
      <c r="CD78" s="95"/>
      <c r="CE78" s="95">
        <f t="shared" si="73"/>
        <v>-6481.4831999999988</v>
      </c>
      <c r="CF78" s="95">
        <f t="shared" si="45"/>
        <v>-2160.4943999999996</v>
      </c>
      <c r="CG78" s="113"/>
      <c r="CH78" s="22"/>
      <c r="CI78" s="98">
        <f t="shared" si="74"/>
        <v>300135.88204799994</v>
      </c>
      <c r="CJ78" s="95">
        <f t="shared" si="75"/>
        <v>-9004.0764614399977</v>
      </c>
      <c r="CK78" s="95">
        <f t="shared" si="46"/>
        <v>-3001.3588204799994</v>
      </c>
      <c r="CL78" s="95">
        <v>0</v>
      </c>
      <c r="CM78" s="99"/>
      <c r="CN78" s="99">
        <v>0</v>
      </c>
      <c r="CO78" s="110"/>
      <c r="CP78" s="99"/>
      <c r="CQ78" s="99"/>
      <c r="CR78" s="99"/>
      <c r="CS78" s="95"/>
      <c r="CT78" s="95"/>
      <c r="CU78" s="96"/>
      <c r="CV78" s="96"/>
      <c r="CW78" s="96"/>
      <c r="CX78" s="96"/>
      <c r="CY78" s="96"/>
      <c r="CZ78" s="93">
        <f t="shared" si="76"/>
        <v>0</v>
      </c>
      <c r="DA78" s="93">
        <f t="shared" si="77"/>
        <v>-74330.686374911995</v>
      </c>
      <c r="DB78" s="95">
        <f t="shared" si="78"/>
        <v>421207.22279116797</v>
      </c>
      <c r="DC78" s="100">
        <f t="shared" si="79"/>
        <v>421207</v>
      </c>
      <c r="DD78" s="100"/>
      <c r="DE78" s="100">
        <f t="shared" si="80"/>
        <v>-421207</v>
      </c>
      <c r="DF78" s="13"/>
      <c r="DG78" s="2"/>
      <c r="DH78" s="46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</row>
    <row r="79" spans="1:156" s="1" customFormat="1" ht="12" hidden="1" customHeight="1" x14ac:dyDescent="0.2">
      <c r="A79" s="88">
        <f t="shared" si="47"/>
        <v>509704</v>
      </c>
      <c r="B79" s="21">
        <v>9704</v>
      </c>
      <c r="C79" s="21" t="s">
        <v>98</v>
      </c>
      <c r="D79" s="84" t="s">
        <v>140</v>
      </c>
      <c r="E79" s="115" t="s">
        <v>202</v>
      </c>
      <c r="F79" s="85">
        <v>3</v>
      </c>
      <c r="G79" s="84"/>
      <c r="H79" s="85"/>
      <c r="I79" s="86"/>
      <c r="J79" s="85"/>
      <c r="K79" s="21" t="s">
        <v>10</v>
      </c>
      <c r="L79" s="21"/>
      <c r="M79" s="87"/>
      <c r="N79" s="88"/>
      <c r="O79" s="88">
        <v>9</v>
      </c>
      <c r="P79" s="89">
        <f t="shared" si="40"/>
        <v>5700.7259999999997</v>
      </c>
      <c r="Q79" s="90">
        <f t="shared" si="41"/>
        <v>19002.419999999998</v>
      </c>
      <c r="R79" s="90">
        <f t="shared" si="42"/>
        <v>26397.963600000003</v>
      </c>
      <c r="S79" s="91"/>
      <c r="T79" s="92">
        <v>0</v>
      </c>
      <c r="U79" s="32">
        <f t="shared" si="43"/>
        <v>0</v>
      </c>
      <c r="V79" s="32">
        <v>0</v>
      </c>
      <c r="W79" s="32">
        <v>0</v>
      </c>
      <c r="X79" s="93">
        <v>0</v>
      </c>
      <c r="Y79" s="32">
        <v>0</v>
      </c>
      <c r="Z79" s="32">
        <v>0</v>
      </c>
      <c r="AA79" s="32">
        <v>0</v>
      </c>
      <c r="AB79" s="32">
        <v>0</v>
      </c>
      <c r="AC79" s="32">
        <v>0</v>
      </c>
      <c r="AD79" s="93">
        <v>0</v>
      </c>
      <c r="AE79" s="32">
        <v>0</v>
      </c>
      <c r="AF79" s="32">
        <v>0</v>
      </c>
      <c r="AG79" s="32">
        <v>0</v>
      </c>
      <c r="AH79" s="93">
        <v>0</v>
      </c>
      <c r="AI79" s="93">
        <v>0</v>
      </c>
      <c r="AJ79" s="93">
        <v>0</v>
      </c>
      <c r="AK79" s="32">
        <v>0</v>
      </c>
      <c r="AL79" s="32">
        <v>0</v>
      </c>
      <c r="AM79" s="32">
        <v>0</v>
      </c>
      <c r="AN79" s="32">
        <v>0</v>
      </c>
      <c r="AO79" s="32">
        <v>0</v>
      </c>
      <c r="AP79" s="32">
        <v>0</v>
      </c>
      <c r="AQ79" s="32">
        <v>0</v>
      </c>
      <c r="AR79" s="32">
        <v>0</v>
      </c>
      <c r="AS79" s="32">
        <v>0</v>
      </c>
      <c r="AT79" s="32">
        <v>0</v>
      </c>
      <c r="AU79" s="94">
        <f t="shared" si="48"/>
        <v>0</v>
      </c>
      <c r="AV79" s="95">
        <f t="shared" si="49"/>
        <v>0</v>
      </c>
      <c r="AW79" s="95">
        <f t="shared" si="50"/>
        <v>0</v>
      </c>
      <c r="AX79" s="95">
        <f t="shared" si="51"/>
        <v>0</v>
      </c>
      <c r="AY79" s="95">
        <f t="shared" si="52"/>
        <v>0</v>
      </c>
      <c r="AZ79" s="95">
        <f t="shared" si="53"/>
        <v>0</v>
      </c>
      <c r="BA79" s="95">
        <f t="shared" si="54"/>
        <v>0</v>
      </c>
      <c r="BB79" s="95">
        <f t="shared" si="55"/>
        <v>0</v>
      </c>
      <c r="BC79" s="96">
        <f t="shared" si="56"/>
        <v>0</v>
      </c>
      <c r="BD79" s="96">
        <f t="shared" si="57"/>
        <v>0</v>
      </c>
      <c r="BE79" s="96">
        <f t="shared" si="81"/>
        <v>0</v>
      </c>
      <c r="BF79" s="96">
        <f t="shared" si="59"/>
        <v>0</v>
      </c>
      <c r="BG79" s="96">
        <f t="shared" si="60"/>
        <v>0</v>
      </c>
      <c r="BH79" s="96">
        <f t="shared" si="61"/>
        <v>0</v>
      </c>
      <c r="BI79" s="96">
        <f t="shared" si="62"/>
        <v>0</v>
      </c>
      <c r="BJ79" s="96">
        <f t="shared" si="63"/>
        <v>0</v>
      </c>
      <c r="BK79" s="96">
        <f t="shared" si="64"/>
        <v>0</v>
      </c>
      <c r="BL79" s="96">
        <f t="shared" si="65"/>
        <v>0</v>
      </c>
      <c r="BM79" s="96">
        <f t="shared" si="66"/>
        <v>0</v>
      </c>
      <c r="BN79" s="96"/>
      <c r="BO79" s="95"/>
      <c r="BP79" s="95">
        <f t="shared" si="67"/>
        <v>0</v>
      </c>
      <c r="BQ79" s="95"/>
      <c r="BR79" s="95"/>
      <c r="BS79" s="95">
        <f t="shared" si="68"/>
        <v>0</v>
      </c>
      <c r="BT79" s="95">
        <f t="shared" si="69"/>
        <v>0</v>
      </c>
      <c r="BU79" s="95">
        <f t="shared" si="70"/>
        <v>0</v>
      </c>
      <c r="BV79" s="95">
        <f t="shared" si="71"/>
        <v>0</v>
      </c>
      <c r="BW79" s="95"/>
      <c r="BX79" s="95"/>
      <c r="BY79" s="95"/>
      <c r="BZ79" s="95"/>
      <c r="CA79" s="95">
        <f t="shared" si="44"/>
        <v>0</v>
      </c>
      <c r="CB79" s="97">
        <f t="shared" si="72"/>
        <v>0</v>
      </c>
      <c r="CC79" s="95"/>
      <c r="CD79" s="95"/>
      <c r="CE79" s="95">
        <f t="shared" si="73"/>
        <v>0</v>
      </c>
      <c r="CF79" s="95">
        <f t="shared" si="45"/>
        <v>0</v>
      </c>
      <c r="CG79" s="113"/>
      <c r="CH79" s="22"/>
      <c r="CI79" s="98">
        <f t="shared" si="74"/>
        <v>0</v>
      </c>
      <c r="CJ79" s="95">
        <f t="shared" si="75"/>
        <v>0</v>
      </c>
      <c r="CK79" s="95">
        <f t="shared" si="46"/>
        <v>0</v>
      </c>
      <c r="CL79" s="95">
        <v>0</v>
      </c>
      <c r="CM79" s="99"/>
      <c r="CN79" s="99">
        <v>0</v>
      </c>
      <c r="CO79" s="110"/>
      <c r="CP79" s="99"/>
      <c r="CQ79" s="99"/>
      <c r="CR79" s="99"/>
      <c r="CS79" s="95"/>
      <c r="CT79" s="95"/>
      <c r="CU79" s="96"/>
      <c r="CV79" s="96"/>
      <c r="CW79" s="96"/>
      <c r="CX79" s="96"/>
      <c r="CY79" s="96"/>
      <c r="CZ79" s="93">
        <f t="shared" si="76"/>
        <v>0</v>
      </c>
      <c r="DA79" s="93">
        <f t="shared" si="77"/>
        <v>0</v>
      </c>
      <c r="DB79" s="95">
        <f t="shared" si="78"/>
        <v>0</v>
      </c>
      <c r="DC79" s="100">
        <f t="shared" si="79"/>
        <v>0</v>
      </c>
      <c r="DD79" s="100"/>
      <c r="DE79" s="100">
        <f t="shared" si="80"/>
        <v>0</v>
      </c>
      <c r="DF79" s="13"/>
      <c r="DG79" s="2"/>
      <c r="DH79" s="46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</row>
    <row r="80" spans="1:156" s="1" customFormat="1" ht="12" customHeight="1" x14ac:dyDescent="0.2">
      <c r="A80" s="88">
        <f t="shared" si="47"/>
        <v>509647</v>
      </c>
      <c r="B80" s="21">
        <v>9647</v>
      </c>
      <c r="C80" s="21" t="s">
        <v>98</v>
      </c>
      <c r="D80" s="84" t="s">
        <v>107</v>
      </c>
      <c r="E80" s="115" t="s">
        <v>202</v>
      </c>
      <c r="F80" s="85">
        <v>0</v>
      </c>
      <c r="G80" s="84"/>
      <c r="H80" s="85"/>
      <c r="I80" s="86"/>
      <c r="J80" s="85"/>
      <c r="K80" s="21" t="s">
        <v>8</v>
      </c>
      <c r="L80" s="21"/>
      <c r="M80" s="87"/>
      <c r="N80" s="88"/>
      <c r="O80" s="88">
        <v>8</v>
      </c>
      <c r="P80" s="89">
        <f t="shared" si="40"/>
        <v>5401.2359999999999</v>
      </c>
      <c r="Q80" s="90">
        <f t="shared" si="41"/>
        <v>18004.12</v>
      </c>
      <c r="R80" s="90">
        <f t="shared" si="42"/>
        <v>25011.1211</v>
      </c>
      <c r="S80" s="91"/>
      <c r="T80" s="92">
        <v>7</v>
      </c>
      <c r="U80" s="32">
        <f t="shared" si="43"/>
        <v>7</v>
      </c>
      <c r="V80" s="32">
        <v>0</v>
      </c>
      <c r="W80" s="32">
        <v>0</v>
      </c>
      <c r="X80" s="93">
        <v>0</v>
      </c>
      <c r="Y80" s="32">
        <v>0</v>
      </c>
      <c r="Z80" s="32">
        <v>0</v>
      </c>
      <c r="AA80" s="32">
        <v>0</v>
      </c>
      <c r="AB80" s="32">
        <v>0</v>
      </c>
      <c r="AC80" s="32">
        <v>0</v>
      </c>
      <c r="AD80" s="93">
        <v>0</v>
      </c>
      <c r="AE80" s="32">
        <v>0</v>
      </c>
      <c r="AF80" s="32">
        <v>0</v>
      </c>
      <c r="AG80" s="32">
        <v>0</v>
      </c>
      <c r="AH80" s="93">
        <v>0</v>
      </c>
      <c r="AI80" s="93">
        <v>0</v>
      </c>
      <c r="AJ80" s="93">
        <v>0</v>
      </c>
      <c r="AK80" s="32">
        <v>0</v>
      </c>
      <c r="AL80" s="32">
        <v>0</v>
      </c>
      <c r="AM80" s="32">
        <v>0</v>
      </c>
      <c r="AN80" s="32">
        <v>0</v>
      </c>
      <c r="AO80" s="32">
        <v>0</v>
      </c>
      <c r="AP80" s="32">
        <v>0</v>
      </c>
      <c r="AQ80" s="32">
        <v>0</v>
      </c>
      <c r="AR80" s="32">
        <v>0</v>
      </c>
      <c r="AS80" s="32">
        <v>0</v>
      </c>
      <c r="AT80" s="32">
        <v>0</v>
      </c>
      <c r="AU80" s="94">
        <f t="shared" si="48"/>
        <v>7</v>
      </c>
      <c r="AV80" s="95">
        <f t="shared" si="49"/>
        <v>126028.84</v>
      </c>
      <c r="AW80" s="95">
        <f t="shared" si="50"/>
        <v>0</v>
      </c>
      <c r="AX80" s="95">
        <f t="shared" si="51"/>
        <v>0</v>
      </c>
      <c r="AY80" s="95">
        <f t="shared" si="52"/>
        <v>0</v>
      </c>
      <c r="AZ80" s="95">
        <f t="shared" si="53"/>
        <v>0</v>
      </c>
      <c r="BA80" s="95">
        <f t="shared" si="54"/>
        <v>0</v>
      </c>
      <c r="BB80" s="95">
        <f t="shared" si="55"/>
        <v>0</v>
      </c>
      <c r="BC80" s="96">
        <f t="shared" si="56"/>
        <v>0</v>
      </c>
      <c r="BD80" s="96">
        <f t="shared" si="57"/>
        <v>0</v>
      </c>
      <c r="BE80" s="96">
        <f t="shared" si="81"/>
        <v>0</v>
      </c>
      <c r="BF80" s="96">
        <f t="shared" si="59"/>
        <v>0</v>
      </c>
      <c r="BG80" s="96">
        <f t="shared" si="60"/>
        <v>0</v>
      </c>
      <c r="BH80" s="96">
        <f t="shared" si="61"/>
        <v>0</v>
      </c>
      <c r="BI80" s="96">
        <f t="shared" si="62"/>
        <v>0</v>
      </c>
      <c r="BJ80" s="96">
        <f t="shared" si="63"/>
        <v>0</v>
      </c>
      <c r="BK80" s="96">
        <f t="shared" si="64"/>
        <v>0</v>
      </c>
      <c r="BL80" s="96">
        <f t="shared" si="65"/>
        <v>12098.76864</v>
      </c>
      <c r="BM80" s="96">
        <f t="shared" si="66"/>
        <v>0</v>
      </c>
      <c r="BN80" s="96"/>
      <c r="BO80" s="95"/>
      <c r="BP80" s="95">
        <f t="shared" si="67"/>
        <v>0</v>
      </c>
      <c r="BQ80" s="95"/>
      <c r="BR80" s="95"/>
      <c r="BS80" s="95">
        <f t="shared" si="68"/>
        <v>0</v>
      </c>
      <c r="BT80" s="95">
        <f t="shared" si="69"/>
        <v>0</v>
      </c>
      <c r="BU80" s="95">
        <f t="shared" si="70"/>
        <v>0</v>
      </c>
      <c r="BV80" s="95">
        <f t="shared" si="71"/>
        <v>0</v>
      </c>
      <c r="BW80" s="95"/>
      <c r="BX80" s="95"/>
      <c r="BY80" s="95"/>
      <c r="BZ80" s="95"/>
      <c r="CA80" s="95">
        <f t="shared" si="44"/>
        <v>0</v>
      </c>
      <c r="CB80" s="97">
        <f t="shared" si="72"/>
        <v>138127.60863999999</v>
      </c>
      <c r="CC80" s="95"/>
      <c r="CD80" s="95"/>
      <c r="CE80" s="95">
        <f t="shared" si="73"/>
        <v>-4143.8282591999996</v>
      </c>
      <c r="CF80" s="95">
        <f t="shared" si="45"/>
        <v>-2071.9141295999998</v>
      </c>
      <c r="CG80" s="113"/>
      <c r="CH80" s="22"/>
      <c r="CI80" s="98">
        <f t="shared" si="74"/>
        <v>191886.87392268796</v>
      </c>
      <c r="CJ80" s="95">
        <f t="shared" si="75"/>
        <v>-5756.6062176806381</v>
      </c>
      <c r="CK80" s="95">
        <f t="shared" si="46"/>
        <v>-2878.3031088403191</v>
      </c>
      <c r="CL80" s="95">
        <v>0</v>
      </c>
      <c r="CM80" s="99"/>
      <c r="CN80" s="99">
        <v>0</v>
      </c>
      <c r="CO80" s="110"/>
      <c r="CP80" s="99"/>
      <c r="CQ80" s="99"/>
      <c r="CR80" s="99"/>
      <c r="CS80" s="95"/>
      <c r="CT80" s="95"/>
      <c r="CU80" s="96"/>
      <c r="CV80" s="96"/>
      <c r="CW80" s="96"/>
      <c r="CX80" s="96"/>
      <c r="CY80" s="96"/>
      <c r="CZ80" s="93">
        <f t="shared" si="76"/>
        <v>0</v>
      </c>
      <c r="DA80" s="93">
        <f t="shared" si="77"/>
        <v>0</v>
      </c>
      <c r="DB80" s="95">
        <f t="shared" si="78"/>
        <v>315163.830847367</v>
      </c>
      <c r="DC80" s="100">
        <f t="shared" si="79"/>
        <v>315164</v>
      </c>
      <c r="DD80" s="100"/>
      <c r="DE80" s="100">
        <f t="shared" si="80"/>
        <v>-315164</v>
      </c>
      <c r="DF80" s="13"/>
      <c r="DG80" s="2"/>
      <c r="DH80" s="46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</row>
    <row r="81" spans="1:156" s="1" customFormat="1" ht="12" customHeight="1" x14ac:dyDescent="0.2">
      <c r="A81" s="88">
        <f t="shared" si="47"/>
        <v>509637</v>
      </c>
      <c r="B81" s="21">
        <v>9637</v>
      </c>
      <c r="C81" s="21" t="s">
        <v>98</v>
      </c>
      <c r="D81" s="84" t="s">
        <v>101</v>
      </c>
      <c r="E81" s="115" t="s">
        <v>202</v>
      </c>
      <c r="F81" s="85">
        <v>3</v>
      </c>
      <c r="G81" s="84"/>
      <c r="H81" s="85"/>
      <c r="I81" s="86">
        <v>0.2</v>
      </c>
      <c r="J81" s="85"/>
      <c r="K81" s="21" t="s">
        <v>10</v>
      </c>
      <c r="L81" s="21"/>
      <c r="M81" s="87"/>
      <c r="N81" s="88"/>
      <c r="O81" s="88">
        <v>10</v>
      </c>
      <c r="P81" s="89">
        <f t="shared" si="40"/>
        <v>5700.7259999999997</v>
      </c>
      <c r="Q81" s="90">
        <f t="shared" si="41"/>
        <v>19002.419999999998</v>
      </c>
      <c r="R81" s="90">
        <f t="shared" si="42"/>
        <v>26397.963600000003</v>
      </c>
      <c r="S81" s="91"/>
      <c r="T81" s="92">
        <v>6</v>
      </c>
      <c r="U81" s="32">
        <f t="shared" si="43"/>
        <v>6</v>
      </c>
      <c r="V81" s="32">
        <v>0</v>
      </c>
      <c r="W81" s="32">
        <v>0</v>
      </c>
      <c r="X81" s="93">
        <v>0</v>
      </c>
      <c r="Y81" s="32">
        <v>0</v>
      </c>
      <c r="Z81" s="32">
        <v>0</v>
      </c>
      <c r="AA81" s="32">
        <v>0</v>
      </c>
      <c r="AB81" s="32">
        <v>0</v>
      </c>
      <c r="AC81" s="32">
        <v>0</v>
      </c>
      <c r="AD81" s="93">
        <v>0</v>
      </c>
      <c r="AE81" s="32">
        <v>0</v>
      </c>
      <c r="AF81" s="32">
        <v>0</v>
      </c>
      <c r="AG81" s="32">
        <v>0</v>
      </c>
      <c r="AH81" s="93">
        <v>0</v>
      </c>
      <c r="AI81" s="93">
        <v>0</v>
      </c>
      <c r="AJ81" s="93">
        <v>0</v>
      </c>
      <c r="AK81" s="32">
        <v>0</v>
      </c>
      <c r="AL81" s="32">
        <v>0</v>
      </c>
      <c r="AM81" s="32">
        <v>0</v>
      </c>
      <c r="AN81" s="32">
        <v>0</v>
      </c>
      <c r="AO81" s="32">
        <v>0</v>
      </c>
      <c r="AP81" s="32">
        <v>0</v>
      </c>
      <c r="AQ81" s="32">
        <v>0</v>
      </c>
      <c r="AR81" s="32">
        <v>0</v>
      </c>
      <c r="AS81" s="32">
        <v>0</v>
      </c>
      <c r="AT81" s="32">
        <v>0</v>
      </c>
      <c r="AU81" s="94">
        <f t="shared" si="48"/>
        <v>6</v>
      </c>
      <c r="AV81" s="95">
        <f t="shared" si="49"/>
        <v>114014.51999999999</v>
      </c>
      <c r="AW81" s="95">
        <f t="shared" si="50"/>
        <v>0</v>
      </c>
      <c r="AX81" s="95">
        <f t="shared" si="51"/>
        <v>0</v>
      </c>
      <c r="AY81" s="95">
        <f t="shared" si="52"/>
        <v>0</v>
      </c>
      <c r="AZ81" s="95">
        <f t="shared" si="53"/>
        <v>0</v>
      </c>
      <c r="BA81" s="95">
        <f t="shared" si="54"/>
        <v>0</v>
      </c>
      <c r="BB81" s="95">
        <f t="shared" si="55"/>
        <v>0</v>
      </c>
      <c r="BC81" s="96">
        <f t="shared" si="56"/>
        <v>0</v>
      </c>
      <c r="BD81" s="96">
        <f t="shared" si="57"/>
        <v>0</v>
      </c>
      <c r="BE81" s="96">
        <f t="shared" si="81"/>
        <v>0</v>
      </c>
      <c r="BF81" s="96">
        <f t="shared" si="59"/>
        <v>0</v>
      </c>
      <c r="BG81" s="96">
        <f t="shared" si="60"/>
        <v>0</v>
      </c>
      <c r="BH81" s="96">
        <f t="shared" si="61"/>
        <v>0</v>
      </c>
      <c r="BI81" s="96">
        <f t="shared" si="62"/>
        <v>0</v>
      </c>
      <c r="BJ81" s="96">
        <f t="shared" si="63"/>
        <v>0</v>
      </c>
      <c r="BK81" s="96">
        <f t="shared" si="64"/>
        <v>0</v>
      </c>
      <c r="BL81" s="96">
        <f t="shared" si="65"/>
        <v>13681.742399999999</v>
      </c>
      <c r="BM81" s="96">
        <f t="shared" si="66"/>
        <v>0</v>
      </c>
      <c r="BN81" s="96"/>
      <c r="BO81" s="95"/>
      <c r="BP81" s="95">
        <f t="shared" si="67"/>
        <v>0</v>
      </c>
      <c r="BQ81" s="95"/>
      <c r="BR81" s="95"/>
      <c r="BS81" s="95">
        <f t="shared" si="68"/>
        <v>0</v>
      </c>
      <c r="BT81" s="95">
        <f t="shared" si="69"/>
        <v>0</v>
      </c>
      <c r="BU81" s="95">
        <f t="shared" si="70"/>
        <v>0</v>
      </c>
      <c r="BV81" s="95">
        <f t="shared" si="71"/>
        <v>0</v>
      </c>
      <c r="BW81" s="95"/>
      <c r="BX81" s="95"/>
      <c r="BY81" s="95"/>
      <c r="BZ81" s="95"/>
      <c r="CA81" s="95">
        <f t="shared" si="44"/>
        <v>0</v>
      </c>
      <c r="CB81" s="97">
        <f t="shared" si="72"/>
        <v>127696.26239999999</v>
      </c>
      <c r="CC81" s="95"/>
      <c r="CD81" s="95"/>
      <c r="CE81" s="95">
        <f t="shared" si="73"/>
        <v>-3830.8878719999998</v>
      </c>
      <c r="CF81" s="95">
        <f t="shared" si="45"/>
        <v>-1915.4439359999999</v>
      </c>
      <c r="CG81" s="113"/>
      <c r="CH81" s="22"/>
      <c r="CI81" s="98">
        <f t="shared" si="74"/>
        <v>177395.64772607997</v>
      </c>
      <c r="CJ81" s="95">
        <f t="shared" si="75"/>
        <v>-5321.8694317823993</v>
      </c>
      <c r="CK81" s="95">
        <f t="shared" si="46"/>
        <v>-2660.9347158911996</v>
      </c>
      <c r="CL81" s="95">
        <v>0</v>
      </c>
      <c r="CM81" s="99"/>
      <c r="CN81" s="99">
        <v>0</v>
      </c>
      <c r="CO81" s="110"/>
      <c r="CP81" s="99"/>
      <c r="CQ81" s="99"/>
      <c r="CR81" s="99"/>
      <c r="CS81" s="95"/>
      <c r="CT81" s="95"/>
      <c r="CU81" s="96"/>
      <c r="CV81" s="96"/>
      <c r="CW81" s="96"/>
      <c r="CX81" s="96"/>
      <c r="CY81" s="96"/>
      <c r="CZ81" s="93">
        <f t="shared" si="76"/>
        <v>-24389.9861184</v>
      </c>
      <c r="DA81" s="93">
        <f t="shared" si="77"/>
        <v>0</v>
      </c>
      <c r="DB81" s="95">
        <f t="shared" si="78"/>
        <v>266972.78805200633</v>
      </c>
      <c r="DC81" s="100">
        <f t="shared" si="79"/>
        <v>266973</v>
      </c>
      <c r="DD81" s="100"/>
      <c r="DE81" s="100">
        <f t="shared" si="80"/>
        <v>-266973</v>
      </c>
      <c r="DF81" s="13"/>
      <c r="DG81" s="2"/>
      <c r="DH81" s="46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</row>
    <row r="82" spans="1:156" s="1" customFormat="1" ht="12" customHeight="1" x14ac:dyDescent="0.2">
      <c r="A82" s="88">
        <f t="shared" ref="A82:A113" si="82">500000+B82</f>
        <v>509636</v>
      </c>
      <c r="B82" s="21">
        <v>9636</v>
      </c>
      <c r="C82" s="21" t="s">
        <v>98</v>
      </c>
      <c r="D82" s="84" t="s">
        <v>100</v>
      </c>
      <c r="E82" s="115" t="s">
        <v>202</v>
      </c>
      <c r="F82" s="85">
        <v>3</v>
      </c>
      <c r="G82" s="84"/>
      <c r="H82" s="85"/>
      <c r="I82" s="86"/>
      <c r="J82" s="85"/>
      <c r="K82" s="21" t="s">
        <v>10</v>
      </c>
      <c r="L82" s="21"/>
      <c r="M82" s="87"/>
      <c r="N82" s="88"/>
      <c r="O82" s="88">
        <v>9</v>
      </c>
      <c r="P82" s="89">
        <f t="shared" si="40"/>
        <v>5700.7259999999997</v>
      </c>
      <c r="Q82" s="90">
        <f t="shared" si="41"/>
        <v>19002.419999999998</v>
      </c>
      <c r="R82" s="90">
        <f t="shared" si="42"/>
        <v>26397.963600000003</v>
      </c>
      <c r="S82" s="91"/>
      <c r="T82" s="92">
        <v>7</v>
      </c>
      <c r="U82" s="32">
        <f t="shared" si="43"/>
        <v>7</v>
      </c>
      <c r="V82" s="32">
        <v>0</v>
      </c>
      <c r="W82" s="32">
        <v>0</v>
      </c>
      <c r="X82" s="93">
        <v>0</v>
      </c>
      <c r="Y82" s="32">
        <v>0</v>
      </c>
      <c r="Z82" s="32">
        <v>0</v>
      </c>
      <c r="AA82" s="32">
        <v>0</v>
      </c>
      <c r="AB82" s="32">
        <v>0</v>
      </c>
      <c r="AC82" s="32">
        <v>0</v>
      </c>
      <c r="AD82" s="93">
        <v>0</v>
      </c>
      <c r="AE82" s="32">
        <v>0</v>
      </c>
      <c r="AF82" s="32">
        <v>0</v>
      </c>
      <c r="AG82" s="32">
        <v>0</v>
      </c>
      <c r="AH82" s="93">
        <v>0</v>
      </c>
      <c r="AI82" s="93">
        <v>0</v>
      </c>
      <c r="AJ82" s="93">
        <v>0</v>
      </c>
      <c r="AK82" s="32">
        <v>0</v>
      </c>
      <c r="AL82" s="32">
        <v>0</v>
      </c>
      <c r="AM82" s="32">
        <v>0</v>
      </c>
      <c r="AN82" s="32">
        <v>0</v>
      </c>
      <c r="AO82" s="32">
        <v>0</v>
      </c>
      <c r="AP82" s="32">
        <v>0</v>
      </c>
      <c r="AQ82" s="32">
        <v>0</v>
      </c>
      <c r="AR82" s="32">
        <v>0</v>
      </c>
      <c r="AS82" s="32">
        <v>0</v>
      </c>
      <c r="AT82" s="32">
        <v>0</v>
      </c>
      <c r="AU82" s="94">
        <f t="shared" ref="AU82:AU113" si="83">+U82+V82+W82+Y82-Z82-AB82-AC82-AD82-AE82+AF82-AG82+AJ82</f>
        <v>7</v>
      </c>
      <c r="AV82" s="95">
        <f t="shared" ref="AV82:AV113" si="84">+Q82*U82</f>
        <v>133016.94</v>
      </c>
      <c r="AW82" s="95">
        <f t="shared" ref="AW82:AW113" si="85">+Q82*V82</f>
        <v>0</v>
      </c>
      <c r="AX82" s="95">
        <f t="shared" ref="AX82:AX113" si="86">+Q82*W82</f>
        <v>0</v>
      </c>
      <c r="AY82" s="95">
        <f t="shared" ref="AY82:AY113" si="87">+Q82*X82</f>
        <v>0</v>
      </c>
      <c r="AZ82" s="95">
        <f t="shared" ref="AZ82:AZ113" si="88">+(Q82*1.0833*Y82)+((P82*O82)/25*Y82)</f>
        <v>0</v>
      </c>
      <c r="BA82" s="95">
        <f t="shared" ref="BA82:BA113" si="89">-Q82/8*Z82</f>
        <v>0</v>
      </c>
      <c r="BB82" s="95">
        <f t="shared" ref="BB82:BB113" si="90">+Q82/8*AA82</f>
        <v>0</v>
      </c>
      <c r="BC82" s="96">
        <f t="shared" ref="BC82:BC113" si="91">-Q82*AB82</f>
        <v>0</v>
      </c>
      <c r="BD82" s="96">
        <f t="shared" ref="BD82:BD113" si="92">-Q82*AC82</f>
        <v>0</v>
      </c>
      <c r="BE82" s="96">
        <f t="shared" si="81"/>
        <v>0</v>
      </c>
      <c r="BF82" s="96">
        <f t="shared" ref="BF82:BF113" si="93">-Q82*AE82</f>
        <v>0</v>
      </c>
      <c r="BG82" s="96">
        <f t="shared" ref="BG82:BG113" si="94">+Q82*AF82</f>
        <v>0</v>
      </c>
      <c r="BH82" s="96">
        <f t="shared" ref="BH82:BH113" si="95">-Q82*AG82</f>
        <v>0</v>
      </c>
      <c r="BI82" s="96">
        <f t="shared" ref="BI82:BI113" si="96">+Q82*AI82</f>
        <v>0</v>
      </c>
      <c r="BJ82" s="96">
        <f t="shared" ref="BJ82:BJ113" si="97">+Q82*AH82</f>
        <v>0</v>
      </c>
      <c r="BK82" s="96">
        <f t="shared" ref="BK82:BK113" si="98">+Q82*AJ82</f>
        <v>0</v>
      </c>
      <c r="BL82" s="96">
        <f t="shared" ref="BL82:BL113" si="99">+(P82*O82)/25*(U82+V82+W82-Z82-AB82-AC82-AD82-AE82+AF82-AG82)</f>
        <v>14365.829519999999</v>
      </c>
      <c r="BM82" s="96">
        <f t="shared" ref="BM82:BM113" si="100">+$BM$15/25*(U82+V82+Y82+AF82+AH82+AI82)*0</f>
        <v>0</v>
      </c>
      <c r="BN82" s="96"/>
      <c r="BO82" s="95"/>
      <c r="BP82" s="95">
        <f t="shared" ref="BP82:BP113" si="101">+M82*(AU82+AH82+AI82)</f>
        <v>0</v>
      </c>
      <c r="BQ82" s="95"/>
      <c r="BR82" s="95"/>
      <c r="BS82" s="95">
        <f t="shared" ref="BS82:BS113" si="102">+$BS$15*AM82</f>
        <v>0</v>
      </c>
      <c r="BT82" s="95">
        <f t="shared" ref="BT82:BT113" si="103">+$BT$15*AN82</f>
        <v>0</v>
      </c>
      <c r="BU82" s="95">
        <f t="shared" ref="BU82:BU113" si="104">+$BU$15*AO82</f>
        <v>0</v>
      </c>
      <c r="BV82" s="95">
        <f t="shared" ref="BV82:BV113" si="105">+$BV$15*AP82</f>
        <v>0</v>
      </c>
      <c r="BW82" s="95"/>
      <c r="BX82" s="95"/>
      <c r="BY82" s="95"/>
      <c r="BZ82" s="95"/>
      <c r="CA82" s="95">
        <f t="shared" si="44"/>
        <v>0</v>
      </c>
      <c r="CB82" s="97">
        <f t="shared" ref="CB82:CB113" si="106">SUM(AV82:CA82)</f>
        <v>147382.76952</v>
      </c>
      <c r="CC82" s="95"/>
      <c r="CD82" s="95"/>
      <c r="CE82" s="95">
        <f t="shared" ref="CE82:CE113" si="107">-MIN(CB82,$CC$12)*$CD$15</f>
        <v>-4421.4830855999999</v>
      </c>
      <c r="CF82" s="95">
        <f t="shared" si="45"/>
        <v>-2210.7415427999999</v>
      </c>
      <c r="CG82" s="113"/>
      <c r="CH82" s="22"/>
      <c r="CI82" s="98">
        <f t="shared" ref="CI82:CI113" si="108">+IF(H82&gt;59,0,(CB82*138.92%))</f>
        <v>204744.14341718398</v>
      </c>
      <c r="CJ82" s="95">
        <f t="shared" ref="CJ82:CJ113" si="109">-MIN(CI82,$CC$12)*$CD$15</f>
        <v>-6142.3243025155189</v>
      </c>
      <c r="CK82" s="95">
        <f t="shared" si="46"/>
        <v>-3071.1621512577594</v>
      </c>
      <c r="CL82" s="95">
        <v>0</v>
      </c>
      <c r="CM82" s="99"/>
      <c r="CN82" s="99">
        <v>0</v>
      </c>
      <c r="CO82" s="110"/>
      <c r="CP82" s="99"/>
      <c r="CQ82" s="99"/>
      <c r="CR82" s="99"/>
      <c r="CS82" s="95"/>
      <c r="CT82" s="95"/>
      <c r="CU82" s="96"/>
      <c r="CV82" s="96"/>
      <c r="CW82" s="96"/>
      <c r="CX82" s="96"/>
      <c r="CY82" s="96"/>
      <c r="CZ82" s="93">
        <f t="shared" si="76"/>
        <v>0</v>
      </c>
      <c r="DA82" s="93">
        <f t="shared" si="77"/>
        <v>0</v>
      </c>
      <c r="DB82" s="95">
        <f t="shared" ref="DB82:DB113" si="110">SUM(CB82:DA82)</f>
        <v>336281.2018550107</v>
      </c>
      <c r="DC82" s="100">
        <f t="shared" ref="DC82:DC113" si="111">ROUND(DB82,0)</f>
        <v>336281</v>
      </c>
      <c r="DD82" s="100"/>
      <c r="DE82" s="100">
        <f t="shared" ref="DE82:DE113" si="112">+DD82-DC82</f>
        <v>-336281</v>
      </c>
      <c r="DF82" s="13"/>
      <c r="DG82" s="2"/>
      <c r="DH82" s="46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</row>
    <row r="83" spans="1:156" s="1" customFormat="1" ht="12" customHeight="1" x14ac:dyDescent="0.2">
      <c r="A83" s="88">
        <f t="shared" si="82"/>
        <v>509873</v>
      </c>
      <c r="B83" s="21">
        <v>9873</v>
      </c>
      <c r="C83" s="21" t="s">
        <v>98</v>
      </c>
      <c r="D83" s="84" t="s">
        <v>194</v>
      </c>
      <c r="E83" s="115" t="s">
        <v>202</v>
      </c>
      <c r="F83" s="85">
        <v>0</v>
      </c>
      <c r="G83" s="84"/>
      <c r="H83" s="85"/>
      <c r="I83" s="86"/>
      <c r="J83" s="85"/>
      <c r="K83" s="21" t="s">
        <v>10</v>
      </c>
      <c r="L83" s="21"/>
      <c r="M83" s="87"/>
      <c r="N83" s="88"/>
      <c r="O83" s="88">
        <v>0</v>
      </c>
      <c r="P83" s="89">
        <f t="shared" ref="P83:P113" si="113">+VLOOKUP(K83,$W$4:$AC$11,5,0)</f>
        <v>5700.7259999999997</v>
      </c>
      <c r="Q83" s="90">
        <f t="shared" ref="Q83:Q113" si="114">+VLOOKUP(K83,$W$4:$Z$11,2,0)</f>
        <v>19002.419999999998</v>
      </c>
      <c r="R83" s="90">
        <f t="shared" ref="R83:R113" si="115">+VLOOKUP(K83,$W$4:$Y$11,3,0)</f>
        <v>26397.963600000003</v>
      </c>
      <c r="S83" s="91"/>
      <c r="T83" s="92">
        <v>7</v>
      </c>
      <c r="U83" s="32">
        <f t="shared" ref="U83:U113" si="116">+T83</f>
        <v>7</v>
      </c>
      <c r="V83" s="32">
        <v>0</v>
      </c>
      <c r="W83" s="32">
        <v>0</v>
      </c>
      <c r="X83" s="93">
        <v>0</v>
      </c>
      <c r="Y83" s="32">
        <v>0</v>
      </c>
      <c r="Z83" s="32">
        <v>0</v>
      </c>
      <c r="AA83" s="32">
        <v>0</v>
      </c>
      <c r="AB83" s="32">
        <v>0</v>
      </c>
      <c r="AC83" s="32">
        <v>0</v>
      </c>
      <c r="AD83" s="93">
        <v>0</v>
      </c>
      <c r="AE83" s="32">
        <v>0</v>
      </c>
      <c r="AF83" s="32">
        <v>0</v>
      </c>
      <c r="AG83" s="32">
        <v>0</v>
      </c>
      <c r="AH83" s="93">
        <v>0</v>
      </c>
      <c r="AI83" s="93">
        <v>0</v>
      </c>
      <c r="AJ83" s="93">
        <v>0</v>
      </c>
      <c r="AK83" s="32">
        <v>0</v>
      </c>
      <c r="AL83" s="32">
        <v>0</v>
      </c>
      <c r="AM83" s="32">
        <v>0</v>
      </c>
      <c r="AN83" s="32">
        <v>0</v>
      </c>
      <c r="AO83" s="32">
        <v>0</v>
      </c>
      <c r="AP83" s="32">
        <v>0</v>
      </c>
      <c r="AQ83" s="32">
        <v>0</v>
      </c>
      <c r="AR83" s="32">
        <v>0</v>
      </c>
      <c r="AS83" s="32">
        <v>0</v>
      </c>
      <c r="AT83" s="32">
        <v>0</v>
      </c>
      <c r="AU83" s="94">
        <f t="shared" si="83"/>
        <v>7</v>
      </c>
      <c r="AV83" s="95">
        <f t="shared" si="84"/>
        <v>133016.94</v>
      </c>
      <c r="AW83" s="95">
        <f t="shared" si="85"/>
        <v>0</v>
      </c>
      <c r="AX83" s="95">
        <f t="shared" si="86"/>
        <v>0</v>
      </c>
      <c r="AY83" s="95">
        <f t="shared" si="87"/>
        <v>0</v>
      </c>
      <c r="AZ83" s="95">
        <f t="shared" si="88"/>
        <v>0</v>
      </c>
      <c r="BA83" s="95">
        <f t="shared" si="89"/>
        <v>0</v>
      </c>
      <c r="BB83" s="95">
        <f t="shared" si="90"/>
        <v>0</v>
      </c>
      <c r="BC83" s="96">
        <f t="shared" si="91"/>
        <v>0</v>
      </c>
      <c r="BD83" s="96">
        <f t="shared" si="92"/>
        <v>0</v>
      </c>
      <c r="BE83" s="96">
        <f t="shared" si="81"/>
        <v>0</v>
      </c>
      <c r="BF83" s="96">
        <f t="shared" si="93"/>
        <v>0</v>
      </c>
      <c r="BG83" s="96">
        <f t="shared" si="94"/>
        <v>0</v>
      </c>
      <c r="BH83" s="96">
        <f t="shared" si="95"/>
        <v>0</v>
      </c>
      <c r="BI83" s="96">
        <f t="shared" si="96"/>
        <v>0</v>
      </c>
      <c r="BJ83" s="96">
        <f t="shared" si="97"/>
        <v>0</v>
      </c>
      <c r="BK83" s="96">
        <f t="shared" si="98"/>
        <v>0</v>
      </c>
      <c r="BL83" s="96">
        <f t="shared" si="99"/>
        <v>0</v>
      </c>
      <c r="BM83" s="96">
        <f t="shared" si="100"/>
        <v>0</v>
      </c>
      <c r="BN83" s="96"/>
      <c r="BO83" s="95"/>
      <c r="BP83" s="95">
        <f t="shared" si="101"/>
        <v>0</v>
      </c>
      <c r="BQ83" s="95"/>
      <c r="BR83" s="95"/>
      <c r="BS83" s="95">
        <f t="shared" si="102"/>
        <v>0</v>
      </c>
      <c r="BT83" s="95">
        <f t="shared" si="103"/>
        <v>0</v>
      </c>
      <c r="BU83" s="95">
        <f t="shared" si="104"/>
        <v>0</v>
      </c>
      <c r="BV83" s="95">
        <f t="shared" si="105"/>
        <v>0</v>
      </c>
      <c r="BW83" s="95"/>
      <c r="BX83" s="95"/>
      <c r="BY83" s="95"/>
      <c r="BZ83" s="95"/>
      <c r="CA83" s="95">
        <f t="shared" ref="CA83:CA113" si="117">+IF(H83&gt;59,+SUM(AV83:BX83)*138.92%,0)</f>
        <v>0</v>
      </c>
      <c r="CB83" s="97">
        <f t="shared" si="106"/>
        <v>133016.94</v>
      </c>
      <c r="CC83" s="95"/>
      <c r="CD83" s="95"/>
      <c r="CE83" s="95">
        <f t="shared" si="107"/>
        <v>-3990.5081999999998</v>
      </c>
      <c r="CF83" s="95">
        <f t="shared" ref="CF83:CF113" si="118">-IF(E83="FOTIA",(CB83-AZ83)*1%,(CB83-AZ83)*1.5%)</f>
        <v>-1995.2540999999999</v>
      </c>
      <c r="CG83" s="113"/>
      <c r="CH83" s="22"/>
      <c r="CI83" s="98">
        <f t="shared" si="108"/>
        <v>184787.13304799996</v>
      </c>
      <c r="CJ83" s="95">
        <f t="shared" si="109"/>
        <v>-5543.6139914399982</v>
      </c>
      <c r="CK83" s="95">
        <f t="shared" ref="CK83:CK113" si="119">-IF(E83="FOTIA",(CI83-BE83)*1%,(CI83-BE83)*1.5%)</f>
        <v>-2771.8069957199991</v>
      </c>
      <c r="CL83" s="95">
        <v>0</v>
      </c>
      <c r="CM83" s="99"/>
      <c r="CN83" s="99">
        <v>0</v>
      </c>
      <c r="CO83" s="110"/>
      <c r="CP83" s="99"/>
      <c r="CQ83" s="99"/>
      <c r="CR83" s="99"/>
      <c r="CS83" s="95"/>
      <c r="CT83" s="95"/>
      <c r="CU83" s="96"/>
      <c r="CV83" s="96"/>
      <c r="CW83" s="96"/>
      <c r="CX83" s="96"/>
      <c r="CY83" s="96"/>
      <c r="CZ83" s="93"/>
      <c r="DA83" s="93"/>
      <c r="DB83" s="95">
        <f t="shared" si="110"/>
        <v>303502.88976083993</v>
      </c>
      <c r="DC83" s="100">
        <f t="shared" si="111"/>
        <v>303503</v>
      </c>
      <c r="DD83" s="100"/>
      <c r="DE83" s="100">
        <f t="shared" si="112"/>
        <v>-303503</v>
      </c>
      <c r="DF83" s="13"/>
      <c r="DG83" s="2"/>
      <c r="DH83" s="46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</row>
    <row r="84" spans="1:156" s="1" customFormat="1" ht="12" customHeight="1" x14ac:dyDescent="0.2">
      <c r="A84" s="88">
        <f t="shared" si="82"/>
        <v>509796</v>
      </c>
      <c r="B84" s="21">
        <v>9796</v>
      </c>
      <c r="C84" s="21" t="s">
        <v>98</v>
      </c>
      <c r="D84" s="84" t="s">
        <v>174</v>
      </c>
      <c r="E84" s="114" t="s">
        <v>201</v>
      </c>
      <c r="F84" s="85">
        <v>0</v>
      </c>
      <c r="G84" s="84"/>
      <c r="H84" s="85"/>
      <c r="I84" s="86"/>
      <c r="J84" s="85"/>
      <c r="K84" s="21" t="s">
        <v>8</v>
      </c>
      <c r="L84" s="21"/>
      <c r="M84" s="87"/>
      <c r="N84" s="88"/>
      <c r="O84" s="88">
        <v>3</v>
      </c>
      <c r="P84" s="89">
        <f t="shared" si="113"/>
        <v>5401.2359999999999</v>
      </c>
      <c r="Q84" s="90">
        <f t="shared" si="114"/>
        <v>18004.12</v>
      </c>
      <c r="R84" s="90">
        <f t="shared" si="115"/>
        <v>25011.1211</v>
      </c>
      <c r="S84" s="91"/>
      <c r="T84" s="92">
        <v>6</v>
      </c>
      <c r="U84" s="32">
        <f t="shared" si="116"/>
        <v>6</v>
      </c>
      <c r="V84" s="32">
        <v>0</v>
      </c>
      <c r="W84" s="32">
        <v>0</v>
      </c>
      <c r="X84" s="93">
        <v>0</v>
      </c>
      <c r="Y84" s="32">
        <v>0</v>
      </c>
      <c r="Z84" s="32">
        <v>0</v>
      </c>
      <c r="AA84" s="32">
        <v>0</v>
      </c>
      <c r="AB84" s="32">
        <v>0</v>
      </c>
      <c r="AC84" s="32">
        <v>0</v>
      </c>
      <c r="AD84" s="93">
        <v>0</v>
      </c>
      <c r="AE84" s="32">
        <v>0</v>
      </c>
      <c r="AF84" s="32">
        <v>0</v>
      </c>
      <c r="AG84" s="32">
        <v>0</v>
      </c>
      <c r="AH84" s="93">
        <v>0</v>
      </c>
      <c r="AI84" s="93">
        <v>0</v>
      </c>
      <c r="AJ84" s="93">
        <v>0</v>
      </c>
      <c r="AK84" s="32">
        <v>0</v>
      </c>
      <c r="AL84" s="32">
        <v>0</v>
      </c>
      <c r="AM84" s="32">
        <v>0</v>
      </c>
      <c r="AN84" s="32">
        <v>0</v>
      </c>
      <c r="AO84" s="32">
        <v>0</v>
      </c>
      <c r="AP84" s="32">
        <v>0</v>
      </c>
      <c r="AQ84" s="32">
        <v>0</v>
      </c>
      <c r="AR84" s="32">
        <v>0</v>
      </c>
      <c r="AS84" s="32">
        <v>0</v>
      </c>
      <c r="AT84" s="32">
        <v>0</v>
      </c>
      <c r="AU84" s="94">
        <f t="shared" si="83"/>
        <v>6</v>
      </c>
      <c r="AV84" s="95">
        <f t="shared" si="84"/>
        <v>108024.72</v>
      </c>
      <c r="AW84" s="95">
        <f t="shared" si="85"/>
        <v>0</v>
      </c>
      <c r="AX84" s="95">
        <f t="shared" si="86"/>
        <v>0</v>
      </c>
      <c r="AY84" s="95">
        <f t="shared" si="87"/>
        <v>0</v>
      </c>
      <c r="AZ84" s="95">
        <f t="shared" si="88"/>
        <v>0</v>
      </c>
      <c r="BA84" s="95">
        <f t="shared" si="89"/>
        <v>0</v>
      </c>
      <c r="BB84" s="95">
        <f t="shared" si="90"/>
        <v>0</v>
      </c>
      <c r="BC84" s="96">
        <f t="shared" si="91"/>
        <v>0</v>
      </c>
      <c r="BD84" s="96">
        <f t="shared" si="92"/>
        <v>0</v>
      </c>
      <c r="BE84" s="96">
        <f t="shared" si="81"/>
        <v>0</v>
      </c>
      <c r="BF84" s="96">
        <f t="shared" si="93"/>
        <v>0</v>
      </c>
      <c r="BG84" s="96">
        <f t="shared" si="94"/>
        <v>0</v>
      </c>
      <c r="BH84" s="96">
        <f t="shared" si="95"/>
        <v>0</v>
      </c>
      <c r="BI84" s="96">
        <f t="shared" si="96"/>
        <v>0</v>
      </c>
      <c r="BJ84" s="96">
        <f t="shared" si="97"/>
        <v>0</v>
      </c>
      <c r="BK84" s="96">
        <f t="shared" si="98"/>
        <v>0</v>
      </c>
      <c r="BL84" s="96">
        <f t="shared" si="99"/>
        <v>3888.8899199999996</v>
      </c>
      <c r="BM84" s="96">
        <f t="shared" si="100"/>
        <v>0</v>
      </c>
      <c r="BN84" s="96"/>
      <c r="BO84" s="95"/>
      <c r="BP84" s="95">
        <f t="shared" si="101"/>
        <v>0</v>
      </c>
      <c r="BQ84" s="95"/>
      <c r="BR84" s="95"/>
      <c r="BS84" s="95">
        <f t="shared" si="102"/>
        <v>0</v>
      </c>
      <c r="BT84" s="95">
        <f t="shared" si="103"/>
        <v>0</v>
      </c>
      <c r="BU84" s="95">
        <f t="shared" si="104"/>
        <v>0</v>
      </c>
      <c r="BV84" s="95">
        <f t="shared" si="105"/>
        <v>0</v>
      </c>
      <c r="BW84" s="95"/>
      <c r="BX84" s="95"/>
      <c r="BY84" s="95"/>
      <c r="BZ84" s="95"/>
      <c r="CA84" s="95">
        <f t="shared" si="117"/>
        <v>0</v>
      </c>
      <c r="CB84" s="97">
        <f t="shared" si="106"/>
        <v>111913.60992</v>
      </c>
      <c r="CC84" s="95"/>
      <c r="CD84" s="95"/>
      <c r="CE84" s="95">
        <f t="shared" si="107"/>
        <v>-3357.4082976</v>
      </c>
      <c r="CF84" s="95">
        <f t="shared" si="118"/>
        <v>-1119.1360992</v>
      </c>
      <c r="CG84" s="113"/>
      <c r="CH84" s="22"/>
      <c r="CI84" s="98">
        <f t="shared" si="108"/>
        <v>155470.38690086399</v>
      </c>
      <c r="CJ84" s="95">
        <f t="shared" si="109"/>
        <v>-4664.1116070259195</v>
      </c>
      <c r="CK84" s="95">
        <f t="shared" si="119"/>
        <v>-1554.7038690086399</v>
      </c>
      <c r="CL84" s="95">
        <v>0</v>
      </c>
      <c r="CM84" s="99"/>
      <c r="CN84" s="99">
        <v>0</v>
      </c>
      <c r="CO84" s="110"/>
      <c r="CP84" s="99"/>
      <c r="CQ84" s="99"/>
      <c r="CR84" s="99"/>
      <c r="CS84" s="95"/>
      <c r="CT84" s="95"/>
      <c r="CU84" s="96"/>
      <c r="CV84" s="96"/>
      <c r="CW84" s="96"/>
      <c r="CX84" s="96"/>
      <c r="CY84" s="96"/>
      <c r="CZ84" s="93">
        <f t="shared" ref="CZ84:CZ113" si="120">-SUM(CB84+CC84+CD84+CE84+CF84)*I84</f>
        <v>0</v>
      </c>
      <c r="DA84" s="93">
        <f t="shared" ref="DA84:DA113" si="121">-SUM(CB84+CC84+CD84+CE84+CF84+CI84+CJ84+CK84)*J84</f>
        <v>0</v>
      </c>
      <c r="DB84" s="95">
        <f t="shared" si="110"/>
        <v>256688.63694802942</v>
      </c>
      <c r="DC84" s="100">
        <f t="shared" si="111"/>
        <v>256689</v>
      </c>
      <c r="DD84" s="100"/>
      <c r="DE84" s="100">
        <f t="shared" si="112"/>
        <v>-256689</v>
      </c>
      <c r="DF84" s="13"/>
      <c r="DG84" s="2"/>
      <c r="DH84" s="46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</row>
    <row r="85" spans="1:156" s="1" customFormat="1" ht="12" hidden="1" customHeight="1" x14ac:dyDescent="0.2">
      <c r="A85" s="88">
        <f t="shared" si="82"/>
        <v>509754</v>
      </c>
      <c r="B85" s="21">
        <v>9754</v>
      </c>
      <c r="C85" s="21" t="s">
        <v>98</v>
      </c>
      <c r="D85" s="84" t="s">
        <v>168</v>
      </c>
      <c r="E85" s="114" t="s">
        <v>201</v>
      </c>
      <c r="F85" s="85">
        <v>0</v>
      </c>
      <c r="G85" s="84"/>
      <c r="H85" s="85"/>
      <c r="I85" s="86"/>
      <c r="J85" s="85"/>
      <c r="K85" s="21" t="s">
        <v>8</v>
      </c>
      <c r="L85" s="21"/>
      <c r="M85" s="87"/>
      <c r="N85" s="88"/>
      <c r="O85" s="88">
        <v>0</v>
      </c>
      <c r="P85" s="89">
        <f t="shared" si="113"/>
        <v>5401.2359999999999</v>
      </c>
      <c r="Q85" s="90">
        <f t="shared" si="114"/>
        <v>18004.12</v>
      </c>
      <c r="R85" s="90">
        <f t="shared" si="115"/>
        <v>25011.1211</v>
      </c>
      <c r="S85" s="91"/>
      <c r="T85" s="92">
        <v>0</v>
      </c>
      <c r="U85" s="32">
        <f t="shared" si="116"/>
        <v>0</v>
      </c>
      <c r="V85" s="32">
        <v>0</v>
      </c>
      <c r="W85" s="32">
        <v>0</v>
      </c>
      <c r="X85" s="93">
        <v>0</v>
      </c>
      <c r="Y85" s="32">
        <v>0</v>
      </c>
      <c r="Z85" s="32">
        <v>0</v>
      </c>
      <c r="AA85" s="32">
        <v>0</v>
      </c>
      <c r="AB85" s="32">
        <v>0</v>
      </c>
      <c r="AC85" s="32">
        <v>0</v>
      </c>
      <c r="AD85" s="93">
        <v>0</v>
      </c>
      <c r="AE85" s="32">
        <v>0</v>
      </c>
      <c r="AF85" s="32">
        <v>0</v>
      </c>
      <c r="AG85" s="32">
        <v>0</v>
      </c>
      <c r="AH85" s="93">
        <v>0</v>
      </c>
      <c r="AI85" s="93">
        <v>0</v>
      </c>
      <c r="AJ85" s="93">
        <v>0</v>
      </c>
      <c r="AK85" s="32">
        <v>0</v>
      </c>
      <c r="AL85" s="32">
        <v>0</v>
      </c>
      <c r="AM85" s="32">
        <v>0</v>
      </c>
      <c r="AN85" s="32">
        <v>0</v>
      </c>
      <c r="AO85" s="32">
        <v>0</v>
      </c>
      <c r="AP85" s="32">
        <v>0</v>
      </c>
      <c r="AQ85" s="32">
        <v>0</v>
      </c>
      <c r="AR85" s="32">
        <v>0</v>
      </c>
      <c r="AS85" s="32">
        <v>0</v>
      </c>
      <c r="AT85" s="32">
        <v>0</v>
      </c>
      <c r="AU85" s="94">
        <f t="shared" si="83"/>
        <v>0</v>
      </c>
      <c r="AV85" s="95">
        <f t="shared" si="84"/>
        <v>0</v>
      </c>
      <c r="AW85" s="95">
        <f t="shared" si="85"/>
        <v>0</v>
      </c>
      <c r="AX85" s="95">
        <f t="shared" si="86"/>
        <v>0</v>
      </c>
      <c r="AY85" s="95">
        <f t="shared" si="87"/>
        <v>0</v>
      </c>
      <c r="AZ85" s="95">
        <f t="shared" si="88"/>
        <v>0</v>
      </c>
      <c r="BA85" s="95">
        <f t="shared" si="89"/>
        <v>0</v>
      </c>
      <c r="BB85" s="95">
        <f t="shared" si="90"/>
        <v>0</v>
      </c>
      <c r="BC85" s="96">
        <f t="shared" si="91"/>
        <v>0</v>
      </c>
      <c r="BD85" s="96">
        <f t="shared" si="92"/>
        <v>0</v>
      </c>
      <c r="BE85" s="96">
        <f t="shared" si="81"/>
        <v>0</v>
      </c>
      <c r="BF85" s="96">
        <f t="shared" si="93"/>
        <v>0</v>
      </c>
      <c r="BG85" s="96">
        <f t="shared" si="94"/>
        <v>0</v>
      </c>
      <c r="BH85" s="96">
        <f t="shared" si="95"/>
        <v>0</v>
      </c>
      <c r="BI85" s="96">
        <f t="shared" si="96"/>
        <v>0</v>
      </c>
      <c r="BJ85" s="96">
        <f t="shared" si="97"/>
        <v>0</v>
      </c>
      <c r="BK85" s="96">
        <f t="shared" si="98"/>
        <v>0</v>
      </c>
      <c r="BL85" s="96">
        <f t="shared" si="99"/>
        <v>0</v>
      </c>
      <c r="BM85" s="96">
        <f t="shared" si="100"/>
        <v>0</v>
      </c>
      <c r="BN85" s="96"/>
      <c r="BO85" s="95"/>
      <c r="BP85" s="95">
        <f t="shared" si="101"/>
        <v>0</v>
      </c>
      <c r="BQ85" s="95"/>
      <c r="BR85" s="95"/>
      <c r="BS85" s="95">
        <f t="shared" si="102"/>
        <v>0</v>
      </c>
      <c r="BT85" s="95">
        <f t="shared" si="103"/>
        <v>0</v>
      </c>
      <c r="BU85" s="95">
        <f t="shared" si="104"/>
        <v>0</v>
      </c>
      <c r="BV85" s="95">
        <f t="shared" si="105"/>
        <v>0</v>
      </c>
      <c r="BW85" s="95"/>
      <c r="BX85" s="95"/>
      <c r="BY85" s="95"/>
      <c r="BZ85" s="95"/>
      <c r="CA85" s="95">
        <f t="shared" si="117"/>
        <v>0</v>
      </c>
      <c r="CB85" s="97">
        <f t="shared" si="106"/>
        <v>0</v>
      </c>
      <c r="CC85" s="95"/>
      <c r="CD85" s="95"/>
      <c r="CE85" s="95">
        <f t="shared" si="107"/>
        <v>0</v>
      </c>
      <c r="CF85" s="95">
        <f t="shared" si="118"/>
        <v>0</v>
      </c>
      <c r="CG85" s="113"/>
      <c r="CH85" s="22"/>
      <c r="CI85" s="98">
        <f t="shared" si="108"/>
        <v>0</v>
      </c>
      <c r="CJ85" s="95">
        <f t="shared" si="109"/>
        <v>0</v>
      </c>
      <c r="CK85" s="95">
        <f t="shared" si="119"/>
        <v>0</v>
      </c>
      <c r="CL85" s="95">
        <v>0</v>
      </c>
      <c r="CM85" s="99"/>
      <c r="CN85" s="99">
        <v>0</v>
      </c>
      <c r="CO85" s="110"/>
      <c r="CP85" s="99"/>
      <c r="CQ85" s="99"/>
      <c r="CR85" s="99"/>
      <c r="CS85" s="95"/>
      <c r="CT85" s="95"/>
      <c r="CU85" s="96"/>
      <c r="CV85" s="96"/>
      <c r="CW85" s="96"/>
      <c r="CX85" s="96"/>
      <c r="CY85" s="96"/>
      <c r="CZ85" s="93">
        <f t="shared" si="120"/>
        <v>0</v>
      </c>
      <c r="DA85" s="93">
        <f t="shared" si="121"/>
        <v>0</v>
      </c>
      <c r="DB85" s="95">
        <f t="shared" si="110"/>
        <v>0</v>
      </c>
      <c r="DC85" s="100">
        <f t="shared" si="111"/>
        <v>0</v>
      </c>
      <c r="DD85" s="100"/>
      <c r="DE85" s="100">
        <f t="shared" si="112"/>
        <v>0</v>
      </c>
      <c r="DF85" s="13"/>
      <c r="DG85" s="2"/>
      <c r="DH85" s="46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</row>
    <row r="86" spans="1:156" s="1" customFormat="1" ht="12" hidden="1" customHeight="1" x14ac:dyDescent="0.2">
      <c r="A86" s="88">
        <f t="shared" si="82"/>
        <v>509706</v>
      </c>
      <c r="B86" s="21">
        <v>9706</v>
      </c>
      <c r="C86" s="21" t="s">
        <v>98</v>
      </c>
      <c r="D86" s="84" t="s">
        <v>141</v>
      </c>
      <c r="E86" s="115" t="s">
        <v>202</v>
      </c>
      <c r="F86" s="85">
        <v>3</v>
      </c>
      <c r="G86" s="84"/>
      <c r="H86" s="85"/>
      <c r="I86" s="86"/>
      <c r="J86" s="85">
        <v>0.2</v>
      </c>
      <c r="K86" s="21" t="s">
        <v>8</v>
      </c>
      <c r="L86" s="21"/>
      <c r="M86" s="87"/>
      <c r="N86" s="88"/>
      <c r="O86" s="88">
        <v>11</v>
      </c>
      <c r="P86" s="89">
        <f t="shared" si="113"/>
        <v>5401.2359999999999</v>
      </c>
      <c r="Q86" s="90">
        <f t="shared" si="114"/>
        <v>18004.12</v>
      </c>
      <c r="R86" s="90">
        <f t="shared" si="115"/>
        <v>25011.1211</v>
      </c>
      <c r="S86" s="91"/>
      <c r="T86" s="92">
        <v>0</v>
      </c>
      <c r="U86" s="32">
        <f t="shared" si="116"/>
        <v>0</v>
      </c>
      <c r="V86" s="32">
        <v>0</v>
      </c>
      <c r="W86" s="32">
        <v>0</v>
      </c>
      <c r="X86" s="93">
        <v>0</v>
      </c>
      <c r="Y86" s="32">
        <v>0</v>
      </c>
      <c r="Z86" s="32">
        <v>0</v>
      </c>
      <c r="AA86" s="32">
        <v>0</v>
      </c>
      <c r="AB86" s="32">
        <v>0</v>
      </c>
      <c r="AC86" s="32">
        <v>0</v>
      </c>
      <c r="AD86" s="93">
        <v>0</v>
      </c>
      <c r="AE86" s="32">
        <v>0</v>
      </c>
      <c r="AF86" s="32">
        <v>0</v>
      </c>
      <c r="AG86" s="32">
        <v>0</v>
      </c>
      <c r="AH86" s="93">
        <v>0</v>
      </c>
      <c r="AI86" s="93">
        <v>0</v>
      </c>
      <c r="AJ86" s="93">
        <v>0</v>
      </c>
      <c r="AK86" s="32">
        <v>0</v>
      </c>
      <c r="AL86" s="32">
        <v>0</v>
      </c>
      <c r="AM86" s="32">
        <v>0</v>
      </c>
      <c r="AN86" s="32">
        <v>0</v>
      </c>
      <c r="AO86" s="32">
        <v>0</v>
      </c>
      <c r="AP86" s="32">
        <v>0</v>
      </c>
      <c r="AQ86" s="32">
        <v>0</v>
      </c>
      <c r="AR86" s="32">
        <v>0</v>
      </c>
      <c r="AS86" s="32">
        <v>0</v>
      </c>
      <c r="AT86" s="32">
        <v>0</v>
      </c>
      <c r="AU86" s="94">
        <f t="shared" si="83"/>
        <v>0</v>
      </c>
      <c r="AV86" s="95">
        <f t="shared" si="84"/>
        <v>0</v>
      </c>
      <c r="AW86" s="95">
        <f t="shared" si="85"/>
        <v>0</v>
      </c>
      <c r="AX86" s="95">
        <f t="shared" si="86"/>
        <v>0</v>
      </c>
      <c r="AY86" s="95">
        <f t="shared" si="87"/>
        <v>0</v>
      </c>
      <c r="AZ86" s="95">
        <f t="shared" si="88"/>
        <v>0</v>
      </c>
      <c r="BA86" s="95">
        <f t="shared" si="89"/>
        <v>0</v>
      </c>
      <c r="BB86" s="95">
        <f t="shared" si="90"/>
        <v>0</v>
      </c>
      <c r="BC86" s="96">
        <f t="shared" si="91"/>
        <v>0</v>
      </c>
      <c r="BD86" s="96">
        <f t="shared" si="92"/>
        <v>0</v>
      </c>
      <c r="BE86" s="96">
        <f t="shared" si="81"/>
        <v>0</v>
      </c>
      <c r="BF86" s="96">
        <f t="shared" si="93"/>
        <v>0</v>
      </c>
      <c r="BG86" s="96">
        <f t="shared" si="94"/>
        <v>0</v>
      </c>
      <c r="BH86" s="96">
        <f t="shared" si="95"/>
        <v>0</v>
      </c>
      <c r="BI86" s="96">
        <f t="shared" si="96"/>
        <v>0</v>
      </c>
      <c r="BJ86" s="96">
        <f t="shared" si="97"/>
        <v>0</v>
      </c>
      <c r="BK86" s="96">
        <f t="shared" si="98"/>
        <v>0</v>
      </c>
      <c r="BL86" s="96">
        <f t="shared" si="99"/>
        <v>0</v>
      </c>
      <c r="BM86" s="96">
        <f t="shared" si="100"/>
        <v>0</v>
      </c>
      <c r="BN86" s="96"/>
      <c r="BO86" s="95"/>
      <c r="BP86" s="95">
        <f t="shared" si="101"/>
        <v>0</v>
      </c>
      <c r="BQ86" s="95"/>
      <c r="BR86" s="95"/>
      <c r="BS86" s="95">
        <f t="shared" si="102"/>
        <v>0</v>
      </c>
      <c r="BT86" s="95">
        <f t="shared" si="103"/>
        <v>0</v>
      </c>
      <c r="BU86" s="95">
        <f t="shared" si="104"/>
        <v>0</v>
      </c>
      <c r="BV86" s="95">
        <f t="shared" si="105"/>
        <v>0</v>
      </c>
      <c r="BW86" s="95"/>
      <c r="BX86" s="95"/>
      <c r="BY86" s="95"/>
      <c r="BZ86" s="95"/>
      <c r="CA86" s="95">
        <f t="shared" si="117"/>
        <v>0</v>
      </c>
      <c r="CB86" s="97">
        <f t="shared" si="106"/>
        <v>0</v>
      </c>
      <c r="CC86" s="95"/>
      <c r="CD86" s="95"/>
      <c r="CE86" s="95">
        <f t="shared" si="107"/>
        <v>0</v>
      </c>
      <c r="CF86" s="95">
        <f t="shared" si="118"/>
        <v>0</v>
      </c>
      <c r="CG86" s="113"/>
      <c r="CH86" s="22"/>
      <c r="CI86" s="98">
        <f t="shared" si="108"/>
        <v>0</v>
      </c>
      <c r="CJ86" s="95">
        <f t="shared" si="109"/>
        <v>0</v>
      </c>
      <c r="CK86" s="95">
        <f t="shared" si="119"/>
        <v>0</v>
      </c>
      <c r="CL86" s="95">
        <v>0</v>
      </c>
      <c r="CM86" s="99"/>
      <c r="CN86" s="99">
        <v>0</v>
      </c>
      <c r="CO86" s="110"/>
      <c r="CP86" s="99"/>
      <c r="CQ86" s="99"/>
      <c r="CR86" s="99"/>
      <c r="CS86" s="95"/>
      <c r="CT86" s="95"/>
      <c r="CU86" s="96"/>
      <c r="CV86" s="96"/>
      <c r="CW86" s="96"/>
      <c r="CX86" s="96"/>
      <c r="CY86" s="96"/>
      <c r="CZ86" s="93">
        <f t="shared" si="120"/>
        <v>0</v>
      </c>
      <c r="DA86" s="93">
        <f t="shared" si="121"/>
        <v>0</v>
      </c>
      <c r="DB86" s="95">
        <f t="shared" si="110"/>
        <v>0</v>
      </c>
      <c r="DC86" s="100">
        <f t="shared" si="111"/>
        <v>0</v>
      </c>
      <c r="DD86" s="100"/>
      <c r="DE86" s="100">
        <f t="shared" si="112"/>
        <v>0</v>
      </c>
      <c r="DF86" s="13"/>
      <c r="DG86" s="2"/>
      <c r="DH86" s="46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</row>
    <row r="87" spans="1:156" s="1" customFormat="1" ht="12" hidden="1" customHeight="1" x14ac:dyDescent="0.2">
      <c r="A87" s="88">
        <f t="shared" si="82"/>
        <v>509635</v>
      </c>
      <c r="B87" s="21">
        <v>9635</v>
      </c>
      <c r="C87" s="21" t="s">
        <v>98</v>
      </c>
      <c r="D87" s="84" t="s">
        <v>99</v>
      </c>
      <c r="E87" s="114" t="s">
        <v>201</v>
      </c>
      <c r="F87" s="85">
        <v>0</v>
      </c>
      <c r="G87" s="84"/>
      <c r="H87" s="85">
        <v>62</v>
      </c>
      <c r="I87" s="86"/>
      <c r="J87" s="85"/>
      <c r="K87" s="21" t="s">
        <v>12</v>
      </c>
      <c r="L87" s="21"/>
      <c r="M87" s="87"/>
      <c r="N87" s="88"/>
      <c r="O87" s="88">
        <v>28</v>
      </c>
      <c r="P87" s="89">
        <f t="shared" si="113"/>
        <v>6031.2240000000002</v>
      </c>
      <c r="Q87" s="90">
        <f t="shared" si="114"/>
        <v>20104.080000000002</v>
      </c>
      <c r="R87" s="90">
        <f t="shared" si="115"/>
        <v>27928.380449999997</v>
      </c>
      <c r="S87" s="91"/>
      <c r="T87" s="92">
        <v>0</v>
      </c>
      <c r="U87" s="32">
        <f t="shared" si="116"/>
        <v>0</v>
      </c>
      <c r="V87" s="32">
        <v>0</v>
      </c>
      <c r="W87" s="32">
        <v>0</v>
      </c>
      <c r="X87" s="93">
        <v>0</v>
      </c>
      <c r="Y87" s="32">
        <v>0</v>
      </c>
      <c r="Z87" s="32">
        <v>0</v>
      </c>
      <c r="AA87" s="32">
        <v>0</v>
      </c>
      <c r="AB87" s="32">
        <v>0</v>
      </c>
      <c r="AC87" s="32">
        <v>0</v>
      </c>
      <c r="AD87" s="93">
        <v>0</v>
      </c>
      <c r="AE87" s="32">
        <v>0</v>
      </c>
      <c r="AF87" s="32">
        <v>0</v>
      </c>
      <c r="AG87" s="32">
        <v>0</v>
      </c>
      <c r="AH87" s="93">
        <v>0</v>
      </c>
      <c r="AI87" s="93">
        <v>0</v>
      </c>
      <c r="AJ87" s="93">
        <v>0</v>
      </c>
      <c r="AK87" s="32">
        <v>0</v>
      </c>
      <c r="AL87" s="32">
        <v>0</v>
      </c>
      <c r="AM87" s="32">
        <v>0</v>
      </c>
      <c r="AN87" s="32">
        <v>0</v>
      </c>
      <c r="AO87" s="32">
        <v>0</v>
      </c>
      <c r="AP87" s="32">
        <v>0</v>
      </c>
      <c r="AQ87" s="32">
        <v>0</v>
      </c>
      <c r="AR87" s="32">
        <v>0</v>
      </c>
      <c r="AS87" s="32">
        <v>0</v>
      </c>
      <c r="AT87" s="32">
        <v>0</v>
      </c>
      <c r="AU87" s="94">
        <f t="shared" si="83"/>
        <v>0</v>
      </c>
      <c r="AV87" s="95">
        <f t="shared" si="84"/>
        <v>0</v>
      </c>
      <c r="AW87" s="95">
        <f t="shared" si="85"/>
        <v>0</v>
      </c>
      <c r="AX87" s="95">
        <f t="shared" si="86"/>
        <v>0</v>
      </c>
      <c r="AY87" s="95">
        <f t="shared" si="87"/>
        <v>0</v>
      </c>
      <c r="AZ87" s="95">
        <f t="shared" si="88"/>
        <v>0</v>
      </c>
      <c r="BA87" s="95">
        <f t="shared" si="89"/>
        <v>0</v>
      </c>
      <c r="BB87" s="95">
        <f t="shared" si="90"/>
        <v>0</v>
      </c>
      <c r="BC87" s="96">
        <f t="shared" si="91"/>
        <v>0</v>
      </c>
      <c r="BD87" s="96">
        <f t="shared" si="92"/>
        <v>0</v>
      </c>
      <c r="BE87" s="96">
        <f t="shared" si="81"/>
        <v>0</v>
      </c>
      <c r="BF87" s="96">
        <f t="shared" si="93"/>
        <v>0</v>
      </c>
      <c r="BG87" s="96">
        <f t="shared" si="94"/>
        <v>0</v>
      </c>
      <c r="BH87" s="96">
        <f t="shared" si="95"/>
        <v>0</v>
      </c>
      <c r="BI87" s="96">
        <f t="shared" si="96"/>
        <v>0</v>
      </c>
      <c r="BJ87" s="96">
        <f t="shared" si="97"/>
        <v>0</v>
      </c>
      <c r="BK87" s="96">
        <f t="shared" si="98"/>
        <v>0</v>
      </c>
      <c r="BL87" s="96">
        <f t="shared" si="99"/>
        <v>0</v>
      </c>
      <c r="BM87" s="96">
        <f t="shared" si="100"/>
        <v>0</v>
      </c>
      <c r="BN87" s="96"/>
      <c r="BO87" s="95"/>
      <c r="BP87" s="95">
        <f t="shared" si="101"/>
        <v>0</v>
      </c>
      <c r="BQ87" s="95"/>
      <c r="BR87" s="95"/>
      <c r="BS87" s="95">
        <f t="shared" si="102"/>
        <v>0</v>
      </c>
      <c r="BT87" s="95">
        <f t="shared" si="103"/>
        <v>0</v>
      </c>
      <c r="BU87" s="95">
        <f t="shared" si="104"/>
        <v>0</v>
      </c>
      <c r="BV87" s="95">
        <f t="shared" si="105"/>
        <v>0</v>
      </c>
      <c r="BW87" s="95"/>
      <c r="BX87" s="95"/>
      <c r="BY87" s="95"/>
      <c r="BZ87" s="95"/>
      <c r="CA87" s="95">
        <f t="shared" si="117"/>
        <v>0</v>
      </c>
      <c r="CB87" s="97">
        <f t="shared" si="106"/>
        <v>0</v>
      </c>
      <c r="CC87" s="95"/>
      <c r="CD87" s="95"/>
      <c r="CE87" s="95">
        <f t="shared" si="107"/>
        <v>0</v>
      </c>
      <c r="CF87" s="95">
        <f t="shared" si="118"/>
        <v>0</v>
      </c>
      <c r="CG87" s="113"/>
      <c r="CH87" s="22"/>
      <c r="CI87" s="98">
        <f t="shared" si="108"/>
        <v>0</v>
      </c>
      <c r="CJ87" s="95">
        <f t="shared" si="109"/>
        <v>0</v>
      </c>
      <c r="CK87" s="95">
        <f t="shared" si="119"/>
        <v>0</v>
      </c>
      <c r="CL87" s="95">
        <v>0</v>
      </c>
      <c r="CM87" s="99"/>
      <c r="CN87" s="99">
        <v>0</v>
      </c>
      <c r="CO87" s="110"/>
      <c r="CP87" s="99"/>
      <c r="CQ87" s="99"/>
      <c r="CR87" s="99"/>
      <c r="CS87" s="95"/>
      <c r="CT87" s="95"/>
      <c r="CU87" s="96"/>
      <c r="CV87" s="96"/>
      <c r="CW87" s="96"/>
      <c r="CX87" s="96"/>
      <c r="CY87" s="96"/>
      <c r="CZ87" s="93">
        <f t="shared" si="120"/>
        <v>0</v>
      </c>
      <c r="DA87" s="93">
        <f t="shared" si="121"/>
        <v>0</v>
      </c>
      <c r="DB87" s="95">
        <f t="shared" si="110"/>
        <v>0</v>
      </c>
      <c r="DC87" s="100">
        <f t="shared" si="111"/>
        <v>0</v>
      </c>
      <c r="DD87" s="100"/>
      <c r="DE87" s="100">
        <f t="shared" si="112"/>
        <v>0</v>
      </c>
      <c r="DF87" s="13"/>
      <c r="DG87" s="2"/>
      <c r="DH87" s="46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</row>
    <row r="88" spans="1:156" s="1" customFormat="1" ht="12" hidden="1" customHeight="1" x14ac:dyDescent="0.2">
      <c r="A88" s="88">
        <f t="shared" si="82"/>
        <v>509742</v>
      </c>
      <c r="B88" s="21">
        <v>9742</v>
      </c>
      <c r="C88" s="21" t="s">
        <v>98</v>
      </c>
      <c r="D88" s="84" t="s">
        <v>158</v>
      </c>
      <c r="E88" s="114" t="s">
        <v>201</v>
      </c>
      <c r="F88" s="85">
        <v>0</v>
      </c>
      <c r="G88" s="84"/>
      <c r="H88" s="85"/>
      <c r="I88" s="86"/>
      <c r="J88" s="85"/>
      <c r="K88" s="21" t="s">
        <v>10</v>
      </c>
      <c r="L88" s="21"/>
      <c r="M88" s="87"/>
      <c r="N88" s="88"/>
      <c r="O88" s="88">
        <v>3</v>
      </c>
      <c r="P88" s="89">
        <f t="shared" si="113"/>
        <v>5700.7259999999997</v>
      </c>
      <c r="Q88" s="90">
        <f t="shared" si="114"/>
        <v>19002.419999999998</v>
      </c>
      <c r="R88" s="90">
        <f t="shared" si="115"/>
        <v>26397.963600000003</v>
      </c>
      <c r="S88" s="91"/>
      <c r="T88" s="92">
        <v>0</v>
      </c>
      <c r="U88" s="32">
        <f t="shared" si="116"/>
        <v>0</v>
      </c>
      <c r="V88" s="32">
        <v>0</v>
      </c>
      <c r="W88" s="32">
        <v>0</v>
      </c>
      <c r="X88" s="93">
        <v>0</v>
      </c>
      <c r="Y88" s="32">
        <v>0</v>
      </c>
      <c r="Z88" s="32">
        <v>0</v>
      </c>
      <c r="AA88" s="32">
        <v>0</v>
      </c>
      <c r="AB88" s="32">
        <v>0</v>
      </c>
      <c r="AC88" s="32">
        <v>0</v>
      </c>
      <c r="AD88" s="93">
        <v>0</v>
      </c>
      <c r="AE88" s="32">
        <v>0</v>
      </c>
      <c r="AF88" s="32">
        <v>0</v>
      </c>
      <c r="AG88" s="32">
        <v>0</v>
      </c>
      <c r="AH88" s="93">
        <v>0</v>
      </c>
      <c r="AI88" s="93">
        <v>0</v>
      </c>
      <c r="AJ88" s="93">
        <v>0</v>
      </c>
      <c r="AK88" s="32">
        <v>0</v>
      </c>
      <c r="AL88" s="32">
        <v>0</v>
      </c>
      <c r="AM88" s="32">
        <v>0</v>
      </c>
      <c r="AN88" s="32">
        <v>0</v>
      </c>
      <c r="AO88" s="32">
        <v>0</v>
      </c>
      <c r="AP88" s="32">
        <v>0</v>
      </c>
      <c r="AQ88" s="32">
        <v>0</v>
      </c>
      <c r="AR88" s="32">
        <v>0</v>
      </c>
      <c r="AS88" s="32">
        <v>0</v>
      </c>
      <c r="AT88" s="32">
        <v>0</v>
      </c>
      <c r="AU88" s="94">
        <f t="shared" si="83"/>
        <v>0</v>
      </c>
      <c r="AV88" s="95">
        <f t="shared" si="84"/>
        <v>0</v>
      </c>
      <c r="AW88" s="95">
        <f t="shared" si="85"/>
        <v>0</v>
      </c>
      <c r="AX88" s="95">
        <f t="shared" si="86"/>
        <v>0</v>
      </c>
      <c r="AY88" s="95">
        <f t="shared" si="87"/>
        <v>0</v>
      </c>
      <c r="AZ88" s="95">
        <f t="shared" si="88"/>
        <v>0</v>
      </c>
      <c r="BA88" s="95">
        <f t="shared" si="89"/>
        <v>0</v>
      </c>
      <c r="BB88" s="95">
        <f t="shared" si="90"/>
        <v>0</v>
      </c>
      <c r="BC88" s="96">
        <f t="shared" si="91"/>
        <v>0</v>
      </c>
      <c r="BD88" s="96">
        <f t="shared" si="92"/>
        <v>0</v>
      </c>
      <c r="BE88" s="96">
        <f t="shared" si="81"/>
        <v>0</v>
      </c>
      <c r="BF88" s="96">
        <f t="shared" si="93"/>
        <v>0</v>
      </c>
      <c r="BG88" s="96">
        <f t="shared" si="94"/>
        <v>0</v>
      </c>
      <c r="BH88" s="96">
        <f t="shared" si="95"/>
        <v>0</v>
      </c>
      <c r="BI88" s="96">
        <f t="shared" si="96"/>
        <v>0</v>
      </c>
      <c r="BJ88" s="96">
        <f t="shared" si="97"/>
        <v>0</v>
      </c>
      <c r="BK88" s="96">
        <f t="shared" si="98"/>
        <v>0</v>
      </c>
      <c r="BL88" s="96">
        <f t="shared" si="99"/>
        <v>0</v>
      </c>
      <c r="BM88" s="96">
        <f t="shared" si="100"/>
        <v>0</v>
      </c>
      <c r="BN88" s="96"/>
      <c r="BO88" s="95"/>
      <c r="BP88" s="95">
        <f t="shared" si="101"/>
        <v>0</v>
      </c>
      <c r="BQ88" s="95"/>
      <c r="BR88" s="95"/>
      <c r="BS88" s="95">
        <f t="shared" si="102"/>
        <v>0</v>
      </c>
      <c r="BT88" s="95">
        <f t="shared" si="103"/>
        <v>0</v>
      </c>
      <c r="BU88" s="95">
        <f t="shared" si="104"/>
        <v>0</v>
      </c>
      <c r="BV88" s="95">
        <f t="shared" si="105"/>
        <v>0</v>
      </c>
      <c r="BW88" s="95"/>
      <c r="BX88" s="95"/>
      <c r="BY88" s="95"/>
      <c r="BZ88" s="95"/>
      <c r="CA88" s="95">
        <f t="shared" si="117"/>
        <v>0</v>
      </c>
      <c r="CB88" s="97">
        <f t="shared" si="106"/>
        <v>0</v>
      </c>
      <c r="CC88" s="95"/>
      <c r="CD88" s="95"/>
      <c r="CE88" s="95">
        <f t="shared" si="107"/>
        <v>0</v>
      </c>
      <c r="CF88" s="95">
        <f t="shared" si="118"/>
        <v>0</v>
      </c>
      <c r="CG88" s="113"/>
      <c r="CH88" s="22"/>
      <c r="CI88" s="98">
        <f t="shared" si="108"/>
        <v>0</v>
      </c>
      <c r="CJ88" s="95">
        <f t="shared" si="109"/>
        <v>0</v>
      </c>
      <c r="CK88" s="95">
        <f t="shared" si="119"/>
        <v>0</v>
      </c>
      <c r="CL88" s="95"/>
      <c r="CM88" s="99"/>
      <c r="CN88" s="99"/>
      <c r="CO88" s="110"/>
      <c r="CP88" s="99"/>
      <c r="CQ88" s="99"/>
      <c r="CR88" s="99"/>
      <c r="CS88" s="95"/>
      <c r="CT88" s="95"/>
      <c r="CU88" s="96"/>
      <c r="CV88" s="96"/>
      <c r="CW88" s="96"/>
      <c r="CX88" s="96"/>
      <c r="CY88" s="96"/>
      <c r="CZ88" s="93">
        <f t="shared" si="120"/>
        <v>0</v>
      </c>
      <c r="DA88" s="93">
        <f t="shared" si="121"/>
        <v>0</v>
      </c>
      <c r="DB88" s="95">
        <f t="shared" si="110"/>
        <v>0</v>
      </c>
      <c r="DC88" s="100">
        <f t="shared" si="111"/>
        <v>0</v>
      </c>
      <c r="DD88" s="100"/>
      <c r="DE88" s="100">
        <f t="shared" si="112"/>
        <v>0</v>
      </c>
      <c r="DF88" s="13"/>
      <c r="DG88" s="2"/>
      <c r="DH88" s="46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</row>
    <row r="89" spans="1:156" s="1" customFormat="1" ht="12" hidden="1" customHeight="1" x14ac:dyDescent="0.2">
      <c r="A89" s="88">
        <f t="shared" si="82"/>
        <v>509745</v>
      </c>
      <c r="B89" s="21">
        <v>9745</v>
      </c>
      <c r="C89" s="21" t="s">
        <v>98</v>
      </c>
      <c r="D89" s="84" t="s">
        <v>161</v>
      </c>
      <c r="E89" s="114" t="s">
        <v>201</v>
      </c>
      <c r="F89" s="85">
        <v>0</v>
      </c>
      <c r="G89" s="84"/>
      <c r="H89" s="85"/>
      <c r="I89" s="86"/>
      <c r="J89" s="85"/>
      <c r="K89" s="21" t="s">
        <v>10</v>
      </c>
      <c r="L89" s="21"/>
      <c r="M89" s="87"/>
      <c r="N89" s="88"/>
      <c r="O89" s="88">
        <v>4</v>
      </c>
      <c r="P89" s="89">
        <f t="shared" si="113"/>
        <v>5700.7259999999997</v>
      </c>
      <c r="Q89" s="90">
        <f t="shared" si="114"/>
        <v>19002.419999999998</v>
      </c>
      <c r="R89" s="90">
        <f t="shared" si="115"/>
        <v>26397.963600000003</v>
      </c>
      <c r="S89" s="91"/>
      <c r="T89" s="92">
        <v>0</v>
      </c>
      <c r="U89" s="32">
        <f t="shared" si="116"/>
        <v>0</v>
      </c>
      <c r="V89" s="32">
        <v>0</v>
      </c>
      <c r="W89" s="32">
        <v>0</v>
      </c>
      <c r="X89" s="93">
        <v>0</v>
      </c>
      <c r="Y89" s="32">
        <v>0</v>
      </c>
      <c r="Z89" s="32">
        <v>0</v>
      </c>
      <c r="AA89" s="32">
        <v>0</v>
      </c>
      <c r="AB89" s="32">
        <v>0</v>
      </c>
      <c r="AC89" s="32">
        <v>0</v>
      </c>
      <c r="AD89" s="93">
        <v>0</v>
      </c>
      <c r="AE89" s="32">
        <v>0</v>
      </c>
      <c r="AF89" s="32">
        <v>0</v>
      </c>
      <c r="AG89" s="32">
        <v>0</v>
      </c>
      <c r="AH89" s="93">
        <v>0</v>
      </c>
      <c r="AI89" s="93">
        <v>0</v>
      </c>
      <c r="AJ89" s="93">
        <v>0</v>
      </c>
      <c r="AK89" s="32">
        <v>0</v>
      </c>
      <c r="AL89" s="32">
        <v>0</v>
      </c>
      <c r="AM89" s="32">
        <v>0</v>
      </c>
      <c r="AN89" s="32">
        <v>0</v>
      </c>
      <c r="AO89" s="32">
        <v>0</v>
      </c>
      <c r="AP89" s="32">
        <v>0</v>
      </c>
      <c r="AQ89" s="32">
        <v>0</v>
      </c>
      <c r="AR89" s="32">
        <v>0</v>
      </c>
      <c r="AS89" s="32">
        <v>0</v>
      </c>
      <c r="AT89" s="32">
        <v>0</v>
      </c>
      <c r="AU89" s="94">
        <f t="shared" si="83"/>
        <v>0</v>
      </c>
      <c r="AV89" s="95">
        <f t="shared" si="84"/>
        <v>0</v>
      </c>
      <c r="AW89" s="95">
        <f t="shared" si="85"/>
        <v>0</v>
      </c>
      <c r="AX89" s="95">
        <f t="shared" si="86"/>
        <v>0</v>
      </c>
      <c r="AY89" s="95">
        <f t="shared" si="87"/>
        <v>0</v>
      </c>
      <c r="AZ89" s="95">
        <f t="shared" si="88"/>
        <v>0</v>
      </c>
      <c r="BA89" s="95">
        <f t="shared" si="89"/>
        <v>0</v>
      </c>
      <c r="BB89" s="95">
        <f t="shared" si="90"/>
        <v>0</v>
      </c>
      <c r="BC89" s="96">
        <f t="shared" si="91"/>
        <v>0</v>
      </c>
      <c r="BD89" s="96">
        <f t="shared" si="92"/>
        <v>0</v>
      </c>
      <c r="BE89" s="96">
        <f t="shared" si="81"/>
        <v>0</v>
      </c>
      <c r="BF89" s="96">
        <f t="shared" si="93"/>
        <v>0</v>
      </c>
      <c r="BG89" s="96">
        <f t="shared" si="94"/>
        <v>0</v>
      </c>
      <c r="BH89" s="96">
        <f t="shared" si="95"/>
        <v>0</v>
      </c>
      <c r="BI89" s="96">
        <f t="shared" si="96"/>
        <v>0</v>
      </c>
      <c r="BJ89" s="96">
        <f t="shared" si="97"/>
        <v>0</v>
      </c>
      <c r="BK89" s="96">
        <f t="shared" si="98"/>
        <v>0</v>
      </c>
      <c r="BL89" s="96">
        <f t="shared" si="99"/>
        <v>0</v>
      </c>
      <c r="BM89" s="96">
        <f t="shared" si="100"/>
        <v>0</v>
      </c>
      <c r="BN89" s="96"/>
      <c r="BO89" s="95"/>
      <c r="BP89" s="95">
        <f t="shared" si="101"/>
        <v>0</v>
      </c>
      <c r="BQ89" s="95"/>
      <c r="BR89" s="95"/>
      <c r="BS89" s="95">
        <f t="shared" si="102"/>
        <v>0</v>
      </c>
      <c r="BT89" s="95">
        <f t="shared" si="103"/>
        <v>0</v>
      </c>
      <c r="BU89" s="95">
        <f t="shared" si="104"/>
        <v>0</v>
      </c>
      <c r="BV89" s="95">
        <f t="shared" si="105"/>
        <v>0</v>
      </c>
      <c r="BW89" s="95"/>
      <c r="BX89" s="95"/>
      <c r="BY89" s="95"/>
      <c r="BZ89" s="95"/>
      <c r="CA89" s="95">
        <f t="shared" si="117"/>
        <v>0</v>
      </c>
      <c r="CB89" s="97">
        <f t="shared" si="106"/>
        <v>0</v>
      </c>
      <c r="CC89" s="95"/>
      <c r="CD89" s="95"/>
      <c r="CE89" s="95">
        <f t="shared" si="107"/>
        <v>0</v>
      </c>
      <c r="CF89" s="95">
        <f t="shared" si="118"/>
        <v>0</v>
      </c>
      <c r="CG89" s="113"/>
      <c r="CH89" s="22"/>
      <c r="CI89" s="98">
        <f t="shared" si="108"/>
        <v>0</v>
      </c>
      <c r="CJ89" s="95">
        <f t="shared" si="109"/>
        <v>0</v>
      </c>
      <c r="CK89" s="95">
        <f t="shared" si="119"/>
        <v>0</v>
      </c>
      <c r="CL89" s="95">
        <v>0</v>
      </c>
      <c r="CM89" s="99"/>
      <c r="CN89" s="99">
        <v>0</v>
      </c>
      <c r="CO89" s="110"/>
      <c r="CP89" s="99"/>
      <c r="CQ89" s="99"/>
      <c r="CR89" s="99"/>
      <c r="CS89" s="95"/>
      <c r="CT89" s="95"/>
      <c r="CU89" s="96"/>
      <c r="CV89" s="96"/>
      <c r="CW89" s="96"/>
      <c r="CX89" s="96"/>
      <c r="CY89" s="96"/>
      <c r="CZ89" s="93">
        <f t="shared" si="120"/>
        <v>0</v>
      </c>
      <c r="DA89" s="93">
        <f t="shared" si="121"/>
        <v>0</v>
      </c>
      <c r="DB89" s="95">
        <f t="shared" si="110"/>
        <v>0</v>
      </c>
      <c r="DC89" s="100">
        <f t="shared" si="111"/>
        <v>0</v>
      </c>
      <c r="DD89" s="100"/>
      <c r="DE89" s="100">
        <f t="shared" si="112"/>
        <v>0</v>
      </c>
      <c r="DF89" s="13"/>
      <c r="DG89" s="2"/>
      <c r="DH89" s="46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</row>
    <row r="90" spans="1:156" s="1" customFormat="1" ht="12" hidden="1" customHeight="1" x14ac:dyDescent="0.2">
      <c r="A90" s="88">
        <f t="shared" si="82"/>
        <v>509710</v>
      </c>
      <c r="B90" s="21">
        <v>9710</v>
      </c>
      <c r="C90" s="21" t="s">
        <v>98</v>
      </c>
      <c r="D90" s="84" t="s">
        <v>142</v>
      </c>
      <c r="E90" s="115" t="s">
        <v>202</v>
      </c>
      <c r="F90" s="85">
        <v>3</v>
      </c>
      <c r="G90" s="84"/>
      <c r="H90" s="85"/>
      <c r="I90" s="86">
        <v>0.3</v>
      </c>
      <c r="J90" s="85"/>
      <c r="K90" s="21" t="s">
        <v>10</v>
      </c>
      <c r="L90" s="21"/>
      <c r="M90" s="87"/>
      <c r="N90" s="88"/>
      <c r="O90" s="88">
        <v>6</v>
      </c>
      <c r="P90" s="89">
        <f t="shared" si="113"/>
        <v>5700.7259999999997</v>
      </c>
      <c r="Q90" s="90">
        <f t="shared" si="114"/>
        <v>19002.419999999998</v>
      </c>
      <c r="R90" s="90">
        <f t="shared" si="115"/>
        <v>26397.963600000003</v>
      </c>
      <c r="S90" s="91"/>
      <c r="T90" s="92">
        <v>0</v>
      </c>
      <c r="U90" s="32">
        <f t="shared" si="116"/>
        <v>0</v>
      </c>
      <c r="V90" s="32">
        <v>0</v>
      </c>
      <c r="W90" s="32">
        <v>0</v>
      </c>
      <c r="X90" s="93">
        <v>0</v>
      </c>
      <c r="Y90" s="32">
        <v>0</v>
      </c>
      <c r="Z90" s="32">
        <v>0</v>
      </c>
      <c r="AA90" s="32">
        <v>0</v>
      </c>
      <c r="AB90" s="32">
        <v>0</v>
      </c>
      <c r="AC90" s="32">
        <v>0</v>
      </c>
      <c r="AD90" s="93">
        <v>0</v>
      </c>
      <c r="AE90" s="32">
        <v>0</v>
      </c>
      <c r="AF90" s="32">
        <v>0</v>
      </c>
      <c r="AG90" s="32">
        <v>0</v>
      </c>
      <c r="AH90" s="93">
        <v>0</v>
      </c>
      <c r="AI90" s="93">
        <v>0</v>
      </c>
      <c r="AJ90" s="93">
        <v>0</v>
      </c>
      <c r="AK90" s="32">
        <v>0</v>
      </c>
      <c r="AL90" s="32">
        <v>0</v>
      </c>
      <c r="AM90" s="32">
        <v>0</v>
      </c>
      <c r="AN90" s="32">
        <v>0</v>
      </c>
      <c r="AO90" s="32">
        <v>0</v>
      </c>
      <c r="AP90" s="32">
        <v>0</v>
      </c>
      <c r="AQ90" s="32">
        <v>0</v>
      </c>
      <c r="AR90" s="32">
        <v>0</v>
      </c>
      <c r="AS90" s="32">
        <v>0</v>
      </c>
      <c r="AT90" s="32">
        <v>0</v>
      </c>
      <c r="AU90" s="94">
        <f t="shared" si="83"/>
        <v>0</v>
      </c>
      <c r="AV90" s="95">
        <f t="shared" si="84"/>
        <v>0</v>
      </c>
      <c r="AW90" s="95">
        <f t="shared" si="85"/>
        <v>0</v>
      </c>
      <c r="AX90" s="95">
        <f t="shared" si="86"/>
        <v>0</v>
      </c>
      <c r="AY90" s="95">
        <f t="shared" si="87"/>
        <v>0</v>
      </c>
      <c r="AZ90" s="95">
        <f t="shared" si="88"/>
        <v>0</v>
      </c>
      <c r="BA90" s="95">
        <f t="shared" si="89"/>
        <v>0</v>
      </c>
      <c r="BB90" s="95">
        <f t="shared" si="90"/>
        <v>0</v>
      </c>
      <c r="BC90" s="96">
        <f t="shared" si="91"/>
        <v>0</v>
      </c>
      <c r="BD90" s="96">
        <f t="shared" si="92"/>
        <v>0</v>
      </c>
      <c r="BE90" s="96">
        <f t="shared" si="81"/>
        <v>0</v>
      </c>
      <c r="BF90" s="96">
        <f t="shared" si="93"/>
        <v>0</v>
      </c>
      <c r="BG90" s="96">
        <f t="shared" si="94"/>
        <v>0</v>
      </c>
      <c r="BH90" s="96">
        <f t="shared" si="95"/>
        <v>0</v>
      </c>
      <c r="BI90" s="96">
        <f t="shared" si="96"/>
        <v>0</v>
      </c>
      <c r="BJ90" s="96">
        <f t="shared" si="97"/>
        <v>0</v>
      </c>
      <c r="BK90" s="96">
        <f t="shared" si="98"/>
        <v>0</v>
      </c>
      <c r="BL90" s="96">
        <f t="shared" si="99"/>
        <v>0</v>
      </c>
      <c r="BM90" s="96">
        <f t="shared" si="100"/>
        <v>0</v>
      </c>
      <c r="BN90" s="96"/>
      <c r="BO90" s="95"/>
      <c r="BP90" s="95">
        <f t="shared" si="101"/>
        <v>0</v>
      </c>
      <c r="BQ90" s="95"/>
      <c r="BR90" s="95"/>
      <c r="BS90" s="95">
        <f t="shared" si="102"/>
        <v>0</v>
      </c>
      <c r="BT90" s="95">
        <f t="shared" si="103"/>
        <v>0</v>
      </c>
      <c r="BU90" s="95">
        <f t="shared" si="104"/>
        <v>0</v>
      </c>
      <c r="BV90" s="95">
        <f t="shared" si="105"/>
        <v>0</v>
      </c>
      <c r="BW90" s="95"/>
      <c r="BX90" s="95"/>
      <c r="BY90" s="95"/>
      <c r="BZ90" s="95"/>
      <c r="CA90" s="95">
        <f t="shared" si="117"/>
        <v>0</v>
      </c>
      <c r="CB90" s="97">
        <f t="shared" si="106"/>
        <v>0</v>
      </c>
      <c r="CC90" s="95"/>
      <c r="CD90" s="95"/>
      <c r="CE90" s="95">
        <f t="shared" si="107"/>
        <v>0</v>
      </c>
      <c r="CF90" s="95">
        <f t="shared" si="118"/>
        <v>0</v>
      </c>
      <c r="CG90" s="113"/>
      <c r="CH90" s="22"/>
      <c r="CI90" s="98">
        <f t="shared" si="108"/>
        <v>0</v>
      </c>
      <c r="CJ90" s="95">
        <f t="shared" si="109"/>
        <v>0</v>
      </c>
      <c r="CK90" s="95">
        <f t="shared" si="119"/>
        <v>0</v>
      </c>
      <c r="CL90" s="95">
        <v>0</v>
      </c>
      <c r="CM90" s="99"/>
      <c r="CN90" s="99">
        <v>0</v>
      </c>
      <c r="CO90" s="110"/>
      <c r="CP90" s="99"/>
      <c r="CQ90" s="99"/>
      <c r="CR90" s="99"/>
      <c r="CS90" s="95"/>
      <c r="CT90" s="95"/>
      <c r="CU90" s="96"/>
      <c r="CV90" s="96"/>
      <c r="CW90" s="96"/>
      <c r="CX90" s="96"/>
      <c r="CY90" s="96"/>
      <c r="CZ90" s="93">
        <f t="shared" si="120"/>
        <v>0</v>
      </c>
      <c r="DA90" s="93">
        <f t="shared" si="121"/>
        <v>0</v>
      </c>
      <c r="DB90" s="95">
        <f t="shared" si="110"/>
        <v>0</v>
      </c>
      <c r="DC90" s="100">
        <f t="shared" si="111"/>
        <v>0</v>
      </c>
      <c r="DD90" s="100"/>
      <c r="DE90" s="100">
        <f t="shared" si="112"/>
        <v>0</v>
      </c>
      <c r="DF90" s="13"/>
      <c r="DG90" s="2"/>
      <c r="DH90" s="46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</row>
    <row r="91" spans="1:156" s="1" customFormat="1" ht="12" hidden="1" customHeight="1" x14ac:dyDescent="0.2">
      <c r="A91" s="88">
        <f t="shared" si="82"/>
        <v>509712</v>
      </c>
      <c r="B91" s="21">
        <v>9712</v>
      </c>
      <c r="C91" s="21" t="s">
        <v>98</v>
      </c>
      <c r="D91" s="84" t="s">
        <v>143</v>
      </c>
      <c r="E91" s="115" t="s">
        <v>202</v>
      </c>
      <c r="F91" s="85">
        <v>0</v>
      </c>
      <c r="G91" s="84"/>
      <c r="H91" s="85">
        <v>63</v>
      </c>
      <c r="I91" s="86"/>
      <c r="J91" s="85"/>
      <c r="K91" s="21" t="s">
        <v>8</v>
      </c>
      <c r="L91" s="21"/>
      <c r="M91" s="87"/>
      <c r="N91" s="88"/>
      <c r="O91" s="88">
        <v>8</v>
      </c>
      <c r="P91" s="89">
        <f t="shared" si="113"/>
        <v>5401.2359999999999</v>
      </c>
      <c r="Q91" s="90">
        <f t="shared" si="114"/>
        <v>18004.12</v>
      </c>
      <c r="R91" s="90">
        <f t="shared" si="115"/>
        <v>25011.1211</v>
      </c>
      <c r="S91" s="91"/>
      <c r="T91" s="92">
        <v>0</v>
      </c>
      <c r="U91" s="32">
        <f t="shared" si="116"/>
        <v>0</v>
      </c>
      <c r="V91" s="32">
        <v>0</v>
      </c>
      <c r="W91" s="32">
        <v>0</v>
      </c>
      <c r="X91" s="93">
        <v>0</v>
      </c>
      <c r="Y91" s="32">
        <v>0</v>
      </c>
      <c r="Z91" s="32">
        <v>0</v>
      </c>
      <c r="AA91" s="32">
        <v>0</v>
      </c>
      <c r="AB91" s="32">
        <v>0</v>
      </c>
      <c r="AC91" s="32">
        <v>0</v>
      </c>
      <c r="AD91" s="93">
        <v>0</v>
      </c>
      <c r="AE91" s="32">
        <v>0</v>
      </c>
      <c r="AF91" s="32">
        <v>0</v>
      </c>
      <c r="AG91" s="32">
        <v>0</v>
      </c>
      <c r="AH91" s="93">
        <v>0</v>
      </c>
      <c r="AI91" s="93">
        <v>0</v>
      </c>
      <c r="AJ91" s="93">
        <v>0</v>
      </c>
      <c r="AK91" s="32">
        <v>0</v>
      </c>
      <c r="AL91" s="32">
        <v>0</v>
      </c>
      <c r="AM91" s="32">
        <v>0</v>
      </c>
      <c r="AN91" s="32">
        <v>0</v>
      </c>
      <c r="AO91" s="32">
        <v>0</v>
      </c>
      <c r="AP91" s="32">
        <v>0</v>
      </c>
      <c r="AQ91" s="32">
        <v>0</v>
      </c>
      <c r="AR91" s="32">
        <v>0</v>
      </c>
      <c r="AS91" s="32">
        <v>0</v>
      </c>
      <c r="AT91" s="32">
        <v>0</v>
      </c>
      <c r="AU91" s="94">
        <f t="shared" si="83"/>
        <v>0</v>
      </c>
      <c r="AV91" s="95">
        <f t="shared" si="84"/>
        <v>0</v>
      </c>
      <c r="AW91" s="95">
        <f t="shared" si="85"/>
        <v>0</v>
      </c>
      <c r="AX91" s="95">
        <f t="shared" si="86"/>
        <v>0</v>
      </c>
      <c r="AY91" s="95">
        <f t="shared" si="87"/>
        <v>0</v>
      </c>
      <c r="AZ91" s="95">
        <f t="shared" si="88"/>
        <v>0</v>
      </c>
      <c r="BA91" s="95">
        <f t="shared" si="89"/>
        <v>0</v>
      </c>
      <c r="BB91" s="95">
        <f t="shared" si="90"/>
        <v>0</v>
      </c>
      <c r="BC91" s="96">
        <f t="shared" si="91"/>
        <v>0</v>
      </c>
      <c r="BD91" s="96">
        <f t="shared" si="92"/>
        <v>0</v>
      </c>
      <c r="BE91" s="96">
        <f t="shared" si="81"/>
        <v>0</v>
      </c>
      <c r="BF91" s="96">
        <f t="shared" si="93"/>
        <v>0</v>
      </c>
      <c r="BG91" s="96">
        <f t="shared" si="94"/>
        <v>0</v>
      </c>
      <c r="BH91" s="96">
        <f t="shared" si="95"/>
        <v>0</v>
      </c>
      <c r="BI91" s="96">
        <f t="shared" si="96"/>
        <v>0</v>
      </c>
      <c r="BJ91" s="96">
        <f t="shared" si="97"/>
        <v>0</v>
      </c>
      <c r="BK91" s="96">
        <f t="shared" si="98"/>
        <v>0</v>
      </c>
      <c r="BL91" s="96">
        <f t="shared" si="99"/>
        <v>0</v>
      </c>
      <c r="BM91" s="96">
        <f t="shared" si="100"/>
        <v>0</v>
      </c>
      <c r="BN91" s="96"/>
      <c r="BO91" s="95"/>
      <c r="BP91" s="95">
        <f t="shared" si="101"/>
        <v>0</v>
      </c>
      <c r="BQ91" s="95"/>
      <c r="BR91" s="95"/>
      <c r="BS91" s="95">
        <f t="shared" si="102"/>
        <v>0</v>
      </c>
      <c r="BT91" s="95">
        <f t="shared" si="103"/>
        <v>0</v>
      </c>
      <c r="BU91" s="95">
        <f t="shared" si="104"/>
        <v>0</v>
      </c>
      <c r="BV91" s="95">
        <f t="shared" si="105"/>
        <v>0</v>
      </c>
      <c r="BW91" s="95"/>
      <c r="BX91" s="95"/>
      <c r="BY91" s="95"/>
      <c r="BZ91" s="95"/>
      <c r="CA91" s="95">
        <f t="shared" si="117"/>
        <v>0</v>
      </c>
      <c r="CB91" s="97">
        <f t="shared" si="106"/>
        <v>0</v>
      </c>
      <c r="CC91" s="95"/>
      <c r="CD91" s="95"/>
      <c r="CE91" s="95">
        <f t="shared" si="107"/>
        <v>0</v>
      </c>
      <c r="CF91" s="95">
        <f t="shared" si="118"/>
        <v>0</v>
      </c>
      <c r="CG91" s="113"/>
      <c r="CH91" s="22"/>
      <c r="CI91" s="98">
        <f t="shared" si="108"/>
        <v>0</v>
      </c>
      <c r="CJ91" s="95">
        <f t="shared" si="109"/>
        <v>0</v>
      </c>
      <c r="CK91" s="95">
        <f t="shared" si="119"/>
        <v>0</v>
      </c>
      <c r="CL91" s="95">
        <v>0</v>
      </c>
      <c r="CM91" s="99"/>
      <c r="CN91" s="99">
        <v>0</v>
      </c>
      <c r="CO91" s="110"/>
      <c r="CP91" s="99"/>
      <c r="CQ91" s="99"/>
      <c r="CR91" s="99"/>
      <c r="CS91" s="95"/>
      <c r="CT91" s="95"/>
      <c r="CU91" s="96"/>
      <c r="CV91" s="96"/>
      <c r="CW91" s="96"/>
      <c r="CX91" s="96"/>
      <c r="CY91" s="96"/>
      <c r="CZ91" s="93">
        <f t="shared" si="120"/>
        <v>0</v>
      </c>
      <c r="DA91" s="93">
        <f t="shared" si="121"/>
        <v>0</v>
      </c>
      <c r="DB91" s="95">
        <f t="shared" si="110"/>
        <v>0</v>
      </c>
      <c r="DC91" s="100">
        <f t="shared" si="111"/>
        <v>0</v>
      </c>
      <c r="DD91" s="100"/>
      <c r="DE91" s="100">
        <f t="shared" si="112"/>
        <v>0</v>
      </c>
      <c r="DF91" s="13"/>
      <c r="DG91" s="2"/>
      <c r="DH91" s="46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</row>
    <row r="92" spans="1:156" s="1" customFormat="1" ht="12" hidden="1" customHeight="1" x14ac:dyDescent="0.2">
      <c r="A92" s="88">
        <f t="shared" si="82"/>
        <v>509713</v>
      </c>
      <c r="B92" s="21">
        <v>9713</v>
      </c>
      <c r="C92" s="21" t="s">
        <v>98</v>
      </c>
      <c r="D92" s="84" t="s">
        <v>144</v>
      </c>
      <c r="E92" s="115" t="s">
        <v>202</v>
      </c>
      <c r="F92" s="85">
        <v>3</v>
      </c>
      <c r="G92" s="84"/>
      <c r="H92" s="85"/>
      <c r="I92" s="86">
        <v>0.3</v>
      </c>
      <c r="J92" s="85"/>
      <c r="K92" s="21" t="s">
        <v>10</v>
      </c>
      <c r="L92" s="21"/>
      <c r="M92" s="87"/>
      <c r="N92" s="88"/>
      <c r="O92" s="88">
        <v>6</v>
      </c>
      <c r="P92" s="89">
        <f t="shared" si="113"/>
        <v>5700.7259999999997</v>
      </c>
      <c r="Q92" s="90">
        <f t="shared" si="114"/>
        <v>19002.419999999998</v>
      </c>
      <c r="R92" s="90">
        <f t="shared" si="115"/>
        <v>26397.963600000003</v>
      </c>
      <c r="S92" s="91"/>
      <c r="T92" s="92">
        <v>0</v>
      </c>
      <c r="U92" s="32">
        <f t="shared" si="116"/>
        <v>0</v>
      </c>
      <c r="V92" s="32">
        <v>0</v>
      </c>
      <c r="W92" s="32">
        <v>0</v>
      </c>
      <c r="X92" s="93">
        <v>0</v>
      </c>
      <c r="Y92" s="32">
        <v>0</v>
      </c>
      <c r="Z92" s="32">
        <v>0</v>
      </c>
      <c r="AA92" s="32">
        <v>0</v>
      </c>
      <c r="AB92" s="32">
        <v>0</v>
      </c>
      <c r="AC92" s="32">
        <v>0</v>
      </c>
      <c r="AD92" s="93">
        <v>0</v>
      </c>
      <c r="AE92" s="32">
        <v>0</v>
      </c>
      <c r="AF92" s="32">
        <v>0</v>
      </c>
      <c r="AG92" s="32">
        <v>0</v>
      </c>
      <c r="AH92" s="93">
        <v>0</v>
      </c>
      <c r="AI92" s="93">
        <v>0</v>
      </c>
      <c r="AJ92" s="93">
        <v>0</v>
      </c>
      <c r="AK92" s="32">
        <v>0</v>
      </c>
      <c r="AL92" s="32">
        <v>0</v>
      </c>
      <c r="AM92" s="32">
        <v>0</v>
      </c>
      <c r="AN92" s="32">
        <v>0</v>
      </c>
      <c r="AO92" s="32">
        <v>0</v>
      </c>
      <c r="AP92" s="32">
        <v>0</v>
      </c>
      <c r="AQ92" s="32">
        <v>0</v>
      </c>
      <c r="AR92" s="32">
        <v>0</v>
      </c>
      <c r="AS92" s="32">
        <v>0</v>
      </c>
      <c r="AT92" s="32">
        <v>0</v>
      </c>
      <c r="AU92" s="94">
        <f t="shared" si="83"/>
        <v>0</v>
      </c>
      <c r="AV92" s="95">
        <f t="shared" si="84"/>
        <v>0</v>
      </c>
      <c r="AW92" s="95">
        <f t="shared" si="85"/>
        <v>0</v>
      </c>
      <c r="AX92" s="95">
        <f t="shared" si="86"/>
        <v>0</v>
      </c>
      <c r="AY92" s="95">
        <f t="shared" si="87"/>
        <v>0</v>
      </c>
      <c r="AZ92" s="95">
        <f t="shared" si="88"/>
        <v>0</v>
      </c>
      <c r="BA92" s="95">
        <f t="shared" si="89"/>
        <v>0</v>
      </c>
      <c r="BB92" s="95">
        <f t="shared" si="90"/>
        <v>0</v>
      </c>
      <c r="BC92" s="96">
        <f t="shared" si="91"/>
        <v>0</v>
      </c>
      <c r="BD92" s="96">
        <f t="shared" si="92"/>
        <v>0</v>
      </c>
      <c r="BE92" s="96">
        <f t="shared" si="81"/>
        <v>0</v>
      </c>
      <c r="BF92" s="96">
        <f t="shared" si="93"/>
        <v>0</v>
      </c>
      <c r="BG92" s="96">
        <f t="shared" si="94"/>
        <v>0</v>
      </c>
      <c r="BH92" s="96">
        <f t="shared" si="95"/>
        <v>0</v>
      </c>
      <c r="BI92" s="96">
        <f t="shared" si="96"/>
        <v>0</v>
      </c>
      <c r="BJ92" s="96">
        <f t="shared" si="97"/>
        <v>0</v>
      </c>
      <c r="BK92" s="96">
        <f t="shared" si="98"/>
        <v>0</v>
      </c>
      <c r="BL92" s="96">
        <f t="shared" si="99"/>
        <v>0</v>
      </c>
      <c r="BM92" s="96">
        <f t="shared" si="100"/>
        <v>0</v>
      </c>
      <c r="BN92" s="96"/>
      <c r="BO92" s="95"/>
      <c r="BP92" s="95">
        <f t="shared" si="101"/>
        <v>0</v>
      </c>
      <c r="BQ92" s="95"/>
      <c r="BR92" s="95"/>
      <c r="BS92" s="95">
        <f t="shared" si="102"/>
        <v>0</v>
      </c>
      <c r="BT92" s="95">
        <f t="shared" si="103"/>
        <v>0</v>
      </c>
      <c r="BU92" s="95">
        <f t="shared" si="104"/>
        <v>0</v>
      </c>
      <c r="BV92" s="95">
        <f t="shared" si="105"/>
        <v>0</v>
      </c>
      <c r="BW92" s="95"/>
      <c r="BX92" s="95"/>
      <c r="BY92" s="95"/>
      <c r="BZ92" s="95"/>
      <c r="CA92" s="95">
        <f t="shared" si="117"/>
        <v>0</v>
      </c>
      <c r="CB92" s="97">
        <f t="shared" si="106"/>
        <v>0</v>
      </c>
      <c r="CC92" s="95"/>
      <c r="CD92" s="95"/>
      <c r="CE92" s="95">
        <f t="shared" si="107"/>
        <v>0</v>
      </c>
      <c r="CF92" s="95">
        <f t="shared" si="118"/>
        <v>0</v>
      </c>
      <c r="CG92" s="113"/>
      <c r="CH92" s="22"/>
      <c r="CI92" s="98">
        <f t="shared" si="108"/>
        <v>0</v>
      </c>
      <c r="CJ92" s="95">
        <f t="shared" si="109"/>
        <v>0</v>
      </c>
      <c r="CK92" s="95">
        <f t="shared" si="119"/>
        <v>0</v>
      </c>
      <c r="CL92" s="95">
        <v>0</v>
      </c>
      <c r="CM92" s="99"/>
      <c r="CN92" s="99">
        <v>0</v>
      </c>
      <c r="CO92" s="110"/>
      <c r="CP92" s="99"/>
      <c r="CQ92" s="99"/>
      <c r="CR92" s="99"/>
      <c r="CS92" s="95"/>
      <c r="CT92" s="95"/>
      <c r="CU92" s="96"/>
      <c r="CV92" s="96"/>
      <c r="CW92" s="96"/>
      <c r="CX92" s="96"/>
      <c r="CY92" s="96"/>
      <c r="CZ92" s="93">
        <f t="shared" si="120"/>
        <v>0</v>
      </c>
      <c r="DA92" s="93">
        <f t="shared" si="121"/>
        <v>0</v>
      </c>
      <c r="DB92" s="95">
        <f t="shared" si="110"/>
        <v>0</v>
      </c>
      <c r="DC92" s="100">
        <f t="shared" si="111"/>
        <v>0</v>
      </c>
      <c r="DD92" s="100"/>
      <c r="DE92" s="100">
        <f t="shared" si="112"/>
        <v>0</v>
      </c>
      <c r="DF92" s="13"/>
      <c r="DG92" s="2"/>
      <c r="DH92" s="46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</row>
    <row r="93" spans="1:156" s="1" customFormat="1" ht="12" customHeight="1" x14ac:dyDescent="0.2">
      <c r="A93" s="88">
        <f t="shared" si="82"/>
        <v>509715</v>
      </c>
      <c r="B93" s="21">
        <v>9715</v>
      </c>
      <c r="C93" s="21" t="s">
        <v>98</v>
      </c>
      <c r="D93" s="84" t="s">
        <v>145</v>
      </c>
      <c r="E93" s="115" t="s">
        <v>202</v>
      </c>
      <c r="F93" s="85">
        <v>3</v>
      </c>
      <c r="G93" s="84"/>
      <c r="H93" s="85"/>
      <c r="I93" s="86"/>
      <c r="J93" s="85"/>
      <c r="K93" s="21" t="s">
        <v>10</v>
      </c>
      <c r="L93" s="21"/>
      <c r="M93" s="87"/>
      <c r="N93" s="88"/>
      <c r="O93" s="88">
        <v>8</v>
      </c>
      <c r="P93" s="89">
        <f t="shared" si="113"/>
        <v>5700.7259999999997</v>
      </c>
      <c r="Q93" s="90">
        <f t="shared" si="114"/>
        <v>19002.419999999998</v>
      </c>
      <c r="R93" s="90">
        <f t="shared" si="115"/>
        <v>26397.963600000003</v>
      </c>
      <c r="S93" s="91"/>
      <c r="T93" s="92">
        <v>7</v>
      </c>
      <c r="U93" s="32">
        <f t="shared" si="116"/>
        <v>7</v>
      </c>
      <c r="V93" s="32">
        <v>0</v>
      </c>
      <c r="W93" s="32">
        <v>1</v>
      </c>
      <c r="X93" s="93">
        <v>0</v>
      </c>
      <c r="Y93" s="32">
        <v>0</v>
      </c>
      <c r="Z93" s="32">
        <v>0</v>
      </c>
      <c r="AA93" s="32">
        <v>0</v>
      </c>
      <c r="AB93" s="32">
        <v>0</v>
      </c>
      <c r="AC93" s="32">
        <v>0</v>
      </c>
      <c r="AD93" s="93">
        <v>0</v>
      </c>
      <c r="AE93" s="32">
        <v>0</v>
      </c>
      <c r="AF93" s="32">
        <v>0</v>
      </c>
      <c r="AG93" s="32">
        <v>0</v>
      </c>
      <c r="AH93" s="93">
        <v>0</v>
      </c>
      <c r="AI93" s="93">
        <v>0</v>
      </c>
      <c r="AJ93" s="93">
        <v>0</v>
      </c>
      <c r="AK93" s="32">
        <v>0</v>
      </c>
      <c r="AL93" s="32">
        <v>0</v>
      </c>
      <c r="AM93" s="32">
        <v>0</v>
      </c>
      <c r="AN93" s="32">
        <v>0</v>
      </c>
      <c r="AO93" s="32">
        <v>0</v>
      </c>
      <c r="AP93" s="32">
        <v>0</v>
      </c>
      <c r="AQ93" s="32">
        <v>0</v>
      </c>
      <c r="AR93" s="32">
        <v>0</v>
      </c>
      <c r="AS93" s="32">
        <v>0</v>
      </c>
      <c r="AT93" s="32">
        <v>0</v>
      </c>
      <c r="AU93" s="94">
        <f t="shared" si="83"/>
        <v>8</v>
      </c>
      <c r="AV93" s="95">
        <f t="shared" si="84"/>
        <v>133016.94</v>
      </c>
      <c r="AW93" s="95">
        <f t="shared" si="85"/>
        <v>0</v>
      </c>
      <c r="AX93" s="95">
        <f t="shared" si="86"/>
        <v>19002.419999999998</v>
      </c>
      <c r="AY93" s="95">
        <f t="shared" si="87"/>
        <v>0</v>
      </c>
      <c r="AZ93" s="95">
        <f t="shared" si="88"/>
        <v>0</v>
      </c>
      <c r="BA93" s="95">
        <f t="shared" si="89"/>
        <v>0</v>
      </c>
      <c r="BB93" s="95">
        <f t="shared" si="90"/>
        <v>0</v>
      </c>
      <c r="BC93" s="96">
        <f t="shared" si="91"/>
        <v>0</v>
      </c>
      <c r="BD93" s="96">
        <f t="shared" si="92"/>
        <v>0</v>
      </c>
      <c r="BE93" s="96">
        <f t="shared" si="81"/>
        <v>0</v>
      </c>
      <c r="BF93" s="96">
        <f t="shared" si="93"/>
        <v>0</v>
      </c>
      <c r="BG93" s="96">
        <f t="shared" si="94"/>
        <v>0</v>
      </c>
      <c r="BH93" s="96">
        <f t="shared" si="95"/>
        <v>0</v>
      </c>
      <c r="BI93" s="96">
        <f t="shared" si="96"/>
        <v>0</v>
      </c>
      <c r="BJ93" s="96">
        <f t="shared" si="97"/>
        <v>0</v>
      </c>
      <c r="BK93" s="96">
        <f t="shared" si="98"/>
        <v>0</v>
      </c>
      <c r="BL93" s="96">
        <f t="shared" si="99"/>
        <v>14593.858559999999</v>
      </c>
      <c r="BM93" s="96">
        <f t="shared" si="100"/>
        <v>0</v>
      </c>
      <c r="BN93" s="96"/>
      <c r="BO93" s="95"/>
      <c r="BP93" s="95">
        <f t="shared" si="101"/>
        <v>0</v>
      </c>
      <c r="BQ93" s="95"/>
      <c r="BR93" s="95"/>
      <c r="BS93" s="95">
        <f t="shared" si="102"/>
        <v>0</v>
      </c>
      <c r="BT93" s="95">
        <f t="shared" si="103"/>
        <v>0</v>
      </c>
      <c r="BU93" s="95">
        <f t="shared" si="104"/>
        <v>0</v>
      </c>
      <c r="BV93" s="95">
        <f t="shared" si="105"/>
        <v>0</v>
      </c>
      <c r="BW93" s="95"/>
      <c r="BX93" s="95"/>
      <c r="BY93" s="95"/>
      <c r="BZ93" s="95"/>
      <c r="CA93" s="95">
        <f t="shared" si="117"/>
        <v>0</v>
      </c>
      <c r="CB93" s="97">
        <f t="shared" si="106"/>
        <v>166613.21855999998</v>
      </c>
      <c r="CC93" s="95"/>
      <c r="CD93" s="95"/>
      <c r="CE93" s="95">
        <f t="shared" si="107"/>
        <v>-4998.3965567999994</v>
      </c>
      <c r="CF93" s="95">
        <f t="shared" si="118"/>
        <v>-2499.1982783999997</v>
      </c>
      <c r="CG93" s="113"/>
      <c r="CH93" s="22"/>
      <c r="CI93" s="98">
        <f t="shared" si="108"/>
        <v>231459.08322355192</v>
      </c>
      <c r="CJ93" s="95">
        <f t="shared" si="109"/>
        <v>-6943.7724967065569</v>
      </c>
      <c r="CK93" s="95">
        <f t="shared" si="119"/>
        <v>-3471.8862483532785</v>
      </c>
      <c r="CL93" s="95">
        <v>0</v>
      </c>
      <c r="CM93" s="99"/>
      <c r="CN93" s="99">
        <v>0</v>
      </c>
      <c r="CO93" s="110"/>
      <c r="CP93" s="99"/>
      <c r="CQ93" s="99"/>
      <c r="CR93" s="99"/>
      <c r="CS93" s="95"/>
      <c r="CT93" s="95"/>
      <c r="CU93" s="96"/>
      <c r="CV93" s="96"/>
      <c r="CW93" s="96"/>
      <c r="CX93" s="96"/>
      <c r="CY93" s="96"/>
      <c r="CZ93" s="93">
        <f t="shared" si="120"/>
        <v>0</v>
      </c>
      <c r="DA93" s="93">
        <f t="shared" si="121"/>
        <v>0</v>
      </c>
      <c r="DB93" s="95">
        <f t="shared" si="110"/>
        <v>380159.04820329207</v>
      </c>
      <c r="DC93" s="100">
        <f t="shared" si="111"/>
        <v>380159</v>
      </c>
      <c r="DD93" s="100"/>
      <c r="DE93" s="100">
        <f t="shared" si="112"/>
        <v>-380159</v>
      </c>
      <c r="DF93" s="13"/>
      <c r="DG93" s="2"/>
      <c r="DH93" s="46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</row>
    <row r="94" spans="1:156" s="1" customFormat="1" ht="12" customHeight="1" x14ac:dyDescent="0.2">
      <c r="A94" s="88">
        <f t="shared" si="82"/>
        <v>509716</v>
      </c>
      <c r="B94" s="21">
        <v>9716</v>
      </c>
      <c r="C94" s="21" t="s">
        <v>98</v>
      </c>
      <c r="D94" s="84" t="s">
        <v>146</v>
      </c>
      <c r="E94" s="115" t="s">
        <v>202</v>
      </c>
      <c r="F94" s="85">
        <v>0</v>
      </c>
      <c r="G94" s="84"/>
      <c r="H94" s="85"/>
      <c r="I94" s="86"/>
      <c r="J94" s="85"/>
      <c r="K94" s="21" t="s">
        <v>10</v>
      </c>
      <c r="L94" s="21"/>
      <c r="M94" s="87"/>
      <c r="N94" s="88"/>
      <c r="O94" s="88">
        <v>0</v>
      </c>
      <c r="P94" s="89">
        <f t="shared" si="113"/>
        <v>5700.7259999999997</v>
      </c>
      <c r="Q94" s="90">
        <f t="shared" si="114"/>
        <v>19002.419999999998</v>
      </c>
      <c r="R94" s="90">
        <f t="shared" si="115"/>
        <v>26397.963600000003</v>
      </c>
      <c r="S94" s="91"/>
      <c r="T94" s="92">
        <v>11</v>
      </c>
      <c r="U94" s="32">
        <f t="shared" si="116"/>
        <v>11</v>
      </c>
      <c r="V94" s="32">
        <v>0</v>
      </c>
      <c r="W94" s="32">
        <v>1</v>
      </c>
      <c r="X94" s="93">
        <v>0</v>
      </c>
      <c r="Y94" s="32">
        <v>0</v>
      </c>
      <c r="Z94" s="32">
        <v>0</v>
      </c>
      <c r="AA94" s="32">
        <v>0</v>
      </c>
      <c r="AB94" s="32">
        <v>0</v>
      </c>
      <c r="AC94" s="32">
        <v>0</v>
      </c>
      <c r="AD94" s="93">
        <v>0</v>
      </c>
      <c r="AE94" s="32">
        <v>0</v>
      </c>
      <c r="AF94" s="32">
        <v>0</v>
      </c>
      <c r="AG94" s="32">
        <v>0</v>
      </c>
      <c r="AH94" s="93">
        <v>0</v>
      </c>
      <c r="AI94" s="93">
        <v>0</v>
      </c>
      <c r="AJ94" s="93">
        <v>0</v>
      </c>
      <c r="AK94" s="32">
        <v>0</v>
      </c>
      <c r="AL94" s="32">
        <v>0</v>
      </c>
      <c r="AM94" s="32">
        <v>0</v>
      </c>
      <c r="AN94" s="32">
        <v>0</v>
      </c>
      <c r="AO94" s="32">
        <v>0</v>
      </c>
      <c r="AP94" s="32">
        <v>0</v>
      </c>
      <c r="AQ94" s="32">
        <v>0</v>
      </c>
      <c r="AR94" s="32">
        <v>0</v>
      </c>
      <c r="AS94" s="32">
        <v>0</v>
      </c>
      <c r="AT94" s="32">
        <v>0</v>
      </c>
      <c r="AU94" s="94">
        <f t="shared" si="83"/>
        <v>12</v>
      </c>
      <c r="AV94" s="95">
        <f t="shared" si="84"/>
        <v>209026.62</v>
      </c>
      <c r="AW94" s="95">
        <f t="shared" si="85"/>
        <v>0</v>
      </c>
      <c r="AX94" s="95">
        <f t="shared" si="86"/>
        <v>19002.419999999998</v>
      </c>
      <c r="AY94" s="95">
        <f t="shared" si="87"/>
        <v>0</v>
      </c>
      <c r="AZ94" s="95">
        <f t="shared" si="88"/>
        <v>0</v>
      </c>
      <c r="BA94" s="95">
        <f t="shared" si="89"/>
        <v>0</v>
      </c>
      <c r="BB94" s="95">
        <f t="shared" si="90"/>
        <v>0</v>
      </c>
      <c r="BC94" s="96">
        <f t="shared" si="91"/>
        <v>0</v>
      </c>
      <c r="BD94" s="96">
        <f t="shared" si="92"/>
        <v>0</v>
      </c>
      <c r="BE94" s="96">
        <f t="shared" si="81"/>
        <v>0</v>
      </c>
      <c r="BF94" s="96">
        <f t="shared" si="93"/>
        <v>0</v>
      </c>
      <c r="BG94" s="96">
        <f t="shared" si="94"/>
        <v>0</v>
      </c>
      <c r="BH94" s="96">
        <f t="shared" si="95"/>
        <v>0</v>
      </c>
      <c r="BI94" s="96">
        <f t="shared" si="96"/>
        <v>0</v>
      </c>
      <c r="BJ94" s="96">
        <f t="shared" si="97"/>
        <v>0</v>
      </c>
      <c r="BK94" s="96">
        <f t="shared" si="98"/>
        <v>0</v>
      </c>
      <c r="BL94" s="96">
        <f t="shared" si="99"/>
        <v>0</v>
      </c>
      <c r="BM94" s="96">
        <f t="shared" si="100"/>
        <v>0</v>
      </c>
      <c r="BN94" s="96"/>
      <c r="BO94" s="95"/>
      <c r="BP94" s="95">
        <f t="shared" si="101"/>
        <v>0</v>
      </c>
      <c r="BQ94" s="95"/>
      <c r="BR94" s="95"/>
      <c r="BS94" s="95">
        <f t="shared" si="102"/>
        <v>0</v>
      </c>
      <c r="BT94" s="95">
        <f t="shared" si="103"/>
        <v>0</v>
      </c>
      <c r="BU94" s="95">
        <f t="shared" si="104"/>
        <v>0</v>
      </c>
      <c r="BV94" s="95">
        <f t="shared" si="105"/>
        <v>0</v>
      </c>
      <c r="BW94" s="95"/>
      <c r="BX94" s="95"/>
      <c r="BY94" s="95"/>
      <c r="BZ94" s="95"/>
      <c r="CA94" s="95">
        <f t="shared" si="117"/>
        <v>0</v>
      </c>
      <c r="CB94" s="97">
        <f t="shared" si="106"/>
        <v>228029.03999999998</v>
      </c>
      <c r="CC94" s="95"/>
      <c r="CD94" s="95"/>
      <c r="CE94" s="95">
        <f t="shared" si="107"/>
        <v>-6840.8711999999987</v>
      </c>
      <c r="CF94" s="95">
        <f t="shared" si="118"/>
        <v>-3420.4355999999993</v>
      </c>
      <c r="CG94" s="113"/>
      <c r="CH94" s="22"/>
      <c r="CI94" s="98">
        <f t="shared" si="108"/>
        <v>316777.94236799993</v>
      </c>
      <c r="CJ94" s="95">
        <f t="shared" si="109"/>
        <v>-9503.3382710399983</v>
      </c>
      <c r="CK94" s="95">
        <f t="shared" si="119"/>
        <v>-4751.6691355199991</v>
      </c>
      <c r="CL94" s="95">
        <v>0</v>
      </c>
      <c r="CM94" s="99"/>
      <c r="CN94" s="99">
        <v>0</v>
      </c>
      <c r="CO94" s="110"/>
      <c r="CP94" s="99"/>
      <c r="CQ94" s="99"/>
      <c r="CR94" s="99"/>
      <c r="CS94" s="95"/>
      <c r="CT94" s="95"/>
      <c r="CU94" s="96"/>
      <c r="CV94" s="96"/>
      <c r="CW94" s="96"/>
      <c r="CX94" s="96"/>
      <c r="CY94" s="96"/>
      <c r="CZ94" s="93">
        <f t="shared" si="120"/>
        <v>0</v>
      </c>
      <c r="DA94" s="93">
        <f t="shared" si="121"/>
        <v>0</v>
      </c>
      <c r="DB94" s="95">
        <f t="shared" si="110"/>
        <v>520290.66816143994</v>
      </c>
      <c r="DC94" s="100">
        <f t="shared" si="111"/>
        <v>520291</v>
      </c>
      <c r="DD94" s="100"/>
      <c r="DE94" s="100">
        <f t="shared" si="112"/>
        <v>-520291</v>
      </c>
      <c r="DF94" s="13"/>
      <c r="DG94" s="2"/>
      <c r="DH94" s="46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</row>
    <row r="95" spans="1:156" s="1" customFormat="1" ht="12" hidden="1" customHeight="1" x14ac:dyDescent="0.2">
      <c r="A95" s="88">
        <f t="shared" si="82"/>
        <v>509719</v>
      </c>
      <c r="B95" s="21">
        <v>9719</v>
      </c>
      <c r="C95" s="21" t="s">
        <v>98</v>
      </c>
      <c r="D95" s="84" t="s">
        <v>147</v>
      </c>
      <c r="E95" s="115" t="s">
        <v>202</v>
      </c>
      <c r="F95" s="85">
        <v>3</v>
      </c>
      <c r="G95" s="84"/>
      <c r="H95" s="85"/>
      <c r="I95" s="86"/>
      <c r="J95" s="85"/>
      <c r="K95" s="21" t="s">
        <v>8</v>
      </c>
      <c r="L95" s="21"/>
      <c r="M95" s="87"/>
      <c r="N95" s="88"/>
      <c r="O95" s="88">
        <v>18</v>
      </c>
      <c r="P95" s="89">
        <f t="shared" si="113"/>
        <v>5401.2359999999999</v>
      </c>
      <c r="Q95" s="90">
        <f t="shared" si="114"/>
        <v>18004.12</v>
      </c>
      <c r="R95" s="90">
        <f t="shared" si="115"/>
        <v>25011.1211</v>
      </c>
      <c r="S95" s="91"/>
      <c r="T95" s="92">
        <v>0</v>
      </c>
      <c r="U95" s="32">
        <f t="shared" si="116"/>
        <v>0</v>
      </c>
      <c r="V95" s="32">
        <v>0</v>
      </c>
      <c r="W95" s="32">
        <v>0</v>
      </c>
      <c r="X95" s="93">
        <v>0</v>
      </c>
      <c r="Y95" s="32">
        <v>0</v>
      </c>
      <c r="Z95" s="32">
        <v>0</v>
      </c>
      <c r="AA95" s="32">
        <v>0</v>
      </c>
      <c r="AB95" s="32">
        <v>0</v>
      </c>
      <c r="AC95" s="32">
        <v>0</v>
      </c>
      <c r="AD95" s="93">
        <v>0</v>
      </c>
      <c r="AE95" s="32">
        <v>0</v>
      </c>
      <c r="AF95" s="32">
        <v>0</v>
      </c>
      <c r="AG95" s="32">
        <v>0</v>
      </c>
      <c r="AH95" s="93">
        <v>0</v>
      </c>
      <c r="AI95" s="93">
        <v>0</v>
      </c>
      <c r="AJ95" s="93">
        <v>0</v>
      </c>
      <c r="AK95" s="32">
        <v>0</v>
      </c>
      <c r="AL95" s="32">
        <v>0</v>
      </c>
      <c r="AM95" s="32">
        <v>0</v>
      </c>
      <c r="AN95" s="32">
        <v>0</v>
      </c>
      <c r="AO95" s="32">
        <v>0</v>
      </c>
      <c r="AP95" s="32">
        <v>0</v>
      </c>
      <c r="AQ95" s="32">
        <v>0</v>
      </c>
      <c r="AR95" s="32">
        <v>0</v>
      </c>
      <c r="AS95" s="32">
        <v>0</v>
      </c>
      <c r="AT95" s="32">
        <v>0</v>
      </c>
      <c r="AU95" s="94">
        <f t="shared" si="83"/>
        <v>0</v>
      </c>
      <c r="AV95" s="95">
        <f t="shared" si="84"/>
        <v>0</v>
      </c>
      <c r="AW95" s="95">
        <f t="shared" si="85"/>
        <v>0</v>
      </c>
      <c r="AX95" s="95">
        <f t="shared" si="86"/>
        <v>0</v>
      </c>
      <c r="AY95" s="95">
        <f t="shared" si="87"/>
        <v>0</v>
      </c>
      <c r="AZ95" s="95">
        <f t="shared" si="88"/>
        <v>0</v>
      </c>
      <c r="BA95" s="95">
        <f t="shared" si="89"/>
        <v>0</v>
      </c>
      <c r="BB95" s="95">
        <f t="shared" si="90"/>
        <v>0</v>
      </c>
      <c r="BC95" s="96">
        <f t="shared" si="91"/>
        <v>0</v>
      </c>
      <c r="BD95" s="96">
        <f t="shared" si="92"/>
        <v>0</v>
      </c>
      <c r="BE95" s="96">
        <f t="shared" si="81"/>
        <v>0</v>
      </c>
      <c r="BF95" s="96">
        <f t="shared" si="93"/>
        <v>0</v>
      </c>
      <c r="BG95" s="96">
        <f t="shared" si="94"/>
        <v>0</v>
      </c>
      <c r="BH95" s="96">
        <f t="shared" si="95"/>
        <v>0</v>
      </c>
      <c r="BI95" s="96">
        <f t="shared" si="96"/>
        <v>0</v>
      </c>
      <c r="BJ95" s="96">
        <f t="shared" si="97"/>
        <v>0</v>
      </c>
      <c r="BK95" s="96">
        <f t="shared" si="98"/>
        <v>0</v>
      </c>
      <c r="BL95" s="96">
        <f t="shared" si="99"/>
        <v>0</v>
      </c>
      <c r="BM95" s="96">
        <f t="shared" si="100"/>
        <v>0</v>
      </c>
      <c r="BN95" s="96"/>
      <c r="BO95" s="95"/>
      <c r="BP95" s="95">
        <f t="shared" si="101"/>
        <v>0</v>
      </c>
      <c r="BQ95" s="95"/>
      <c r="BR95" s="95"/>
      <c r="BS95" s="95">
        <f t="shared" si="102"/>
        <v>0</v>
      </c>
      <c r="BT95" s="95">
        <f t="shared" si="103"/>
        <v>0</v>
      </c>
      <c r="BU95" s="95">
        <f t="shared" si="104"/>
        <v>0</v>
      </c>
      <c r="BV95" s="95">
        <f t="shared" si="105"/>
        <v>0</v>
      </c>
      <c r="BW95" s="95"/>
      <c r="BX95" s="95"/>
      <c r="BY95" s="95"/>
      <c r="BZ95" s="95"/>
      <c r="CA95" s="95">
        <f t="shared" si="117"/>
        <v>0</v>
      </c>
      <c r="CB95" s="97">
        <f t="shared" si="106"/>
        <v>0</v>
      </c>
      <c r="CC95" s="95"/>
      <c r="CD95" s="95"/>
      <c r="CE95" s="95">
        <f t="shared" si="107"/>
        <v>0</v>
      </c>
      <c r="CF95" s="95">
        <f t="shared" si="118"/>
        <v>0</v>
      </c>
      <c r="CG95" s="113"/>
      <c r="CH95" s="22"/>
      <c r="CI95" s="98">
        <f t="shared" si="108"/>
        <v>0</v>
      </c>
      <c r="CJ95" s="95">
        <f t="shared" si="109"/>
        <v>0</v>
      </c>
      <c r="CK95" s="95">
        <f t="shared" si="119"/>
        <v>0</v>
      </c>
      <c r="CL95" s="95">
        <v>0</v>
      </c>
      <c r="CM95" s="99"/>
      <c r="CN95" s="99">
        <v>0</v>
      </c>
      <c r="CO95" s="110"/>
      <c r="CP95" s="99"/>
      <c r="CQ95" s="99"/>
      <c r="CR95" s="99"/>
      <c r="CS95" s="95"/>
      <c r="CT95" s="95"/>
      <c r="CU95" s="96"/>
      <c r="CV95" s="96"/>
      <c r="CW95" s="96"/>
      <c r="CX95" s="96"/>
      <c r="CY95" s="96"/>
      <c r="CZ95" s="93">
        <f t="shared" si="120"/>
        <v>0</v>
      </c>
      <c r="DA95" s="93">
        <f t="shared" si="121"/>
        <v>0</v>
      </c>
      <c r="DB95" s="95">
        <f t="shared" si="110"/>
        <v>0</v>
      </c>
      <c r="DC95" s="100">
        <f t="shared" si="111"/>
        <v>0</v>
      </c>
      <c r="DD95" s="100"/>
      <c r="DE95" s="100">
        <f t="shared" si="112"/>
        <v>0</v>
      </c>
      <c r="DF95" s="13"/>
      <c r="DG95" s="2"/>
      <c r="DH95" s="46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</row>
    <row r="96" spans="1:156" s="1" customFormat="1" ht="12" customHeight="1" x14ac:dyDescent="0.2">
      <c r="A96" s="88">
        <f t="shared" si="82"/>
        <v>509722</v>
      </c>
      <c r="B96" s="21">
        <v>9722</v>
      </c>
      <c r="C96" s="21" t="s">
        <v>98</v>
      </c>
      <c r="D96" s="84" t="s">
        <v>148</v>
      </c>
      <c r="E96" s="115" t="s">
        <v>202</v>
      </c>
      <c r="F96" s="85">
        <v>3</v>
      </c>
      <c r="G96" s="84"/>
      <c r="H96" s="85"/>
      <c r="I96" s="86"/>
      <c r="J96" s="85"/>
      <c r="K96" s="21" t="s">
        <v>10</v>
      </c>
      <c r="L96" s="21"/>
      <c r="M96" s="87"/>
      <c r="N96" s="88"/>
      <c r="O96" s="88">
        <v>17</v>
      </c>
      <c r="P96" s="89">
        <f t="shared" si="113"/>
        <v>5700.7259999999997</v>
      </c>
      <c r="Q96" s="90">
        <f t="shared" si="114"/>
        <v>19002.419999999998</v>
      </c>
      <c r="R96" s="90">
        <f t="shared" si="115"/>
        <v>26397.963600000003</v>
      </c>
      <c r="S96" s="91"/>
      <c r="T96" s="92">
        <v>2</v>
      </c>
      <c r="U96" s="32">
        <f t="shared" si="116"/>
        <v>2</v>
      </c>
      <c r="V96" s="32">
        <v>0</v>
      </c>
      <c r="W96" s="32">
        <v>1</v>
      </c>
      <c r="X96" s="93">
        <v>0</v>
      </c>
      <c r="Y96" s="32">
        <v>0</v>
      </c>
      <c r="Z96" s="32">
        <v>0</v>
      </c>
      <c r="AA96" s="32">
        <v>0</v>
      </c>
      <c r="AB96" s="32">
        <v>0</v>
      </c>
      <c r="AC96" s="32">
        <v>0</v>
      </c>
      <c r="AD96" s="93">
        <v>0</v>
      </c>
      <c r="AE96" s="32">
        <v>0</v>
      </c>
      <c r="AF96" s="32">
        <v>0</v>
      </c>
      <c r="AG96" s="32">
        <v>0</v>
      </c>
      <c r="AH96" s="93">
        <v>0</v>
      </c>
      <c r="AI96" s="93">
        <v>0</v>
      </c>
      <c r="AJ96" s="93">
        <v>0</v>
      </c>
      <c r="AK96" s="32">
        <v>0</v>
      </c>
      <c r="AL96" s="32">
        <v>0</v>
      </c>
      <c r="AM96" s="32">
        <v>0</v>
      </c>
      <c r="AN96" s="32">
        <v>0</v>
      </c>
      <c r="AO96" s="32">
        <v>0</v>
      </c>
      <c r="AP96" s="32">
        <v>0</v>
      </c>
      <c r="AQ96" s="32">
        <v>0</v>
      </c>
      <c r="AR96" s="32">
        <v>0</v>
      </c>
      <c r="AS96" s="32">
        <v>0</v>
      </c>
      <c r="AT96" s="32">
        <v>0</v>
      </c>
      <c r="AU96" s="94">
        <f t="shared" si="83"/>
        <v>3</v>
      </c>
      <c r="AV96" s="95">
        <f t="shared" si="84"/>
        <v>38004.839999999997</v>
      </c>
      <c r="AW96" s="95">
        <f t="shared" si="85"/>
        <v>0</v>
      </c>
      <c r="AX96" s="95">
        <f t="shared" si="86"/>
        <v>19002.419999999998</v>
      </c>
      <c r="AY96" s="95">
        <f t="shared" si="87"/>
        <v>0</v>
      </c>
      <c r="AZ96" s="95">
        <f t="shared" si="88"/>
        <v>0</v>
      </c>
      <c r="BA96" s="95">
        <f t="shared" si="89"/>
        <v>0</v>
      </c>
      <c r="BB96" s="95">
        <f t="shared" si="90"/>
        <v>0</v>
      </c>
      <c r="BC96" s="96">
        <f t="shared" si="91"/>
        <v>0</v>
      </c>
      <c r="BD96" s="96">
        <f t="shared" si="92"/>
        <v>0</v>
      </c>
      <c r="BE96" s="96">
        <f t="shared" si="81"/>
        <v>0</v>
      </c>
      <c r="BF96" s="96">
        <f t="shared" si="93"/>
        <v>0</v>
      </c>
      <c r="BG96" s="96">
        <f t="shared" si="94"/>
        <v>0</v>
      </c>
      <c r="BH96" s="96">
        <f t="shared" si="95"/>
        <v>0</v>
      </c>
      <c r="BI96" s="96">
        <f t="shared" si="96"/>
        <v>0</v>
      </c>
      <c r="BJ96" s="96">
        <f t="shared" si="97"/>
        <v>0</v>
      </c>
      <c r="BK96" s="96">
        <f t="shared" si="98"/>
        <v>0</v>
      </c>
      <c r="BL96" s="96">
        <f t="shared" si="99"/>
        <v>11629.481039999999</v>
      </c>
      <c r="BM96" s="96">
        <f t="shared" si="100"/>
        <v>0</v>
      </c>
      <c r="BN96" s="96"/>
      <c r="BO96" s="95"/>
      <c r="BP96" s="95">
        <f t="shared" si="101"/>
        <v>0</v>
      </c>
      <c r="BQ96" s="95"/>
      <c r="BR96" s="95"/>
      <c r="BS96" s="95">
        <f t="shared" si="102"/>
        <v>0</v>
      </c>
      <c r="BT96" s="95">
        <f t="shared" si="103"/>
        <v>0</v>
      </c>
      <c r="BU96" s="95">
        <f t="shared" si="104"/>
        <v>0</v>
      </c>
      <c r="BV96" s="95">
        <f t="shared" si="105"/>
        <v>0</v>
      </c>
      <c r="BW96" s="95"/>
      <c r="BX96" s="95"/>
      <c r="BY96" s="95"/>
      <c r="BZ96" s="95"/>
      <c r="CA96" s="95">
        <f t="shared" si="117"/>
        <v>0</v>
      </c>
      <c r="CB96" s="97">
        <f t="shared" si="106"/>
        <v>68636.741039999994</v>
      </c>
      <c r="CC96" s="95"/>
      <c r="CD96" s="95"/>
      <c r="CE96" s="95">
        <f t="shared" si="107"/>
        <v>-2059.1022311999996</v>
      </c>
      <c r="CF96" s="95">
        <f t="shared" si="118"/>
        <v>-1029.5511155999998</v>
      </c>
      <c r="CG96" s="113"/>
      <c r="CH96" s="22"/>
      <c r="CI96" s="98">
        <f t="shared" si="108"/>
        <v>95350.160652767969</v>
      </c>
      <c r="CJ96" s="95">
        <f t="shared" si="109"/>
        <v>-2860.5048195830391</v>
      </c>
      <c r="CK96" s="95">
        <f t="shared" si="119"/>
        <v>-1430.2524097915195</v>
      </c>
      <c r="CL96" s="95">
        <v>0</v>
      </c>
      <c r="CM96" s="99"/>
      <c r="CN96" s="99">
        <v>0</v>
      </c>
      <c r="CO96" s="110"/>
      <c r="CP96" s="99"/>
      <c r="CQ96" s="99"/>
      <c r="CR96" s="99"/>
      <c r="CS96" s="95"/>
      <c r="CT96" s="95"/>
      <c r="CU96" s="96"/>
      <c r="CV96" s="96"/>
      <c r="CW96" s="96"/>
      <c r="CX96" s="96"/>
      <c r="CY96" s="96"/>
      <c r="CZ96" s="93">
        <f t="shared" si="120"/>
        <v>0</v>
      </c>
      <c r="DA96" s="93">
        <f t="shared" si="121"/>
        <v>0</v>
      </c>
      <c r="DB96" s="95">
        <f t="shared" si="110"/>
        <v>156607.49111659342</v>
      </c>
      <c r="DC96" s="100">
        <f t="shared" si="111"/>
        <v>156607</v>
      </c>
      <c r="DD96" s="100"/>
      <c r="DE96" s="100">
        <f t="shared" si="112"/>
        <v>-156607</v>
      </c>
      <c r="DF96" s="13"/>
      <c r="DG96" s="2"/>
      <c r="DH96" s="46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</row>
    <row r="97" spans="1:156" s="1" customFormat="1" ht="12" hidden="1" customHeight="1" x14ac:dyDescent="0.2">
      <c r="A97" s="88">
        <f t="shared" si="82"/>
        <v>509723</v>
      </c>
      <c r="B97" s="21">
        <v>9723</v>
      </c>
      <c r="C97" s="21" t="s">
        <v>98</v>
      </c>
      <c r="D97" s="84" t="s">
        <v>149</v>
      </c>
      <c r="E97" s="115" t="s">
        <v>202</v>
      </c>
      <c r="F97" s="85">
        <v>3</v>
      </c>
      <c r="G97" s="84"/>
      <c r="H97" s="85"/>
      <c r="I97" s="86"/>
      <c r="J97" s="85"/>
      <c r="K97" s="21" t="s">
        <v>10</v>
      </c>
      <c r="L97" s="21"/>
      <c r="M97" s="87"/>
      <c r="N97" s="88"/>
      <c r="O97" s="88">
        <v>12</v>
      </c>
      <c r="P97" s="89">
        <f t="shared" si="113"/>
        <v>5700.7259999999997</v>
      </c>
      <c r="Q97" s="90">
        <f t="shared" si="114"/>
        <v>19002.419999999998</v>
      </c>
      <c r="R97" s="90">
        <f t="shared" si="115"/>
        <v>26397.963600000003</v>
      </c>
      <c r="S97" s="91"/>
      <c r="T97" s="92">
        <v>0</v>
      </c>
      <c r="U97" s="32">
        <f t="shared" si="116"/>
        <v>0</v>
      </c>
      <c r="V97" s="32">
        <v>0</v>
      </c>
      <c r="W97" s="32">
        <v>0</v>
      </c>
      <c r="X97" s="93">
        <v>0</v>
      </c>
      <c r="Y97" s="32">
        <v>0</v>
      </c>
      <c r="Z97" s="32">
        <v>0</v>
      </c>
      <c r="AA97" s="32">
        <v>0</v>
      </c>
      <c r="AB97" s="32">
        <v>0</v>
      </c>
      <c r="AC97" s="32">
        <v>0</v>
      </c>
      <c r="AD97" s="93">
        <v>0</v>
      </c>
      <c r="AE97" s="32">
        <v>0</v>
      </c>
      <c r="AF97" s="32">
        <v>0</v>
      </c>
      <c r="AG97" s="32">
        <v>0</v>
      </c>
      <c r="AH97" s="93">
        <v>0</v>
      </c>
      <c r="AI97" s="93">
        <v>0</v>
      </c>
      <c r="AJ97" s="93">
        <v>0</v>
      </c>
      <c r="AK97" s="32">
        <v>0</v>
      </c>
      <c r="AL97" s="32">
        <v>0</v>
      </c>
      <c r="AM97" s="32">
        <v>0</v>
      </c>
      <c r="AN97" s="32">
        <v>0</v>
      </c>
      <c r="AO97" s="32">
        <v>0</v>
      </c>
      <c r="AP97" s="32">
        <v>0</v>
      </c>
      <c r="AQ97" s="32">
        <v>0</v>
      </c>
      <c r="AR97" s="32">
        <v>0</v>
      </c>
      <c r="AS97" s="32">
        <v>0</v>
      </c>
      <c r="AT97" s="32">
        <v>0</v>
      </c>
      <c r="AU97" s="94">
        <f t="shared" si="83"/>
        <v>0</v>
      </c>
      <c r="AV97" s="95">
        <f t="shared" si="84"/>
        <v>0</v>
      </c>
      <c r="AW97" s="95">
        <f t="shared" si="85"/>
        <v>0</v>
      </c>
      <c r="AX97" s="95">
        <f t="shared" si="86"/>
        <v>0</v>
      </c>
      <c r="AY97" s="95">
        <f t="shared" si="87"/>
        <v>0</v>
      </c>
      <c r="AZ97" s="95">
        <f t="shared" si="88"/>
        <v>0</v>
      </c>
      <c r="BA97" s="95">
        <f t="shared" si="89"/>
        <v>0</v>
      </c>
      <c r="BB97" s="95">
        <f t="shared" si="90"/>
        <v>0</v>
      </c>
      <c r="BC97" s="96">
        <f t="shared" si="91"/>
        <v>0</v>
      </c>
      <c r="BD97" s="96">
        <f t="shared" si="92"/>
        <v>0</v>
      </c>
      <c r="BE97" s="96">
        <f t="shared" si="81"/>
        <v>0</v>
      </c>
      <c r="BF97" s="96">
        <f t="shared" si="93"/>
        <v>0</v>
      </c>
      <c r="BG97" s="96">
        <f t="shared" si="94"/>
        <v>0</v>
      </c>
      <c r="BH97" s="96">
        <f t="shared" si="95"/>
        <v>0</v>
      </c>
      <c r="BI97" s="96">
        <f t="shared" si="96"/>
        <v>0</v>
      </c>
      <c r="BJ97" s="96">
        <f t="shared" si="97"/>
        <v>0</v>
      </c>
      <c r="BK97" s="96">
        <f t="shared" si="98"/>
        <v>0</v>
      </c>
      <c r="BL97" s="96">
        <f t="shared" si="99"/>
        <v>0</v>
      </c>
      <c r="BM97" s="96">
        <f t="shared" si="100"/>
        <v>0</v>
      </c>
      <c r="BN97" s="96"/>
      <c r="BO97" s="95"/>
      <c r="BP97" s="95">
        <f t="shared" si="101"/>
        <v>0</v>
      </c>
      <c r="BQ97" s="95"/>
      <c r="BR97" s="95"/>
      <c r="BS97" s="95">
        <f t="shared" si="102"/>
        <v>0</v>
      </c>
      <c r="BT97" s="95">
        <f t="shared" si="103"/>
        <v>0</v>
      </c>
      <c r="BU97" s="95">
        <f t="shared" si="104"/>
        <v>0</v>
      </c>
      <c r="BV97" s="95">
        <f t="shared" si="105"/>
        <v>0</v>
      </c>
      <c r="BW97" s="95"/>
      <c r="BX97" s="95"/>
      <c r="BY97" s="95"/>
      <c r="BZ97" s="95"/>
      <c r="CA97" s="95">
        <f t="shared" si="117"/>
        <v>0</v>
      </c>
      <c r="CB97" s="97">
        <f t="shared" si="106"/>
        <v>0</v>
      </c>
      <c r="CC97" s="95"/>
      <c r="CD97" s="95"/>
      <c r="CE97" s="95">
        <f t="shared" si="107"/>
        <v>0</v>
      </c>
      <c r="CF97" s="95">
        <f t="shared" si="118"/>
        <v>0</v>
      </c>
      <c r="CG97" s="113"/>
      <c r="CH97" s="22"/>
      <c r="CI97" s="98">
        <f t="shared" si="108"/>
        <v>0</v>
      </c>
      <c r="CJ97" s="95">
        <f t="shared" si="109"/>
        <v>0</v>
      </c>
      <c r="CK97" s="95">
        <f t="shared" si="119"/>
        <v>0</v>
      </c>
      <c r="CL97" s="95">
        <v>0</v>
      </c>
      <c r="CM97" s="99"/>
      <c r="CN97" s="99">
        <v>0</v>
      </c>
      <c r="CO97" s="110"/>
      <c r="CP97" s="99"/>
      <c r="CQ97" s="99"/>
      <c r="CR97" s="99"/>
      <c r="CS97" s="95"/>
      <c r="CT97" s="95"/>
      <c r="CU97" s="96"/>
      <c r="CV97" s="96"/>
      <c r="CW97" s="96"/>
      <c r="CX97" s="96"/>
      <c r="CY97" s="96"/>
      <c r="CZ97" s="93">
        <f t="shared" si="120"/>
        <v>0</v>
      </c>
      <c r="DA97" s="93">
        <f t="shared" si="121"/>
        <v>0</v>
      </c>
      <c r="DB97" s="95">
        <f t="shared" si="110"/>
        <v>0</v>
      </c>
      <c r="DC97" s="100">
        <f t="shared" si="111"/>
        <v>0</v>
      </c>
      <c r="DD97" s="100"/>
      <c r="DE97" s="100">
        <f t="shared" si="112"/>
        <v>0</v>
      </c>
      <c r="DF97" s="13"/>
      <c r="DG97" s="2"/>
      <c r="DH97" s="46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</row>
    <row r="98" spans="1:156" s="1" customFormat="1" ht="12" hidden="1" customHeight="1" x14ac:dyDescent="0.2">
      <c r="A98" s="88">
        <f t="shared" si="82"/>
        <v>509724</v>
      </c>
      <c r="B98" s="21">
        <v>9724</v>
      </c>
      <c r="C98" s="21" t="s">
        <v>98</v>
      </c>
      <c r="D98" s="84" t="s">
        <v>150</v>
      </c>
      <c r="E98" s="115" t="s">
        <v>202</v>
      </c>
      <c r="F98" s="85">
        <v>3</v>
      </c>
      <c r="G98" s="84"/>
      <c r="H98" s="85">
        <v>61</v>
      </c>
      <c r="I98" s="86"/>
      <c r="J98" s="85"/>
      <c r="K98" s="21" t="s">
        <v>10</v>
      </c>
      <c r="L98" s="21"/>
      <c r="M98" s="87"/>
      <c r="N98" s="88"/>
      <c r="O98" s="88">
        <v>17</v>
      </c>
      <c r="P98" s="89">
        <f t="shared" si="113"/>
        <v>5700.7259999999997</v>
      </c>
      <c r="Q98" s="90">
        <f t="shared" si="114"/>
        <v>19002.419999999998</v>
      </c>
      <c r="R98" s="90">
        <f t="shared" si="115"/>
        <v>26397.963600000003</v>
      </c>
      <c r="S98" s="91"/>
      <c r="T98" s="92">
        <v>0</v>
      </c>
      <c r="U98" s="32">
        <f t="shared" si="116"/>
        <v>0</v>
      </c>
      <c r="V98" s="32">
        <v>0</v>
      </c>
      <c r="W98" s="32">
        <v>0</v>
      </c>
      <c r="X98" s="93">
        <v>0</v>
      </c>
      <c r="Y98" s="32">
        <v>0</v>
      </c>
      <c r="Z98" s="32">
        <v>0</v>
      </c>
      <c r="AA98" s="32">
        <v>0</v>
      </c>
      <c r="AB98" s="32">
        <v>0</v>
      </c>
      <c r="AC98" s="32">
        <v>0</v>
      </c>
      <c r="AD98" s="93">
        <v>0</v>
      </c>
      <c r="AE98" s="32">
        <v>0</v>
      </c>
      <c r="AF98" s="32">
        <v>0</v>
      </c>
      <c r="AG98" s="32">
        <v>0</v>
      </c>
      <c r="AH98" s="93">
        <v>0</v>
      </c>
      <c r="AI98" s="93">
        <v>0</v>
      </c>
      <c r="AJ98" s="93">
        <v>0</v>
      </c>
      <c r="AK98" s="32">
        <v>0</v>
      </c>
      <c r="AL98" s="32">
        <v>0</v>
      </c>
      <c r="AM98" s="32">
        <v>0</v>
      </c>
      <c r="AN98" s="32">
        <v>0</v>
      </c>
      <c r="AO98" s="32">
        <v>0</v>
      </c>
      <c r="AP98" s="32">
        <v>0</v>
      </c>
      <c r="AQ98" s="32">
        <v>0</v>
      </c>
      <c r="AR98" s="32">
        <v>0</v>
      </c>
      <c r="AS98" s="32">
        <v>0</v>
      </c>
      <c r="AT98" s="32">
        <v>0</v>
      </c>
      <c r="AU98" s="94">
        <f t="shared" si="83"/>
        <v>0</v>
      </c>
      <c r="AV98" s="95">
        <f t="shared" si="84"/>
        <v>0</v>
      </c>
      <c r="AW98" s="95">
        <f t="shared" si="85"/>
        <v>0</v>
      </c>
      <c r="AX98" s="95">
        <f t="shared" si="86"/>
        <v>0</v>
      </c>
      <c r="AY98" s="95">
        <f t="shared" si="87"/>
        <v>0</v>
      </c>
      <c r="AZ98" s="95">
        <f t="shared" si="88"/>
        <v>0</v>
      </c>
      <c r="BA98" s="95">
        <f t="shared" si="89"/>
        <v>0</v>
      </c>
      <c r="BB98" s="95">
        <f t="shared" si="90"/>
        <v>0</v>
      </c>
      <c r="BC98" s="96">
        <f t="shared" si="91"/>
        <v>0</v>
      </c>
      <c r="BD98" s="96">
        <f t="shared" si="92"/>
        <v>0</v>
      </c>
      <c r="BE98" s="96">
        <f t="shared" si="81"/>
        <v>0</v>
      </c>
      <c r="BF98" s="96">
        <f t="shared" si="93"/>
        <v>0</v>
      </c>
      <c r="BG98" s="96">
        <f t="shared" si="94"/>
        <v>0</v>
      </c>
      <c r="BH98" s="96">
        <f t="shared" si="95"/>
        <v>0</v>
      </c>
      <c r="BI98" s="96">
        <f t="shared" si="96"/>
        <v>0</v>
      </c>
      <c r="BJ98" s="96">
        <f t="shared" si="97"/>
        <v>0</v>
      </c>
      <c r="BK98" s="96">
        <f t="shared" si="98"/>
        <v>0</v>
      </c>
      <c r="BL98" s="96">
        <f t="shared" si="99"/>
        <v>0</v>
      </c>
      <c r="BM98" s="96">
        <f t="shared" si="100"/>
        <v>0</v>
      </c>
      <c r="BN98" s="96"/>
      <c r="BO98" s="95"/>
      <c r="BP98" s="95">
        <f t="shared" si="101"/>
        <v>0</v>
      </c>
      <c r="BQ98" s="95"/>
      <c r="BR98" s="95"/>
      <c r="BS98" s="95">
        <f t="shared" si="102"/>
        <v>0</v>
      </c>
      <c r="BT98" s="95">
        <f t="shared" si="103"/>
        <v>0</v>
      </c>
      <c r="BU98" s="95">
        <f t="shared" si="104"/>
        <v>0</v>
      </c>
      <c r="BV98" s="95">
        <f t="shared" si="105"/>
        <v>0</v>
      </c>
      <c r="BW98" s="95"/>
      <c r="BX98" s="95"/>
      <c r="BY98" s="95"/>
      <c r="BZ98" s="95"/>
      <c r="CA98" s="95">
        <f t="shared" si="117"/>
        <v>0</v>
      </c>
      <c r="CB98" s="97">
        <f t="shared" si="106"/>
        <v>0</v>
      </c>
      <c r="CC98" s="95"/>
      <c r="CD98" s="95"/>
      <c r="CE98" s="95">
        <f t="shared" si="107"/>
        <v>0</v>
      </c>
      <c r="CF98" s="95">
        <f t="shared" si="118"/>
        <v>0</v>
      </c>
      <c r="CG98" s="113"/>
      <c r="CH98" s="22"/>
      <c r="CI98" s="98">
        <f t="shared" si="108"/>
        <v>0</v>
      </c>
      <c r="CJ98" s="95">
        <f t="shared" si="109"/>
        <v>0</v>
      </c>
      <c r="CK98" s="95">
        <f t="shared" si="119"/>
        <v>0</v>
      </c>
      <c r="CL98" s="95">
        <v>0</v>
      </c>
      <c r="CM98" s="99"/>
      <c r="CN98" s="99">
        <v>0</v>
      </c>
      <c r="CO98" s="110"/>
      <c r="CP98" s="99"/>
      <c r="CQ98" s="99"/>
      <c r="CR98" s="99"/>
      <c r="CS98" s="95"/>
      <c r="CT98" s="95"/>
      <c r="CU98" s="96"/>
      <c r="CV98" s="96"/>
      <c r="CW98" s="96"/>
      <c r="CX98" s="96"/>
      <c r="CY98" s="96"/>
      <c r="CZ98" s="93">
        <f t="shared" si="120"/>
        <v>0</v>
      </c>
      <c r="DA98" s="93">
        <f t="shared" si="121"/>
        <v>0</v>
      </c>
      <c r="DB98" s="95">
        <f t="shared" si="110"/>
        <v>0</v>
      </c>
      <c r="DC98" s="100">
        <f t="shared" si="111"/>
        <v>0</v>
      </c>
      <c r="DD98" s="100"/>
      <c r="DE98" s="100">
        <f t="shared" si="112"/>
        <v>0</v>
      </c>
      <c r="DF98" s="13"/>
      <c r="DG98" s="2"/>
      <c r="DH98" s="46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</row>
    <row r="99" spans="1:156" s="1" customFormat="1" ht="12" hidden="1" customHeight="1" x14ac:dyDescent="0.2">
      <c r="A99" s="88">
        <f t="shared" si="82"/>
        <v>509726</v>
      </c>
      <c r="B99" s="21">
        <v>9726</v>
      </c>
      <c r="C99" s="21" t="s">
        <v>98</v>
      </c>
      <c r="D99" s="84" t="s">
        <v>151</v>
      </c>
      <c r="E99" s="115" t="s">
        <v>202</v>
      </c>
      <c r="F99" s="85">
        <v>3</v>
      </c>
      <c r="G99" s="84"/>
      <c r="H99" s="85"/>
      <c r="I99" s="86"/>
      <c r="J99" s="85"/>
      <c r="K99" s="21" t="s">
        <v>10</v>
      </c>
      <c r="L99" s="21"/>
      <c r="M99" s="87"/>
      <c r="N99" s="88"/>
      <c r="O99" s="88">
        <v>5</v>
      </c>
      <c r="P99" s="89">
        <f t="shared" si="113"/>
        <v>5700.7259999999997</v>
      </c>
      <c r="Q99" s="90">
        <f t="shared" si="114"/>
        <v>19002.419999999998</v>
      </c>
      <c r="R99" s="90">
        <f t="shared" si="115"/>
        <v>26397.963600000003</v>
      </c>
      <c r="S99" s="91"/>
      <c r="T99" s="92">
        <v>0</v>
      </c>
      <c r="U99" s="32">
        <f t="shared" si="116"/>
        <v>0</v>
      </c>
      <c r="V99" s="32">
        <v>0</v>
      </c>
      <c r="W99" s="32">
        <v>0</v>
      </c>
      <c r="X99" s="93">
        <v>0</v>
      </c>
      <c r="Y99" s="32">
        <v>0</v>
      </c>
      <c r="Z99" s="32">
        <v>0</v>
      </c>
      <c r="AA99" s="32">
        <v>0</v>
      </c>
      <c r="AB99" s="32">
        <v>0</v>
      </c>
      <c r="AC99" s="32">
        <v>0</v>
      </c>
      <c r="AD99" s="93">
        <v>0</v>
      </c>
      <c r="AE99" s="32">
        <v>0</v>
      </c>
      <c r="AF99" s="32">
        <v>0</v>
      </c>
      <c r="AG99" s="32">
        <v>0</v>
      </c>
      <c r="AH99" s="93">
        <v>0</v>
      </c>
      <c r="AI99" s="93">
        <v>0</v>
      </c>
      <c r="AJ99" s="93">
        <v>0</v>
      </c>
      <c r="AK99" s="32">
        <v>0</v>
      </c>
      <c r="AL99" s="32">
        <v>0</v>
      </c>
      <c r="AM99" s="32">
        <v>0</v>
      </c>
      <c r="AN99" s="32">
        <v>0</v>
      </c>
      <c r="AO99" s="32">
        <v>0</v>
      </c>
      <c r="AP99" s="32">
        <v>0</v>
      </c>
      <c r="AQ99" s="32">
        <v>0</v>
      </c>
      <c r="AR99" s="32">
        <v>0</v>
      </c>
      <c r="AS99" s="32">
        <v>0</v>
      </c>
      <c r="AT99" s="32">
        <v>0</v>
      </c>
      <c r="AU99" s="94">
        <f t="shared" si="83"/>
        <v>0</v>
      </c>
      <c r="AV99" s="95">
        <f t="shared" si="84"/>
        <v>0</v>
      </c>
      <c r="AW99" s="95">
        <f t="shared" si="85"/>
        <v>0</v>
      </c>
      <c r="AX99" s="95">
        <f t="shared" si="86"/>
        <v>0</v>
      </c>
      <c r="AY99" s="95">
        <f t="shared" si="87"/>
        <v>0</v>
      </c>
      <c r="AZ99" s="95">
        <f t="shared" si="88"/>
        <v>0</v>
      </c>
      <c r="BA99" s="95">
        <f t="shared" si="89"/>
        <v>0</v>
      </c>
      <c r="BB99" s="95">
        <f t="shared" si="90"/>
        <v>0</v>
      </c>
      <c r="BC99" s="96">
        <f t="shared" si="91"/>
        <v>0</v>
      </c>
      <c r="BD99" s="96">
        <f t="shared" si="92"/>
        <v>0</v>
      </c>
      <c r="BE99" s="96">
        <f t="shared" si="81"/>
        <v>0</v>
      </c>
      <c r="BF99" s="96">
        <f t="shared" si="93"/>
        <v>0</v>
      </c>
      <c r="BG99" s="96">
        <f t="shared" si="94"/>
        <v>0</v>
      </c>
      <c r="BH99" s="96">
        <f t="shared" si="95"/>
        <v>0</v>
      </c>
      <c r="BI99" s="96">
        <f t="shared" si="96"/>
        <v>0</v>
      </c>
      <c r="BJ99" s="96">
        <f t="shared" si="97"/>
        <v>0</v>
      </c>
      <c r="BK99" s="96">
        <f t="shared" si="98"/>
        <v>0</v>
      </c>
      <c r="BL99" s="96">
        <f t="shared" si="99"/>
        <v>0</v>
      </c>
      <c r="BM99" s="96">
        <f t="shared" si="100"/>
        <v>0</v>
      </c>
      <c r="BN99" s="96"/>
      <c r="BO99" s="95"/>
      <c r="BP99" s="95">
        <f t="shared" si="101"/>
        <v>0</v>
      </c>
      <c r="BQ99" s="95"/>
      <c r="BR99" s="95"/>
      <c r="BS99" s="95">
        <f t="shared" si="102"/>
        <v>0</v>
      </c>
      <c r="BT99" s="95">
        <f t="shared" si="103"/>
        <v>0</v>
      </c>
      <c r="BU99" s="95">
        <f t="shared" si="104"/>
        <v>0</v>
      </c>
      <c r="BV99" s="95">
        <f t="shared" si="105"/>
        <v>0</v>
      </c>
      <c r="BW99" s="95"/>
      <c r="BX99" s="95"/>
      <c r="BY99" s="95"/>
      <c r="BZ99" s="95"/>
      <c r="CA99" s="95">
        <f t="shared" si="117"/>
        <v>0</v>
      </c>
      <c r="CB99" s="97">
        <f t="shared" si="106"/>
        <v>0</v>
      </c>
      <c r="CC99" s="95"/>
      <c r="CD99" s="95"/>
      <c r="CE99" s="95">
        <f t="shared" si="107"/>
        <v>0</v>
      </c>
      <c r="CF99" s="95">
        <f t="shared" si="118"/>
        <v>0</v>
      </c>
      <c r="CG99" s="113"/>
      <c r="CH99" s="22"/>
      <c r="CI99" s="98">
        <f t="shared" si="108"/>
        <v>0</v>
      </c>
      <c r="CJ99" s="95">
        <f t="shared" si="109"/>
        <v>0</v>
      </c>
      <c r="CK99" s="95">
        <f t="shared" si="119"/>
        <v>0</v>
      </c>
      <c r="CL99" s="95">
        <v>0</v>
      </c>
      <c r="CM99" s="99"/>
      <c r="CN99" s="99">
        <v>0</v>
      </c>
      <c r="CO99" s="110"/>
      <c r="CP99" s="99"/>
      <c r="CQ99" s="99"/>
      <c r="CR99" s="99"/>
      <c r="CS99" s="95"/>
      <c r="CT99" s="95"/>
      <c r="CU99" s="96"/>
      <c r="CV99" s="96"/>
      <c r="CW99" s="96"/>
      <c r="CX99" s="96"/>
      <c r="CY99" s="96"/>
      <c r="CZ99" s="93">
        <f t="shared" si="120"/>
        <v>0</v>
      </c>
      <c r="DA99" s="93">
        <f t="shared" si="121"/>
        <v>0</v>
      </c>
      <c r="DB99" s="95">
        <f t="shared" si="110"/>
        <v>0</v>
      </c>
      <c r="DC99" s="100">
        <f t="shared" si="111"/>
        <v>0</v>
      </c>
      <c r="DD99" s="100"/>
      <c r="DE99" s="100">
        <f t="shared" si="112"/>
        <v>0</v>
      </c>
      <c r="DF99" s="13"/>
      <c r="DG99" s="2"/>
      <c r="DH99" s="46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</row>
    <row r="100" spans="1:156" s="1" customFormat="1" ht="12" customHeight="1" x14ac:dyDescent="0.2">
      <c r="A100" s="88">
        <f t="shared" si="82"/>
        <v>509640</v>
      </c>
      <c r="B100" s="21">
        <v>9640</v>
      </c>
      <c r="C100" s="21" t="s">
        <v>98</v>
      </c>
      <c r="D100" s="84" t="s">
        <v>103</v>
      </c>
      <c r="E100" s="115" t="s">
        <v>202</v>
      </c>
      <c r="F100" s="85">
        <v>3</v>
      </c>
      <c r="G100" s="84"/>
      <c r="H100" s="85"/>
      <c r="I100" s="86"/>
      <c r="J100" s="85"/>
      <c r="K100" s="21" t="s">
        <v>10</v>
      </c>
      <c r="L100" s="21"/>
      <c r="M100" s="87"/>
      <c r="N100" s="88"/>
      <c r="O100" s="88">
        <v>10</v>
      </c>
      <c r="P100" s="89">
        <f t="shared" si="113"/>
        <v>5700.7259999999997</v>
      </c>
      <c r="Q100" s="90">
        <f t="shared" si="114"/>
        <v>19002.419999999998</v>
      </c>
      <c r="R100" s="90">
        <f t="shared" si="115"/>
        <v>26397.963600000003</v>
      </c>
      <c r="S100" s="91"/>
      <c r="T100" s="92">
        <v>6</v>
      </c>
      <c r="U100" s="32">
        <f t="shared" si="116"/>
        <v>6</v>
      </c>
      <c r="V100" s="32">
        <v>0</v>
      </c>
      <c r="W100" s="32">
        <v>0</v>
      </c>
      <c r="X100" s="93">
        <v>0</v>
      </c>
      <c r="Y100" s="32">
        <v>0</v>
      </c>
      <c r="Z100" s="32">
        <v>0</v>
      </c>
      <c r="AA100" s="32">
        <v>0</v>
      </c>
      <c r="AB100" s="32">
        <v>0</v>
      </c>
      <c r="AC100" s="32">
        <v>0</v>
      </c>
      <c r="AD100" s="93">
        <v>0</v>
      </c>
      <c r="AE100" s="32">
        <v>0</v>
      </c>
      <c r="AF100" s="32">
        <v>0</v>
      </c>
      <c r="AG100" s="32">
        <v>0</v>
      </c>
      <c r="AH100" s="93">
        <v>0</v>
      </c>
      <c r="AI100" s="93">
        <v>0</v>
      </c>
      <c r="AJ100" s="93">
        <v>0</v>
      </c>
      <c r="AK100" s="32">
        <v>0</v>
      </c>
      <c r="AL100" s="32">
        <v>0</v>
      </c>
      <c r="AM100" s="32">
        <v>0</v>
      </c>
      <c r="AN100" s="32">
        <v>0</v>
      </c>
      <c r="AO100" s="32">
        <v>0</v>
      </c>
      <c r="AP100" s="32">
        <v>0</v>
      </c>
      <c r="AQ100" s="32">
        <v>0</v>
      </c>
      <c r="AR100" s="32">
        <v>0</v>
      </c>
      <c r="AS100" s="32">
        <v>0</v>
      </c>
      <c r="AT100" s="32">
        <v>0</v>
      </c>
      <c r="AU100" s="94">
        <f t="shared" si="83"/>
        <v>6</v>
      </c>
      <c r="AV100" s="95">
        <f t="shared" si="84"/>
        <v>114014.51999999999</v>
      </c>
      <c r="AW100" s="95">
        <f t="shared" si="85"/>
        <v>0</v>
      </c>
      <c r="AX100" s="95">
        <f t="shared" si="86"/>
        <v>0</v>
      </c>
      <c r="AY100" s="95">
        <f t="shared" si="87"/>
        <v>0</v>
      </c>
      <c r="AZ100" s="95">
        <f t="shared" si="88"/>
        <v>0</v>
      </c>
      <c r="BA100" s="95">
        <f t="shared" si="89"/>
        <v>0</v>
      </c>
      <c r="BB100" s="95">
        <f t="shared" si="90"/>
        <v>0</v>
      </c>
      <c r="BC100" s="96">
        <f t="shared" si="91"/>
        <v>0</v>
      </c>
      <c r="BD100" s="96">
        <f t="shared" si="92"/>
        <v>0</v>
      </c>
      <c r="BE100" s="96">
        <f t="shared" si="81"/>
        <v>0</v>
      </c>
      <c r="BF100" s="96">
        <f t="shared" si="93"/>
        <v>0</v>
      </c>
      <c r="BG100" s="96">
        <f t="shared" si="94"/>
        <v>0</v>
      </c>
      <c r="BH100" s="96">
        <f t="shared" si="95"/>
        <v>0</v>
      </c>
      <c r="BI100" s="96">
        <f t="shared" si="96"/>
        <v>0</v>
      </c>
      <c r="BJ100" s="96">
        <f t="shared" si="97"/>
        <v>0</v>
      </c>
      <c r="BK100" s="96">
        <f t="shared" si="98"/>
        <v>0</v>
      </c>
      <c r="BL100" s="96">
        <f t="shared" si="99"/>
        <v>13681.742399999999</v>
      </c>
      <c r="BM100" s="96">
        <f t="shared" si="100"/>
        <v>0</v>
      </c>
      <c r="BN100" s="96"/>
      <c r="BO100" s="95"/>
      <c r="BP100" s="95">
        <f t="shared" si="101"/>
        <v>0</v>
      </c>
      <c r="BQ100" s="95"/>
      <c r="BR100" s="95"/>
      <c r="BS100" s="95">
        <f t="shared" si="102"/>
        <v>0</v>
      </c>
      <c r="BT100" s="95">
        <f t="shared" si="103"/>
        <v>0</v>
      </c>
      <c r="BU100" s="95">
        <f t="shared" si="104"/>
        <v>0</v>
      </c>
      <c r="BV100" s="95">
        <f t="shared" si="105"/>
        <v>0</v>
      </c>
      <c r="BW100" s="95"/>
      <c r="BX100" s="95"/>
      <c r="BY100" s="95"/>
      <c r="BZ100" s="95"/>
      <c r="CA100" s="95">
        <f t="shared" si="117"/>
        <v>0</v>
      </c>
      <c r="CB100" s="97">
        <f t="shared" si="106"/>
        <v>127696.26239999999</v>
      </c>
      <c r="CC100" s="95"/>
      <c r="CD100" s="95"/>
      <c r="CE100" s="95">
        <f t="shared" si="107"/>
        <v>-3830.8878719999998</v>
      </c>
      <c r="CF100" s="95">
        <f t="shared" si="118"/>
        <v>-1915.4439359999999</v>
      </c>
      <c r="CG100" s="113"/>
      <c r="CH100" s="22"/>
      <c r="CI100" s="98">
        <f t="shared" si="108"/>
        <v>177395.64772607997</v>
      </c>
      <c r="CJ100" s="95">
        <f t="shared" si="109"/>
        <v>-5321.8694317823993</v>
      </c>
      <c r="CK100" s="95">
        <f t="shared" si="119"/>
        <v>-2660.9347158911996</v>
      </c>
      <c r="CL100" s="95">
        <v>0</v>
      </c>
      <c r="CM100" s="99"/>
      <c r="CN100" s="99">
        <v>0</v>
      </c>
      <c r="CO100" s="110"/>
      <c r="CP100" s="99"/>
      <c r="CQ100" s="99"/>
      <c r="CR100" s="99"/>
      <c r="CS100" s="95"/>
      <c r="CT100" s="95"/>
      <c r="CU100" s="96"/>
      <c r="CV100" s="96"/>
      <c r="CW100" s="96"/>
      <c r="CX100" s="96"/>
      <c r="CY100" s="96"/>
      <c r="CZ100" s="93">
        <f t="shared" si="120"/>
        <v>0</v>
      </c>
      <c r="DA100" s="93">
        <f t="shared" si="121"/>
        <v>0</v>
      </c>
      <c r="DB100" s="95">
        <f t="shared" si="110"/>
        <v>291362.77417040634</v>
      </c>
      <c r="DC100" s="100">
        <f t="shared" si="111"/>
        <v>291363</v>
      </c>
      <c r="DD100" s="100"/>
      <c r="DE100" s="100">
        <f t="shared" si="112"/>
        <v>-291363</v>
      </c>
      <c r="DF100" s="13"/>
      <c r="DG100" s="2"/>
      <c r="DH100" s="46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</row>
    <row r="101" spans="1:156" s="1" customFormat="1" ht="12" hidden="1" customHeight="1" x14ac:dyDescent="0.2">
      <c r="A101" s="88">
        <f t="shared" si="82"/>
        <v>509728</v>
      </c>
      <c r="B101" s="21">
        <v>9728</v>
      </c>
      <c r="C101" s="21" t="s">
        <v>98</v>
      </c>
      <c r="D101" s="84" t="s">
        <v>152</v>
      </c>
      <c r="E101" s="115" t="s">
        <v>202</v>
      </c>
      <c r="F101" s="85">
        <v>3</v>
      </c>
      <c r="G101" s="84"/>
      <c r="H101" s="85"/>
      <c r="I101" s="86"/>
      <c r="J101" s="85"/>
      <c r="K101" s="21" t="s">
        <v>10</v>
      </c>
      <c r="L101" s="21"/>
      <c r="M101" s="87"/>
      <c r="N101" s="88"/>
      <c r="O101" s="88">
        <v>7</v>
      </c>
      <c r="P101" s="89">
        <f t="shared" si="113"/>
        <v>5700.7259999999997</v>
      </c>
      <c r="Q101" s="90">
        <f t="shared" si="114"/>
        <v>19002.419999999998</v>
      </c>
      <c r="R101" s="90">
        <f t="shared" si="115"/>
        <v>26397.963600000003</v>
      </c>
      <c r="S101" s="91"/>
      <c r="T101" s="92">
        <v>0</v>
      </c>
      <c r="U101" s="32">
        <f t="shared" si="116"/>
        <v>0</v>
      </c>
      <c r="V101" s="32">
        <v>0</v>
      </c>
      <c r="W101" s="32">
        <v>0</v>
      </c>
      <c r="X101" s="93">
        <v>0</v>
      </c>
      <c r="Y101" s="32">
        <v>0</v>
      </c>
      <c r="Z101" s="32">
        <v>0</v>
      </c>
      <c r="AA101" s="32">
        <v>0</v>
      </c>
      <c r="AB101" s="32">
        <v>0</v>
      </c>
      <c r="AC101" s="32">
        <v>0</v>
      </c>
      <c r="AD101" s="93">
        <v>0</v>
      </c>
      <c r="AE101" s="32">
        <v>0</v>
      </c>
      <c r="AF101" s="32">
        <v>0</v>
      </c>
      <c r="AG101" s="32">
        <v>0</v>
      </c>
      <c r="AH101" s="93">
        <v>0</v>
      </c>
      <c r="AI101" s="93">
        <v>0</v>
      </c>
      <c r="AJ101" s="93">
        <v>0</v>
      </c>
      <c r="AK101" s="32">
        <v>0</v>
      </c>
      <c r="AL101" s="32">
        <v>0</v>
      </c>
      <c r="AM101" s="32">
        <v>0</v>
      </c>
      <c r="AN101" s="32">
        <v>0</v>
      </c>
      <c r="AO101" s="32">
        <v>0</v>
      </c>
      <c r="AP101" s="32">
        <v>0</v>
      </c>
      <c r="AQ101" s="32">
        <v>0</v>
      </c>
      <c r="AR101" s="32">
        <v>0</v>
      </c>
      <c r="AS101" s="32">
        <v>0</v>
      </c>
      <c r="AT101" s="32">
        <v>0</v>
      </c>
      <c r="AU101" s="94">
        <f t="shared" si="83"/>
        <v>0</v>
      </c>
      <c r="AV101" s="95">
        <f t="shared" si="84"/>
        <v>0</v>
      </c>
      <c r="AW101" s="95">
        <f t="shared" si="85"/>
        <v>0</v>
      </c>
      <c r="AX101" s="112">
        <f t="shared" si="86"/>
        <v>0</v>
      </c>
      <c r="AY101" s="95">
        <f t="shared" si="87"/>
        <v>0</v>
      </c>
      <c r="AZ101" s="95">
        <f t="shared" si="88"/>
        <v>0</v>
      </c>
      <c r="BA101" s="95">
        <f t="shared" si="89"/>
        <v>0</v>
      </c>
      <c r="BB101" s="95">
        <f t="shared" si="90"/>
        <v>0</v>
      </c>
      <c r="BC101" s="96">
        <f t="shared" si="91"/>
        <v>0</v>
      </c>
      <c r="BD101" s="96">
        <f t="shared" si="92"/>
        <v>0</v>
      </c>
      <c r="BE101" s="96">
        <f t="shared" si="81"/>
        <v>0</v>
      </c>
      <c r="BF101" s="96">
        <f t="shared" si="93"/>
        <v>0</v>
      </c>
      <c r="BG101" s="96">
        <f t="shared" si="94"/>
        <v>0</v>
      </c>
      <c r="BH101" s="96">
        <f t="shared" si="95"/>
        <v>0</v>
      </c>
      <c r="BI101" s="96">
        <f t="shared" si="96"/>
        <v>0</v>
      </c>
      <c r="BJ101" s="96">
        <f t="shared" si="97"/>
        <v>0</v>
      </c>
      <c r="BK101" s="96">
        <f t="shared" si="98"/>
        <v>0</v>
      </c>
      <c r="BL101" s="96">
        <f t="shared" si="99"/>
        <v>0</v>
      </c>
      <c r="BM101" s="96">
        <f t="shared" si="100"/>
        <v>0</v>
      </c>
      <c r="BN101" s="96"/>
      <c r="BO101" s="95"/>
      <c r="BP101" s="95">
        <f t="shared" si="101"/>
        <v>0</v>
      </c>
      <c r="BQ101" s="95"/>
      <c r="BR101" s="95"/>
      <c r="BS101" s="95">
        <f t="shared" si="102"/>
        <v>0</v>
      </c>
      <c r="BT101" s="95">
        <f t="shared" si="103"/>
        <v>0</v>
      </c>
      <c r="BU101" s="95">
        <f t="shared" si="104"/>
        <v>0</v>
      </c>
      <c r="BV101" s="95">
        <f t="shared" si="105"/>
        <v>0</v>
      </c>
      <c r="BW101" s="95"/>
      <c r="BX101" s="95"/>
      <c r="BY101" s="95"/>
      <c r="BZ101" s="95"/>
      <c r="CA101" s="95">
        <f t="shared" si="117"/>
        <v>0</v>
      </c>
      <c r="CB101" s="97">
        <f t="shared" si="106"/>
        <v>0</v>
      </c>
      <c r="CC101" s="95"/>
      <c r="CD101" s="95"/>
      <c r="CE101" s="95">
        <f t="shared" si="107"/>
        <v>0</v>
      </c>
      <c r="CF101" s="95">
        <f t="shared" si="118"/>
        <v>0</v>
      </c>
      <c r="CG101" s="113"/>
      <c r="CH101" s="22"/>
      <c r="CI101" s="98">
        <f t="shared" si="108"/>
        <v>0</v>
      </c>
      <c r="CJ101" s="95">
        <f t="shared" si="109"/>
        <v>0</v>
      </c>
      <c r="CK101" s="95">
        <f t="shared" si="119"/>
        <v>0</v>
      </c>
      <c r="CL101" s="95">
        <v>0</v>
      </c>
      <c r="CM101" s="99"/>
      <c r="CN101" s="99">
        <v>0</v>
      </c>
      <c r="CO101" s="110"/>
      <c r="CP101" s="99"/>
      <c r="CQ101" s="99"/>
      <c r="CR101" s="99"/>
      <c r="CS101" s="95"/>
      <c r="CT101" s="95"/>
      <c r="CU101" s="96"/>
      <c r="CV101" s="96"/>
      <c r="CW101" s="96"/>
      <c r="CX101" s="96"/>
      <c r="CY101" s="96"/>
      <c r="CZ101" s="93">
        <f t="shared" si="120"/>
        <v>0</v>
      </c>
      <c r="DA101" s="93">
        <f t="shared" si="121"/>
        <v>0</v>
      </c>
      <c r="DB101" s="95">
        <f t="shared" si="110"/>
        <v>0</v>
      </c>
      <c r="DC101" s="100">
        <f t="shared" si="111"/>
        <v>0</v>
      </c>
      <c r="DD101" s="100"/>
      <c r="DE101" s="100">
        <f t="shared" si="112"/>
        <v>0</v>
      </c>
      <c r="DF101" s="13"/>
      <c r="DG101" s="2"/>
      <c r="DH101" s="46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</row>
    <row r="102" spans="1:156" s="1" customFormat="1" ht="12" hidden="1" customHeight="1" x14ac:dyDescent="0.2">
      <c r="A102" s="88">
        <f t="shared" si="82"/>
        <v>509755</v>
      </c>
      <c r="B102" s="21">
        <v>9755</v>
      </c>
      <c r="C102" s="21" t="s">
        <v>98</v>
      </c>
      <c r="D102" s="102" t="s">
        <v>169</v>
      </c>
      <c r="E102" s="114" t="s">
        <v>201</v>
      </c>
      <c r="F102" s="85">
        <v>0</v>
      </c>
      <c r="G102" s="84"/>
      <c r="H102" s="85"/>
      <c r="I102" s="86"/>
      <c r="J102" s="85"/>
      <c r="K102" s="21" t="s">
        <v>10</v>
      </c>
      <c r="L102" s="21"/>
      <c r="M102" s="87"/>
      <c r="N102" s="88"/>
      <c r="O102" s="88">
        <v>4</v>
      </c>
      <c r="P102" s="89">
        <f t="shared" si="113"/>
        <v>5700.7259999999997</v>
      </c>
      <c r="Q102" s="90">
        <f t="shared" si="114"/>
        <v>19002.419999999998</v>
      </c>
      <c r="R102" s="90">
        <f t="shared" si="115"/>
        <v>26397.963600000003</v>
      </c>
      <c r="S102" s="91"/>
      <c r="T102" s="92">
        <v>0</v>
      </c>
      <c r="U102" s="32">
        <f t="shared" si="116"/>
        <v>0</v>
      </c>
      <c r="V102" s="32">
        <v>0</v>
      </c>
      <c r="W102" s="32">
        <v>0</v>
      </c>
      <c r="X102" s="93">
        <v>0</v>
      </c>
      <c r="Y102" s="32">
        <v>0</v>
      </c>
      <c r="Z102" s="32">
        <v>0</v>
      </c>
      <c r="AA102" s="32">
        <v>0</v>
      </c>
      <c r="AB102" s="32">
        <v>0</v>
      </c>
      <c r="AC102" s="32">
        <v>0</v>
      </c>
      <c r="AD102" s="93">
        <v>0</v>
      </c>
      <c r="AE102" s="32">
        <v>0</v>
      </c>
      <c r="AF102" s="32">
        <v>0</v>
      </c>
      <c r="AG102" s="32">
        <v>0</v>
      </c>
      <c r="AH102" s="93">
        <v>0</v>
      </c>
      <c r="AI102" s="93">
        <v>0</v>
      </c>
      <c r="AJ102" s="93">
        <v>0</v>
      </c>
      <c r="AK102" s="32">
        <v>0</v>
      </c>
      <c r="AL102" s="32">
        <v>0</v>
      </c>
      <c r="AM102" s="32">
        <v>0</v>
      </c>
      <c r="AN102" s="32">
        <v>0</v>
      </c>
      <c r="AO102" s="32">
        <v>0</v>
      </c>
      <c r="AP102" s="32">
        <v>0</v>
      </c>
      <c r="AQ102" s="32">
        <v>0</v>
      </c>
      <c r="AR102" s="32">
        <v>0</v>
      </c>
      <c r="AS102" s="32">
        <v>0</v>
      </c>
      <c r="AT102" s="32">
        <v>0</v>
      </c>
      <c r="AU102" s="94">
        <f t="shared" si="83"/>
        <v>0</v>
      </c>
      <c r="AV102" s="95">
        <f t="shared" si="84"/>
        <v>0</v>
      </c>
      <c r="AW102" s="95">
        <f t="shared" si="85"/>
        <v>0</v>
      </c>
      <c r="AX102" s="95">
        <f t="shared" si="86"/>
        <v>0</v>
      </c>
      <c r="AY102" s="95">
        <f t="shared" si="87"/>
        <v>0</v>
      </c>
      <c r="AZ102" s="112">
        <f t="shared" si="88"/>
        <v>0</v>
      </c>
      <c r="BA102" s="95">
        <f t="shared" si="89"/>
        <v>0</v>
      </c>
      <c r="BB102" s="95">
        <f t="shared" si="90"/>
        <v>0</v>
      </c>
      <c r="BC102" s="96">
        <f t="shared" si="91"/>
        <v>0</v>
      </c>
      <c r="BD102" s="96">
        <f t="shared" si="92"/>
        <v>0</v>
      </c>
      <c r="BE102" s="96">
        <f t="shared" si="81"/>
        <v>0</v>
      </c>
      <c r="BF102" s="96">
        <f t="shared" si="93"/>
        <v>0</v>
      </c>
      <c r="BG102" s="96">
        <f t="shared" si="94"/>
        <v>0</v>
      </c>
      <c r="BH102" s="96">
        <f t="shared" si="95"/>
        <v>0</v>
      </c>
      <c r="BI102" s="96">
        <f t="shared" si="96"/>
        <v>0</v>
      </c>
      <c r="BJ102" s="96">
        <f t="shared" si="97"/>
        <v>0</v>
      </c>
      <c r="BK102" s="96">
        <f t="shared" si="98"/>
        <v>0</v>
      </c>
      <c r="BL102" s="96">
        <f t="shared" si="99"/>
        <v>0</v>
      </c>
      <c r="BM102" s="96">
        <f t="shared" si="100"/>
        <v>0</v>
      </c>
      <c r="BN102" s="96"/>
      <c r="BO102" s="95"/>
      <c r="BP102" s="95">
        <f t="shared" si="101"/>
        <v>0</v>
      </c>
      <c r="BQ102" s="95"/>
      <c r="BR102" s="95"/>
      <c r="BS102" s="95">
        <f t="shared" si="102"/>
        <v>0</v>
      </c>
      <c r="BT102" s="95">
        <f t="shared" si="103"/>
        <v>0</v>
      </c>
      <c r="BU102" s="95">
        <f t="shared" si="104"/>
        <v>0</v>
      </c>
      <c r="BV102" s="95">
        <f t="shared" si="105"/>
        <v>0</v>
      </c>
      <c r="BW102" s="95"/>
      <c r="BX102" s="95"/>
      <c r="BY102" s="95"/>
      <c r="BZ102" s="95"/>
      <c r="CA102" s="95">
        <f t="shared" si="117"/>
        <v>0</v>
      </c>
      <c r="CB102" s="97">
        <f t="shared" si="106"/>
        <v>0</v>
      </c>
      <c r="CC102" s="95"/>
      <c r="CD102" s="95"/>
      <c r="CE102" s="95">
        <f t="shared" si="107"/>
        <v>0</v>
      </c>
      <c r="CF102" s="95">
        <f t="shared" si="118"/>
        <v>0</v>
      </c>
      <c r="CG102" s="113"/>
      <c r="CH102" s="22"/>
      <c r="CI102" s="98">
        <f t="shared" si="108"/>
        <v>0</v>
      </c>
      <c r="CJ102" s="95">
        <f t="shared" si="109"/>
        <v>0</v>
      </c>
      <c r="CK102" s="95">
        <f t="shared" si="119"/>
        <v>0</v>
      </c>
      <c r="CL102" s="95">
        <v>0</v>
      </c>
      <c r="CM102" s="99"/>
      <c r="CN102" s="99">
        <v>0</v>
      </c>
      <c r="CO102" s="110"/>
      <c r="CP102" s="99"/>
      <c r="CQ102" s="99"/>
      <c r="CR102" s="99"/>
      <c r="CS102" s="95"/>
      <c r="CT102" s="95"/>
      <c r="CU102" s="96"/>
      <c r="CV102" s="96"/>
      <c r="CW102" s="96"/>
      <c r="CX102" s="96"/>
      <c r="CY102" s="96"/>
      <c r="CZ102" s="93">
        <f t="shared" si="120"/>
        <v>0</v>
      </c>
      <c r="DA102" s="93">
        <f t="shared" si="121"/>
        <v>0</v>
      </c>
      <c r="DB102" s="95">
        <f t="shared" si="110"/>
        <v>0</v>
      </c>
      <c r="DC102" s="100">
        <f t="shared" si="111"/>
        <v>0</v>
      </c>
      <c r="DD102" s="100"/>
      <c r="DE102" s="100">
        <f t="shared" si="112"/>
        <v>0</v>
      </c>
      <c r="DF102" s="13"/>
      <c r="DG102" s="2"/>
      <c r="DH102" s="46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</row>
    <row r="103" spans="1:156" s="1" customFormat="1" ht="12" customHeight="1" x14ac:dyDescent="0.2">
      <c r="A103" s="88">
        <f t="shared" si="82"/>
        <v>509852</v>
      </c>
      <c r="B103" s="21">
        <v>9852</v>
      </c>
      <c r="C103" s="21" t="s">
        <v>98</v>
      </c>
      <c r="D103" s="84" t="s">
        <v>186</v>
      </c>
      <c r="E103" s="114" t="s">
        <v>201</v>
      </c>
      <c r="F103" s="85">
        <v>0</v>
      </c>
      <c r="G103" s="84"/>
      <c r="H103" s="85"/>
      <c r="I103" s="86"/>
      <c r="J103" s="85"/>
      <c r="K103" s="21" t="s">
        <v>8</v>
      </c>
      <c r="L103" s="21"/>
      <c r="M103" s="87"/>
      <c r="N103" s="88"/>
      <c r="O103" s="88">
        <v>0</v>
      </c>
      <c r="P103" s="89">
        <f t="shared" si="113"/>
        <v>5401.2359999999999</v>
      </c>
      <c r="Q103" s="90">
        <f t="shared" si="114"/>
        <v>18004.12</v>
      </c>
      <c r="R103" s="90">
        <f t="shared" si="115"/>
        <v>25011.1211</v>
      </c>
      <c r="S103" s="91"/>
      <c r="T103" s="92">
        <v>4</v>
      </c>
      <c r="U103" s="32">
        <f t="shared" si="116"/>
        <v>4</v>
      </c>
      <c r="V103" s="32">
        <v>0</v>
      </c>
      <c r="W103" s="32">
        <v>0</v>
      </c>
      <c r="X103" s="93">
        <v>0</v>
      </c>
      <c r="Y103" s="32">
        <v>0</v>
      </c>
      <c r="Z103" s="32">
        <v>0</v>
      </c>
      <c r="AA103" s="32">
        <v>0</v>
      </c>
      <c r="AB103" s="32">
        <v>0</v>
      </c>
      <c r="AC103" s="32">
        <v>0</v>
      </c>
      <c r="AD103" s="93">
        <v>0</v>
      </c>
      <c r="AE103" s="32">
        <v>0</v>
      </c>
      <c r="AF103" s="32">
        <v>0</v>
      </c>
      <c r="AG103" s="32">
        <v>0</v>
      </c>
      <c r="AH103" s="93">
        <v>0</v>
      </c>
      <c r="AI103" s="93">
        <v>0</v>
      </c>
      <c r="AJ103" s="93">
        <v>0</v>
      </c>
      <c r="AK103" s="32">
        <v>0</v>
      </c>
      <c r="AL103" s="32">
        <v>0</v>
      </c>
      <c r="AM103" s="32">
        <v>0</v>
      </c>
      <c r="AN103" s="32">
        <v>0</v>
      </c>
      <c r="AO103" s="32">
        <v>0</v>
      </c>
      <c r="AP103" s="32">
        <v>0</v>
      </c>
      <c r="AQ103" s="32">
        <v>0</v>
      </c>
      <c r="AR103" s="32">
        <v>0</v>
      </c>
      <c r="AS103" s="32">
        <v>0</v>
      </c>
      <c r="AT103" s="32">
        <v>0</v>
      </c>
      <c r="AU103" s="94">
        <f t="shared" si="83"/>
        <v>4</v>
      </c>
      <c r="AV103" s="95">
        <f t="shared" si="84"/>
        <v>72016.479999999996</v>
      </c>
      <c r="AW103" s="95">
        <f t="shared" si="85"/>
        <v>0</v>
      </c>
      <c r="AX103" s="95">
        <f t="shared" si="86"/>
        <v>0</v>
      </c>
      <c r="AY103" s="95">
        <f t="shared" si="87"/>
        <v>0</v>
      </c>
      <c r="AZ103" s="95">
        <f t="shared" si="88"/>
        <v>0</v>
      </c>
      <c r="BA103" s="95">
        <f t="shared" si="89"/>
        <v>0</v>
      </c>
      <c r="BB103" s="95">
        <f t="shared" si="90"/>
        <v>0</v>
      </c>
      <c r="BC103" s="96">
        <f t="shared" si="91"/>
        <v>0</v>
      </c>
      <c r="BD103" s="96">
        <f t="shared" si="92"/>
        <v>0</v>
      </c>
      <c r="BE103" s="96">
        <f t="shared" si="81"/>
        <v>0</v>
      </c>
      <c r="BF103" s="96">
        <f t="shared" si="93"/>
        <v>0</v>
      </c>
      <c r="BG103" s="96">
        <f t="shared" si="94"/>
        <v>0</v>
      </c>
      <c r="BH103" s="96">
        <f t="shared" si="95"/>
        <v>0</v>
      </c>
      <c r="BI103" s="96">
        <f t="shared" si="96"/>
        <v>0</v>
      </c>
      <c r="BJ103" s="96">
        <f t="shared" si="97"/>
        <v>0</v>
      </c>
      <c r="BK103" s="96">
        <f t="shared" si="98"/>
        <v>0</v>
      </c>
      <c r="BL103" s="96">
        <f t="shared" si="99"/>
        <v>0</v>
      </c>
      <c r="BM103" s="96">
        <f t="shared" si="100"/>
        <v>0</v>
      </c>
      <c r="BN103" s="96"/>
      <c r="BO103" s="95"/>
      <c r="BP103" s="95">
        <f t="shared" si="101"/>
        <v>0</v>
      </c>
      <c r="BQ103" s="95"/>
      <c r="BR103" s="95"/>
      <c r="BS103" s="95">
        <f t="shared" si="102"/>
        <v>0</v>
      </c>
      <c r="BT103" s="95">
        <f t="shared" si="103"/>
        <v>0</v>
      </c>
      <c r="BU103" s="95">
        <f t="shared" si="104"/>
        <v>0</v>
      </c>
      <c r="BV103" s="95">
        <f t="shared" si="105"/>
        <v>0</v>
      </c>
      <c r="BW103" s="95"/>
      <c r="BX103" s="95"/>
      <c r="BY103" s="95"/>
      <c r="BZ103" s="95"/>
      <c r="CA103" s="95">
        <f t="shared" si="117"/>
        <v>0</v>
      </c>
      <c r="CB103" s="97">
        <f t="shared" si="106"/>
        <v>72016.479999999996</v>
      </c>
      <c r="CC103" s="95"/>
      <c r="CD103" s="95"/>
      <c r="CE103" s="95">
        <f t="shared" si="107"/>
        <v>-2160.4943999999996</v>
      </c>
      <c r="CF103" s="95">
        <f t="shared" si="118"/>
        <v>-720.16480000000001</v>
      </c>
      <c r="CG103" s="113"/>
      <c r="CH103" s="22"/>
      <c r="CI103" s="98">
        <f t="shared" si="108"/>
        <v>100045.29401599997</v>
      </c>
      <c r="CJ103" s="95">
        <f t="shared" si="109"/>
        <v>-3001.3588204799989</v>
      </c>
      <c r="CK103" s="95">
        <f t="shared" si="119"/>
        <v>-1000.4529401599997</v>
      </c>
      <c r="CL103" s="95">
        <v>0</v>
      </c>
      <c r="CM103" s="99"/>
      <c r="CN103" s="99">
        <v>0</v>
      </c>
      <c r="CO103" s="110"/>
      <c r="CP103" s="99"/>
      <c r="CQ103" s="99"/>
      <c r="CR103" s="99"/>
      <c r="CS103" s="95"/>
      <c r="CT103" s="95"/>
      <c r="CU103" s="96"/>
      <c r="CV103" s="96"/>
      <c r="CW103" s="96"/>
      <c r="CX103" s="96"/>
      <c r="CY103" s="96"/>
      <c r="CZ103" s="93">
        <f t="shared" si="120"/>
        <v>0</v>
      </c>
      <c r="DA103" s="93">
        <f t="shared" si="121"/>
        <v>0</v>
      </c>
      <c r="DB103" s="95">
        <f t="shared" si="110"/>
        <v>165179.30305535998</v>
      </c>
      <c r="DC103" s="100">
        <f t="shared" si="111"/>
        <v>165179</v>
      </c>
      <c r="DD103" s="100"/>
      <c r="DE103" s="100">
        <f t="shared" si="112"/>
        <v>-165179</v>
      </c>
      <c r="DF103" s="13"/>
      <c r="DG103" s="2"/>
      <c r="DH103" s="46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</row>
    <row r="104" spans="1:156" s="1" customFormat="1" ht="12" hidden="1" customHeight="1" x14ac:dyDescent="0.2">
      <c r="A104" s="88">
        <f t="shared" si="82"/>
        <v>509729</v>
      </c>
      <c r="B104" s="21">
        <v>9729</v>
      </c>
      <c r="C104" s="21" t="s">
        <v>98</v>
      </c>
      <c r="D104" s="84" t="s">
        <v>153</v>
      </c>
      <c r="E104" s="115" t="s">
        <v>202</v>
      </c>
      <c r="F104" s="85">
        <v>3</v>
      </c>
      <c r="G104" s="84"/>
      <c r="H104" s="85"/>
      <c r="I104" s="86"/>
      <c r="J104" s="85"/>
      <c r="K104" s="21" t="s">
        <v>10</v>
      </c>
      <c r="L104" s="21"/>
      <c r="M104" s="87"/>
      <c r="N104" s="88"/>
      <c r="O104" s="88">
        <v>6</v>
      </c>
      <c r="P104" s="89">
        <f t="shared" si="113"/>
        <v>5700.7259999999997</v>
      </c>
      <c r="Q104" s="90">
        <f t="shared" si="114"/>
        <v>19002.419999999998</v>
      </c>
      <c r="R104" s="90">
        <f t="shared" si="115"/>
        <v>26397.963600000003</v>
      </c>
      <c r="S104" s="91"/>
      <c r="T104" s="92">
        <v>0</v>
      </c>
      <c r="U104" s="32">
        <f t="shared" si="116"/>
        <v>0</v>
      </c>
      <c r="V104" s="32">
        <v>0</v>
      </c>
      <c r="W104" s="32">
        <v>0</v>
      </c>
      <c r="X104" s="93">
        <v>0</v>
      </c>
      <c r="Y104" s="32">
        <v>0</v>
      </c>
      <c r="Z104" s="32">
        <v>0</v>
      </c>
      <c r="AA104" s="32">
        <v>0</v>
      </c>
      <c r="AB104" s="32">
        <v>0</v>
      </c>
      <c r="AC104" s="32">
        <v>0</v>
      </c>
      <c r="AD104" s="93">
        <v>0</v>
      </c>
      <c r="AE104" s="32">
        <v>0</v>
      </c>
      <c r="AF104" s="32">
        <v>0</v>
      </c>
      <c r="AG104" s="32">
        <v>0</v>
      </c>
      <c r="AH104" s="93">
        <v>0</v>
      </c>
      <c r="AI104" s="93">
        <v>0</v>
      </c>
      <c r="AJ104" s="93">
        <v>0</v>
      </c>
      <c r="AK104" s="32">
        <v>0</v>
      </c>
      <c r="AL104" s="32">
        <v>0</v>
      </c>
      <c r="AM104" s="32">
        <v>0</v>
      </c>
      <c r="AN104" s="32">
        <v>0</v>
      </c>
      <c r="AO104" s="32">
        <v>0</v>
      </c>
      <c r="AP104" s="32">
        <v>0</v>
      </c>
      <c r="AQ104" s="32">
        <v>0</v>
      </c>
      <c r="AR104" s="32">
        <v>0</v>
      </c>
      <c r="AS104" s="32">
        <v>0</v>
      </c>
      <c r="AT104" s="32">
        <v>0</v>
      </c>
      <c r="AU104" s="94">
        <f t="shared" si="83"/>
        <v>0</v>
      </c>
      <c r="AV104" s="95">
        <f t="shared" si="84"/>
        <v>0</v>
      </c>
      <c r="AW104" s="95">
        <f t="shared" si="85"/>
        <v>0</v>
      </c>
      <c r="AX104" s="95">
        <f t="shared" si="86"/>
        <v>0</v>
      </c>
      <c r="AY104" s="95">
        <f t="shared" si="87"/>
        <v>0</v>
      </c>
      <c r="AZ104" s="95">
        <f t="shared" si="88"/>
        <v>0</v>
      </c>
      <c r="BA104" s="95">
        <f t="shared" si="89"/>
        <v>0</v>
      </c>
      <c r="BB104" s="95">
        <f t="shared" si="90"/>
        <v>0</v>
      </c>
      <c r="BC104" s="96">
        <f t="shared" si="91"/>
        <v>0</v>
      </c>
      <c r="BD104" s="96">
        <f t="shared" si="92"/>
        <v>0</v>
      </c>
      <c r="BE104" s="96">
        <f t="shared" si="81"/>
        <v>0</v>
      </c>
      <c r="BF104" s="96">
        <f t="shared" si="93"/>
        <v>0</v>
      </c>
      <c r="BG104" s="96">
        <f t="shared" si="94"/>
        <v>0</v>
      </c>
      <c r="BH104" s="96">
        <f t="shared" si="95"/>
        <v>0</v>
      </c>
      <c r="BI104" s="96">
        <f t="shared" si="96"/>
        <v>0</v>
      </c>
      <c r="BJ104" s="96">
        <f t="shared" si="97"/>
        <v>0</v>
      </c>
      <c r="BK104" s="96">
        <f t="shared" si="98"/>
        <v>0</v>
      </c>
      <c r="BL104" s="96">
        <f t="shared" si="99"/>
        <v>0</v>
      </c>
      <c r="BM104" s="96">
        <f t="shared" si="100"/>
        <v>0</v>
      </c>
      <c r="BN104" s="96"/>
      <c r="BO104" s="95"/>
      <c r="BP104" s="95">
        <f t="shared" si="101"/>
        <v>0</v>
      </c>
      <c r="BQ104" s="95"/>
      <c r="BR104" s="95"/>
      <c r="BS104" s="95">
        <f t="shared" si="102"/>
        <v>0</v>
      </c>
      <c r="BT104" s="95">
        <f t="shared" si="103"/>
        <v>0</v>
      </c>
      <c r="BU104" s="95">
        <f t="shared" si="104"/>
        <v>0</v>
      </c>
      <c r="BV104" s="95">
        <f t="shared" si="105"/>
        <v>0</v>
      </c>
      <c r="BW104" s="95"/>
      <c r="BX104" s="95"/>
      <c r="BY104" s="95"/>
      <c r="BZ104" s="95"/>
      <c r="CA104" s="95">
        <f t="shared" si="117"/>
        <v>0</v>
      </c>
      <c r="CB104" s="97">
        <f t="shared" si="106"/>
        <v>0</v>
      </c>
      <c r="CC104" s="95"/>
      <c r="CD104" s="95"/>
      <c r="CE104" s="95">
        <f t="shared" si="107"/>
        <v>0</v>
      </c>
      <c r="CF104" s="95">
        <f t="shared" si="118"/>
        <v>0</v>
      </c>
      <c r="CG104" s="113"/>
      <c r="CH104" s="22"/>
      <c r="CI104" s="98">
        <f t="shared" si="108"/>
        <v>0</v>
      </c>
      <c r="CJ104" s="95">
        <f t="shared" si="109"/>
        <v>0</v>
      </c>
      <c r="CK104" s="95">
        <f t="shared" si="119"/>
        <v>0</v>
      </c>
      <c r="CL104" s="95">
        <v>0</v>
      </c>
      <c r="CM104" s="99"/>
      <c r="CN104" s="99">
        <v>0</v>
      </c>
      <c r="CO104" s="110"/>
      <c r="CP104" s="99"/>
      <c r="CQ104" s="99"/>
      <c r="CR104" s="99"/>
      <c r="CS104" s="95"/>
      <c r="CT104" s="95"/>
      <c r="CU104" s="96"/>
      <c r="CV104" s="96"/>
      <c r="CW104" s="96"/>
      <c r="CX104" s="96"/>
      <c r="CY104" s="96"/>
      <c r="CZ104" s="93">
        <f t="shared" si="120"/>
        <v>0</v>
      </c>
      <c r="DA104" s="93">
        <f t="shared" si="121"/>
        <v>0</v>
      </c>
      <c r="DB104" s="95">
        <f t="shared" si="110"/>
        <v>0</v>
      </c>
      <c r="DC104" s="100">
        <f t="shared" si="111"/>
        <v>0</v>
      </c>
      <c r="DD104" s="100"/>
      <c r="DE104" s="100">
        <f t="shared" si="112"/>
        <v>0</v>
      </c>
      <c r="DF104" s="13"/>
      <c r="DG104" s="2"/>
      <c r="DH104" s="46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</row>
    <row r="105" spans="1:156" s="1" customFormat="1" ht="12" customHeight="1" x14ac:dyDescent="0.2">
      <c r="A105" s="88">
        <f t="shared" si="82"/>
        <v>509756</v>
      </c>
      <c r="B105" s="21">
        <v>9756</v>
      </c>
      <c r="C105" s="21" t="s">
        <v>98</v>
      </c>
      <c r="D105" s="84" t="s">
        <v>170</v>
      </c>
      <c r="E105" s="114" t="s">
        <v>201</v>
      </c>
      <c r="F105" s="85">
        <v>0</v>
      </c>
      <c r="G105" s="84"/>
      <c r="H105" s="85"/>
      <c r="I105" s="86"/>
      <c r="J105" s="85"/>
      <c r="K105" s="21" t="s">
        <v>8</v>
      </c>
      <c r="L105" s="21"/>
      <c r="M105" s="87"/>
      <c r="N105" s="88"/>
      <c r="O105" s="88">
        <v>3</v>
      </c>
      <c r="P105" s="89">
        <f t="shared" si="113"/>
        <v>5401.2359999999999</v>
      </c>
      <c r="Q105" s="90">
        <f t="shared" si="114"/>
        <v>18004.12</v>
      </c>
      <c r="R105" s="90">
        <f t="shared" si="115"/>
        <v>25011.1211</v>
      </c>
      <c r="S105" s="91"/>
      <c r="T105" s="92">
        <v>11</v>
      </c>
      <c r="U105" s="32">
        <f t="shared" si="116"/>
        <v>11</v>
      </c>
      <c r="V105" s="32">
        <v>0</v>
      </c>
      <c r="W105" s="32">
        <v>1</v>
      </c>
      <c r="X105" s="93">
        <v>0</v>
      </c>
      <c r="Y105" s="32">
        <v>0</v>
      </c>
      <c r="Z105" s="32">
        <v>0</v>
      </c>
      <c r="AA105" s="32">
        <v>0</v>
      </c>
      <c r="AB105" s="32">
        <v>0</v>
      </c>
      <c r="AC105" s="32">
        <v>0</v>
      </c>
      <c r="AD105" s="93">
        <v>0</v>
      </c>
      <c r="AE105" s="32">
        <v>0</v>
      </c>
      <c r="AF105" s="32">
        <v>0</v>
      </c>
      <c r="AG105" s="32">
        <v>0</v>
      </c>
      <c r="AH105" s="93">
        <v>0</v>
      </c>
      <c r="AI105" s="93">
        <v>0</v>
      </c>
      <c r="AJ105" s="93">
        <v>0</v>
      </c>
      <c r="AK105" s="32">
        <v>0</v>
      </c>
      <c r="AL105" s="32">
        <v>0</v>
      </c>
      <c r="AM105" s="32">
        <v>0</v>
      </c>
      <c r="AN105" s="32">
        <v>0</v>
      </c>
      <c r="AO105" s="32">
        <v>0</v>
      </c>
      <c r="AP105" s="32">
        <v>0</v>
      </c>
      <c r="AQ105" s="32">
        <v>0</v>
      </c>
      <c r="AR105" s="32">
        <v>0</v>
      </c>
      <c r="AS105" s="32">
        <v>0</v>
      </c>
      <c r="AT105" s="32">
        <v>0</v>
      </c>
      <c r="AU105" s="94">
        <f t="shared" si="83"/>
        <v>12</v>
      </c>
      <c r="AV105" s="95">
        <f t="shared" si="84"/>
        <v>198045.31999999998</v>
      </c>
      <c r="AW105" s="95">
        <f t="shared" si="85"/>
        <v>0</v>
      </c>
      <c r="AX105" s="95">
        <f t="shared" si="86"/>
        <v>18004.12</v>
      </c>
      <c r="AY105" s="95">
        <f t="shared" si="87"/>
        <v>0</v>
      </c>
      <c r="AZ105" s="112">
        <f t="shared" si="88"/>
        <v>0</v>
      </c>
      <c r="BA105" s="95">
        <f t="shared" si="89"/>
        <v>0</v>
      </c>
      <c r="BB105" s="95">
        <f t="shared" si="90"/>
        <v>0</v>
      </c>
      <c r="BC105" s="96">
        <f t="shared" si="91"/>
        <v>0</v>
      </c>
      <c r="BD105" s="96">
        <f t="shared" si="92"/>
        <v>0</v>
      </c>
      <c r="BE105" s="96">
        <f t="shared" si="81"/>
        <v>0</v>
      </c>
      <c r="BF105" s="96">
        <f t="shared" si="93"/>
        <v>0</v>
      </c>
      <c r="BG105" s="96">
        <f t="shared" si="94"/>
        <v>0</v>
      </c>
      <c r="BH105" s="96">
        <f t="shared" si="95"/>
        <v>0</v>
      </c>
      <c r="BI105" s="96">
        <f t="shared" si="96"/>
        <v>0</v>
      </c>
      <c r="BJ105" s="96">
        <f t="shared" si="97"/>
        <v>0</v>
      </c>
      <c r="BK105" s="96">
        <f t="shared" si="98"/>
        <v>0</v>
      </c>
      <c r="BL105" s="96">
        <f t="shared" si="99"/>
        <v>7777.7798399999992</v>
      </c>
      <c r="BM105" s="96">
        <f t="shared" si="100"/>
        <v>0</v>
      </c>
      <c r="BN105" s="96"/>
      <c r="BO105" s="95"/>
      <c r="BP105" s="95">
        <f t="shared" si="101"/>
        <v>0</v>
      </c>
      <c r="BQ105" s="95"/>
      <c r="BR105" s="95"/>
      <c r="BS105" s="95">
        <f t="shared" si="102"/>
        <v>0</v>
      </c>
      <c r="BT105" s="95">
        <f t="shared" si="103"/>
        <v>0</v>
      </c>
      <c r="BU105" s="95">
        <f t="shared" si="104"/>
        <v>0</v>
      </c>
      <c r="BV105" s="95">
        <f t="shared" si="105"/>
        <v>0</v>
      </c>
      <c r="BW105" s="95"/>
      <c r="BX105" s="95"/>
      <c r="BY105" s="95"/>
      <c r="BZ105" s="95"/>
      <c r="CA105" s="95">
        <f t="shared" si="117"/>
        <v>0</v>
      </c>
      <c r="CB105" s="97">
        <f t="shared" si="106"/>
        <v>223827.21983999998</v>
      </c>
      <c r="CC105" s="95"/>
      <c r="CD105" s="95"/>
      <c r="CE105" s="95">
        <f t="shared" si="107"/>
        <v>-6714.816595199999</v>
      </c>
      <c r="CF105" s="95">
        <f t="shared" si="118"/>
        <v>-2238.2721984</v>
      </c>
      <c r="CG105" s="113"/>
      <c r="CH105" s="22"/>
      <c r="CI105" s="98">
        <f t="shared" si="108"/>
        <v>310940.77380172792</v>
      </c>
      <c r="CJ105" s="95">
        <f t="shared" si="109"/>
        <v>-9328.2232140518372</v>
      </c>
      <c r="CK105" s="95">
        <f t="shared" si="119"/>
        <v>-3109.4077380172794</v>
      </c>
      <c r="CL105" s="95">
        <v>0</v>
      </c>
      <c r="CM105" s="99"/>
      <c r="CN105" s="99">
        <v>0</v>
      </c>
      <c r="CO105" s="110"/>
      <c r="CP105" s="99"/>
      <c r="CQ105" s="99"/>
      <c r="CR105" s="99"/>
      <c r="CS105" s="95"/>
      <c r="CT105" s="95"/>
      <c r="CU105" s="96"/>
      <c r="CV105" s="96"/>
      <c r="CW105" s="96"/>
      <c r="CX105" s="96"/>
      <c r="CY105" s="96"/>
      <c r="CZ105" s="93">
        <f t="shared" si="120"/>
        <v>0</v>
      </c>
      <c r="DA105" s="93">
        <f t="shared" si="121"/>
        <v>0</v>
      </c>
      <c r="DB105" s="95">
        <f t="shared" si="110"/>
        <v>513377.27389605873</v>
      </c>
      <c r="DC105" s="100">
        <f t="shared" si="111"/>
        <v>513377</v>
      </c>
      <c r="DD105" s="100"/>
      <c r="DE105" s="100">
        <f t="shared" si="112"/>
        <v>-513377</v>
      </c>
      <c r="DF105" s="13"/>
      <c r="DG105" s="2"/>
      <c r="DH105" s="46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</row>
    <row r="106" spans="1:156" s="1" customFormat="1" ht="12" customHeight="1" x14ac:dyDescent="0.2">
      <c r="A106" s="88">
        <f t="shared" si="82"/>
        <v>509730</v>
      </c>
      <c r="B106" s="21">
        <v>9730</v>
      </c>
      <c r="C106" s="21" t="s">
        <v>98</v>
      </c>
      <c r="D106" s="84" t="s">
        <v>154</v>
      </c>
      <c r="E106" s="115" t="s">
        <v>202</v>
      </c>
      <c r="F106" s="85">
        <v>3</v>
      </c>
      <c r="G106" s="84"/>
      <c r="H106" s="85"/>
      <c r="I106" s="86"/>
      <c r="J106" s="85"/>
      <c r="K106" s="21" t="s">
        <v>8</v>
      </c>
      <c r="L106" s="21"/>
      <c r="M106" s="87"/>
      <c r="N106" s="88"/>
      <c r="O106" s="88">
        <v>15</v>
      </c>
      <c r="P106" s="89">
        <f t="shared" si="113"/>
        <v>5401.2359999999999</v>
      </c>
      <c r="Q106" s="90">
        <f t="shared" si="114"/>
        <v>18004.12</v>
      </c>
      <c r="R106" s="90">
        <f t="shared" si="115"/>
        <v>25011.1211</v>
      </c>
      <c r="S106" s="91"/>
      <c r="T106" s="92">
        <v>9</v>
      </c>
      <c r="U106" s="32">
        <f t="shared" si="116"/>
        <v>9</v>
      </c>
      <c r="V106" s="32">
        <v>0</v>
      </c>
      <c r="W106" s="32">
        <v>1</v>
      </c>
      <c r="X106" s="93">
        <v>0</v>
      </c>
      <c r="Y106" s="32">
        <v>0</v>
      </c>
      <c r="Z106" s="32">
        <v>0</v>
      </c>
      <c r="AA106" s="32">
        <v>0</v>
      </c>
      <c r="AB106" s="32">
        <v>0</v>
      </c>
      <c r="AC106" s="32">
        <v>0</v>
      </c>
      <c r="AD106" s="93">
        <v>0</v>
      </c>
      <c r="AE106" s="32">
        <v>0</v>
      </c>
      <c r="AF106" s="32">
        <v>0</v>
      </c>
      <c r="AG106" s="32">
        <v>0</v>
      </c>
      <c r="AH106" s="93">
        <v>0</v>
      </c>
      <c r="AI106" s="93">
        <v>0</v>
      </c>
      <c r="AJ106" s="93">
        <v>0</v>
      </c>
      <c r="AK106" s="32">
        <v>0</v>
      </c>
      <c r="AL106" s="32">
        <v>0</v>
      </c>
      <c r="AM106" s="32">
        <v>0</v>
      </c>
      <c r="AN106" s="32">
        <v>0</v>
      </c>
      <c r="AO106" s="32">
        <v>0</v>
      </c>
      <c r="AP106" s="32">
        <v>0</v>
      </c>
      <c r="AQ106" s="32">
        <v>0</v>
      </c>
      <c r="AR106" s="32">
        <v>0</v>
      </c>
      <c r="AS106" s="32">
        <v>0</v>
      </c>
      <c r="AT106" s="32">
        <v>0</v>
      </c>
      <c r="AU106" s="94">
        <f t="shared" si="83"/>
        <v>10</v>
      </c>
      <c r="AV106" s="95">
        <f t="shared" si="84"/>
        <v>162037.07999999999</v>
      </c>
      <c r="AW106" s="95">
        <f t="shared" si="85"/>
        <v>0</v>
      </c>
      <c r="AX106" s="95">
        <f t="shared" si="86"/>
        <v>18004.12</v>
      </c>
      <c r="AY106" s="95">
        <f t="shared" si="87"/>
        <v>0</v>
      </c>
      <c r="AZ106" s="95">
        <f t="shared" si="88"/>
        <v>0</v>
      </c>
      <c r="BA106" s="95">
        <f t="shared" si="89"/>
        <v>0</v>
      </c>
      <c r="BB106" s="95">
        <f t="shared" si="90"/>
        <v>0</v>
      </c>
      <c r="BC106" s="96">
        <f t="shared" si="91"/>
        <v>0</v>
      </c>
      <c r="BD106" s="96">
        <f t="shared" si="92"/>
        <v>0</v>
      </c>
      <c r="BE106" s="96">
        <f t="shared" si="81"/>
        <v>0</v>
      </c>
      <c r="BF106" s="96">
        <f t="shared" si="93"/>
        <v>0</v>
      </c>
      <c r="BG106" s="96">
        <f t="shared" si="94"/>
        <v>0</v>
      </c>
      <c r="BH106" s="96">
        <f t="shared" si="95"/>
        <v>0</v>
      </c>
      <c r="BI106" s="96">
        <f t="shared" si="96"/>
        <v>0</v>
      </c>
      <c r="BJ106" s="96">
        <f t="shared" si="97"/>
        <v>0</v>
      </c>
      <c r="BK106" s="96">
        <f t="shared" si="98"/>
        <v>0</v>
      </c>
      <c r="BL106" s="96">
        <f t="shared" si="99"/>
        <v>32407.415999999997</v>
      </c>
      <c r="BM106" s="96">
        <f t="shared" si="100"/>
        <v>0</v>
      </c>
      <c r="BN106" s="96"/>
      <c r="BO106" s="95"/>
      <c r="BP106" s="95">
        <f t="shared" si="101"/>
        <v>0</v>
      </c>
      <c r="BQ106" s="95"/>
      <c r="BR106" s="95"/>
      <c r="BS106" s="95">
        <f t="shared" si="102"/>
        <v>0</v>
      </c>
      <c r="BT106" s="95">
        <f t="shared" si="103"/>
        <v>0</v>
      </c>
      <c r="BU106" s="95">
        <f t="shared" si="104"/>
        <v>0</v>
      </c>
      <c r="BV106" s="95">
        <f t="shared" si="105"/>
        <v>0</v>
      </c>
      <c r="BW106" s="95"/>
      <c r="BX106" s="95"/>
      <c r="BY106" s="95"/>
      <c r="BZ106" s="95"/>
      <c r="CA106" s="95">
        <f t="shared" si="117"/>
        <v>0</v>
      </c>
      <c r="CB106" s="97">
        <f t="shared" si="106"/>
        <v>212448.61599999998</v>
      </c>
      <c r="CC106" s="95"/>
      <c r="CD106" s="95"/>
      <c r="CE106" s="95">
        <f t="shared" si="107"/>
        <v>-6373.4584799999993</v>
      </c>
      <c r="CF106" s="95">
        <f t="shared" si="118"/>
        <v>-3186.7292399999997</v>
      </c>
      <c r="CG106" s="113"/>
      <c r="CH106" s="22"/>
      <c r="CI106" s="98">
        <f t="shared" si="108"/>
        <v>295133.61734719994</v>
      </c>
      <c r="CJ106" s="95">
        <f t="shared" si="109"/>
        <v>-8854.0085204159986</v>
      </c>
      <c r="CK106" s="95">
        <f t="shared" si="119"/>
        <v>-4427.0042602079993</v>
      </c>
      <c r="CL106" s="95">
        <v>0</v>
      </c>
      <c r="CM106" s="99"/>
      <c r="CN106" s="99">
        <v>0</v>
      </c>
      <c r="CO106" s="110"/>
      <c r="CP106" s="99"/>
      <c r="CQ106" s="99"/>
      <c r="CR106" s="99"/>
      <c r="CS106" s="95"/>
      <c r="CT106" s="95"/>
      <c r="CU106" s="96"/>
      <c r="CV106" s="96"/>
      <c r="CW106" s="96"/>
      <c r="CX106" s="96"/>
      <c r="CY106" s="96"/>
      <c r="CZ106" s="93">
        <f t="shared" si="120"/>
        <v>0</v>
      </c>
      <c r="DA106" s="93">
        <f t="shared" si="121"/>
        <v>0</v>
      </c>
      <c r="DB106" s="95">
        <f t="shared" si="110"/>
        <v>484741.03284657595</v>
      </c>
      <c r="DC106" s="100">
        <f t="shared" si="111"/>
        <v>484741</v>
      </c>
      <c r="DD106" s="100"/>
      <c r="DE106" s="100">
        <f t="shared" si="112"/>
        <v>-484741</v>
      </c>
      <c r="DF106" s="13"/>
      <c r="DG106" s="2"/>
      <c r="DH106" s="46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</row>
    <row r="107" spans="1:156" s="1" customFormat="1" ht="12" hidden="1" customHeight="1" x14ac:dyDescent="0.2">
      <c r="A107" s="88">
        <f t="shared" si="82"/>
        <v>509740</v>
      </c>
      <c r="B107" s="21">
        <v>9740</v>
      </c>
      <c r="C107" s="21" t="s">
        <v>98</v>
      </c>
      <c r="D107" s="84" t="s">
        <v>156</v>
      </c>
      <c r="E107" s="114" t="s">
        <v>201</v>
      </c>
      <c r="F107" s="85">
        <v>0</v>
      </c>
      <c r="G107" s="84"/>
      <c r="H107" s="85"/>
      <c r="I107" s="86"/>
      <c r="J107" s="85"/>
      <c r="K107" s="21" t="s">
        <v>8</v>
      </c>
      <c r="L107" s="21"/>
      <c r="M107" s="87"/>
      <c r="N107" s="88"/>
      <c r="O107" s="88">
        <v>3</v>
      </c>
      <c r="P107" s="89">
        <f t="shared" si="113"/>
        <v>5401.2359999999999</v>
      </c>
      <c r="Q107" s="90">
        <f t="shared" si="114"/>
        <v>18004.12</v>
      </c>
      <c r="R107" s="90">
        <f t="shared" si="115"/>
        <v>25011.1211</v>
      </c>
      <c r="S107" s="91"/>
      <c r="T107" s="92">
        <v>0</v>
      </c>
      <c r="U107" s="32">
        <f t="shared" si="116"/>
        <v>0</v>
      </c>
      <c r="V107" s="32">
        <v>0</v>
      </c>
      <c r="W107" s="32">
        <v>0</v>
      </c>
      <c r="X107" s="93">
        <v>0</v>
      </c>
      <c r="Y107" s="32">
        <v>0</v>
      </c>
      <c r="Z107" s="32">
        <v>0</v>
      </c>
      <c r="AA107" s="32">
        <v>0</v>
      </c>
      <c r="AB107" s="32">
        <v>0</v>
      </c>
      <c r="AC107" s="32">
        <v>0</v>
      </c>
      <c r="AD107" s="93">
        <v>0</v>
      </c>
      <c r="AE107" s="32">
        <v>0</v>
      </c>
      <c r="AF107" s="32">
        <v>0</v>
      </c>
      <c r="AG107" s="32">
        <v>0</v>
      </c>
      <c r="AH107" s="93">
        <v>0</v>
      </c>
      <c r="AI107" s="93">
        <v>0</v>
      </c>
      <c r="AJ107" s="93">
        <v>0</v>
      </c>
      <c r="AK107" s="32">
        <v>0</v>
      </c>
      <c r="AL107" s="32">
        <v>0</v>
      </c>
      <c r="AM107" s="32">
        <v>0</v>
      </c>
      <c r="AN107" s="32">
        <v>0</v>
      </c>
      <c r="AO107" s="32">
        <v>0</v>
      </c>
      <c r="AP107" s="32">
        <v>0</v>
      </c>
      <c r="AQ107" s="32">
        <v>0</v>
      </c>
      <c r="AR107" s="32">
        <v>0</v>
      </c>
      <c r="AS107" s="32">
        <v>0</v>
      </c>
      <c r="AT107" s="32">
        <v>0</v>
      </c>
      <c r="AU107" s="94">
        <f t="shared" si="83"/>
        <v>0</v>
      </c>
      <c r="AV107" s="95">
        <f t="shared" si="84"/>
        <v>0</v>
      </c>
      <c r="AW107" s="95">
        <f t="shared" si="85"/>
        <v>0</v>
      </c>
      <c r="AX107" s="95">
        <f t="shared" si="86"/>
        <v>0</v>
      </c>
      <c r="AY107" s="95">
        <f t="shared" si="87"/>
        <v>0</v>
      </c>
      <c r="AZ107" s="95">
        <f t="shared" si="88"/>
        <v>0</v>
      </c>
      <c r="BA107" s="95">
        <f t="shared" si="89"/>
        <v>0</v>
      </c>
      <c r="BB107" s="95">
        <f t="shared" si="90"/>
        <v>0</v>
      </c>
      <c r="BC107" s="96">
        <f t="shared" si="91"/>
        <v>0</v>
      </c>
      <c r="BD107" s="96">
        <f t="shared" si="92"/>
        <v>0</v>
      </c>
      <c r="BE107" s="96">
        <f t="shared" si="81"/>
        <v>0</v>
      </c>
      <c r="BF107" s="96">
        <f t="shared" si="93"/>
        <v>0</v>
      </c>
      <c r="BG107" s="96">
        <f t="shared" si="94"/>
        <v>0</v>
      </c>
      <c r="BH107" s="96">
        <f t="shared" si="95"/>
        <v>0</v>
      </c>
      <c r="BI107" s="96">
        <f t="shared" si="96"/>
        <v>0</v>
      </c>
      <c r="BJ107" s="96">
        <f t="shared" si="97"/>
        <v>0</v>
      </c>
      <c r="BK107" s="96">
        <f t="shared" si="98"/>
        <v>0</v>
      </c>
      <c r="BL107" s="96">
        <f t="shared" si="99"/>
        <v>0</v>
      </c>
      <c r="BM107" s="96">
        <f t="shared" si="100"/>
        <v>0</v>
      </c>
      <c r="BN107" s="96"/>
      <c r="BO107" s="95"/>
      <c r="BP107" s="95">
        <f t="shared" si="101"/>
        <v>0</v>
      </c>
      <c r="BQ107" s="95"/>
      <c r="BR107" s="95"/>
      <c r="BS107" s="95">
        <f t="shared" si="102"/>
        <v>0</v>
      </c>
      <c r="BT107" s="95">
        <f t="shared" si="103"/>
        <v>0</v>
      </c>
      <c r="BU107" s="95">
        <f t="shared" si="104"/>
        <v>0</v>
      </c>
      <c r="BV107" s="95">
        <f t="shared" si="105"/>
        <v>0</v>
      </c>
      <c r="BW107" s="95"/>
      <c r="BX107" s="95"/>
      <c r="BY107" s="95"/>
      <c r="BZ107" s="95"/>
      <c r="CA107" s="95">
        <f t="shared" si="117"/>
        <v>0</v>
      </c>
      <c r="CB107" s="97">
        <f t="shared" si="106"/>
        <v>0</v>
      </c>
      <c r="CC107" s="95"/>
      <c r="CD107" s="95"/>
      <c r="CE107" s="95">
        <f t="shared" si="107"/>
        <v>0</v>
      </c>
      <c r="CF107" s="95">
        <f t="shared" si="118"/>
        <v>0</v>
      </c>
      <c r="CG107" s="113"/>
      <c r="CH107" s="22"/>
      <c r="CI107" s="98">
        <f t="shared" si="108"/>
        <v>0</v>
      </c>
      <c r="CJ107" s="95">
        <f t="shared" si="109"/>
        <v>0</v>
      </c>
      <c r="CK107" s="95">
        <f t="shared" si="119"/>
        <v>0</v>
      </c>
      <c r="CL107" s="95">
        <v>0</v>
      </c>
      <c r="CM107" s="99"/>
      <c r="CN107" s="99">
        <v>0</v>
      </c>
      <c r="CO107" s="110"/>
      <c r="CP107" s="99"/>
      <c r="CQ107" s="99"/>
      <c r="CR107" s="99"/>
      <c r="CS107" s="95"/>
      <c r="CT107" s="95"/>
      <c r="CU107" s="96"/>
      <c r="CV107" s="96"/>
      <c r="CW107" s="96"/>
      <c r="CX107" s="96"/>
      <c r="CY107" s="96"/>
      <c r="CZ107" s="93">
        <f t="shared" si="120"/>
        <v>0</v>
      </c>
      <c r="DA107" s="93">
        <f t="shared" si="121"/>
        <v>0</v>
      </c>
      <c r="DB107" s="95">
        <f t="shared" si="110"/>
        <v>0</v>
      </c>
      <c r="DC107" s="100">
        <f t="shared" si="111"/>
        <v>0</v>
      </c>
      <c r="DD107" s="100"/>
      <c r="DE107" s="100">
        <f t="shared" si="112"/>
        <v>0</v>
      </c>
      <c r="DF107" s="13"/>
      <c r="DG107" s="2"/>
      <c r="DH107" s="46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</row>
    <row r="108" spans="1:156" s="1" customFormat="1" ht="12" hidden="1" customHeight="1" x14ac:dyDescent="0.2">
      <c r="A108" s="88">
        <f t="shared" si="82"/>
        <v>509757</v>
      </c>
      <c r="B108" s="21">
        <v>9757</v>
      </c>
      <c r="C108" s="21" t="s">
        <v>98</v>
      </c>
      <c r="D108" s="84" t="s">
        <v>171</v>
      </c>
      <c r="E108" s="114" t="s">
        <v>201</v>
      </c>
      <c r="F108" s="85">
        <v>0</v>
      </c>
      <c r="G108" s="84"/>
      <c r="H108" s="85"/>
      <c r="I108" s="86"/>
      <c r="J108" s="85"/>
      <c r="K108" s="21" t="s">
        <v>8</v>
      </c>
      <c r="L108" s="21"/>
      <c r="M108" s="87"/>
      <c r="N108" s="88"/>
      <c r="O108" s="88">
        <v>3</v>
      </c>
      <c r="P108" s="89">
        <f t="shared" si="113"/>
        <v>5401.2359999999999</v>
      </c>
      <c r="Q108" s="90">
        <f t="shared" si="114"/>
        <v>18004.12</v>
      </c>
      <c r="R108" s="90">
        <f t="shared" si="115"/>
        <v>25011.1211</v>
      </c>
      <c r="S108" s="91"/>
      <c r="T108" s="92">
        <v>0</v>
      </c>
      <c r="U108" s="32">
        <f t="shared" si="116"/>
        <v>0</v>
      </c>
      <c r="V108" s="32">
        <v>0</v>
      </c>
      <c r="W108" s="32">
        <v>0</v>
      </c>
      <c r="X108" s="93">
        <v>0</v>
      </c>
      <c r="Y108" s="32">
        <v>0</v>
      </c>
      <c r="Z108" s="32">
        <v>0</v>
      </c>
      <c r="AA108" s="32">
        <v>0</v>
      </c>
      <c r="AB108" s="32">
        <v>0</v>
      </c>
      <c r="AC108" s="32">
        <v>0</v>
      </c>
      <c r="AD108" s="93">
        <v>0</v>
      </c>
      <c r="AE108" s="32">
        <v>0</v>
      </c>
      <c r="AF108" s="32">
        <v>0</v>
      </c>
      <c r="AG108" s="32">
        <v>0</v>
      </c>
      <c r="AH108" s="93">
        <v>0</v>
      </c>
      <c r="AI108" s="93">
        <v>0</v>
      </c>
      <c r="AJ108" s="93">
        <v>0</v>
      </c>
      <c r="AK108" s="32">
        <v>0</v>
      </c>
      <c r="AL108" s="32">
        <v>0</v>
      </c>
      <c r="AM108" s="32">
        <v>0</v>
      </c>
      <c r="AN108" s="32">
        <v>0</v>
      </c>
      <c r="AO108" s="32">
        <v>0</v>
      </c>
      <c r="AP108" s="32">
        <v>0</v>
      </c>
      <c r="AQ108" s="32">
        <v>0</v>
      </c>
      <c r="AR108" s="32">
        <v>0</v>
      </c>
      <c r="AS108" s="32">
        <v>0</v>
      </c>
      <c r="AT108" s="32">
        <v>0</v>
      </c>
      <c r="AU108" s="94">
        <f t="shared" si="83"/>
        <v>0</v>
      </c>
      <c r="AV108" s="95">
        <f t="shared" si="84"/>
        <v>0</v>
      </c>
      <c r="AW108" s="95">
        <f t="shared" si="85"/>
        <v>0</v>
      </c>
      <c r="AX108" s="95">
        <f t="shared" si="86"/>
        <v>0</v>
      </c>
      <c r="AY108" s="95">
        <f t="shared" si="87"/>
        <v>0</v>
      </c>
      <c r="AZ108" s="95">
        <f t="shared" si="88"/>
        <v>0</v>
      </c>
      <c r="BA108" s="95">
        <f t="shared" si="89"/>
        <v>0</v>
      </c>
      <c r="BB108" s="95">
        <f t="shared" si="90"/>
        <v>0</v>
      </c>
      <c r="BC108" s="96">
        <f t="shared" si="91"/>
        <v>0</v>
      </c>
      <c r="BD108" s="96">
        <f t="shared" si="92"/>
        <v>0</v>
      </c>
      <c r="BE108" s="96">
        <f t="shared" si="81"/>
        <v>0</v>
      </c>
      <c r="BF108" s="96">
        <f t="shared" si="93"/>
        <v>0</v>
      </c>
      <c r="BG108" s="96">
        <f t="shared" si="94"/>
        <v>0</v>
      </c>
      <c r="BH108" s="96">
        <f t="shared" si="95"/>
        <v>0</v>
      </c>
      <c r="BI108" s="96">
        <f t="shared" si="96"/>
        <v>0</v>
      </c>
      <c r="BJ108" s="96">
        <f t="shared" si="97"/>
        <v>0</v>
      </c>
      <c r="BK108" s="96">
        <f t="shared" si="98"/>
        <v>0</v>
      </c>
      <c r="BL108" s="96">
        <f t="shared" si="99"/>
        <v>0</v>
      </c>
      <c r="BM108" s="96">
        <f t="shared" si="100"/>
        <v>0</v>
      </c>
      <c r="BN108" s="96"/>
      <c r="BO108" s="95"/>
      <c r="BP108" s="95">
        <f t="shared" si="101"/>
        <v>0</v>
      </c>
      <c r="BQ108" s="95"/>
      <c r="BR108" s="95"/>
      <c r="BS108" s="95">
        <f t="shared" si="102"/>
        <v>0</v>
      </c>
      <c r="BT108" s="95">
        <f t="shared" si="103"/>
        <v>0</v>
      </c>
      <c r="BU108" s="95">
        <f t="shared" si="104"/>
        <v>0</v>
      </c>
      <c r="BV108" s="95">
        <f t="shared" si="105"/>
        <v>0</v>
      </c>
      <c r="BW108" s="95"/>
      <c r="BX108" s="95"/>
      <c r="BY108" s="95"/>
      <c r="BZ108" s="95"/>
      <c r="CA108" s="95">
        <f t="shared" si="117"/>
        <v>0</v>
      </c>
      <c r="CB108" s="97">
        <f t="shared" si="106"/>
        <v>0</v>
      </c>
      <c r="CC108" s="95"/>
      <c r="CD108" s="95"/>
      <c r="CE108" s="95">
        <f t="shared" si="107"/>
        <v>0</v>
      </c>
      <c r="CF108" s="95">
        <f t="shared" si="118"/>
        <v>0</v>
      </c>
      <c r="CG108" s="113"/>
      <c r="CH108" s="22"/>
      <c r="CI108" s="98">
        <f t="shared" si="108"/>
        <v>0</v>
      </c>
      <c r="CJ108" s="95">
        <f t="shared" si="109"/>
        <v>0</v>
      </c>
      <c r="CK108" s="95">
        <f t="shared" si="119"/>
        <v>0</v>
      </c>
      <c r="CL108" s="95">
        <v>0</v>
      </c>
      <c r="CM108" s="99"/>
      <c r="CN108" s="99">
        <v>0</v>
      </c>
      <c r="CO108" s="110"/>
      <c r="CP108" s="99"/>
      <c r="CQ108" s="99"/>
      <c r="CR108" s="99"/>
      <c r="CS108" s="95"/>
      <c r="CT108" s="95"/>
      <c r="CU108" s="96"/>
      <c r="CV108" s="96"/>
      <c r="CW108" s="96"/>
      <c r="CX108" s="96"/>
      <c r="CY108" s="96"/>
      <c r="CZ108" s="93">
        <f t="shared" si="120"/>
        <v>0</v>
      </c>
      <c r="DA108" s="93">
        <f t="shared" si="121"/>
        <v>0</v>
      </c>
      <c r="DB108" s="95">
        <f t="shared" si="110"/>
        <v>0</v>
      </c>
      <c r="DC108" s="100">
        <f t="shared" si="111"/>
        <v>0</v>
      </c>
      <c r="DD108" s="100"/>
      <c r="DE108" s="100">
        <f t="shared" si="112"/>
        <v>0</v>
      </c>
      <c r="DF108" s="13"/>
      <c r="DG108" s="2"/>
      <c r="DH108" s="46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</row>
    <row r="109" spans="1:156" s="1" customFormat="1" ht="12" hidden="1" customHeight="1" x14ac:dyDescent="0.2">
      <c r="A109" s="88">
        <f t="shared" si="82"/>
        <v>509758</v>
      </c>
      <c r="B109" s="21">
        <v>9758</v>
      </c>
      <c r="C109" s="21" t="s">
        <v>98</v>
      </c>
      <c r="D109" s="84" t="s">
        <v>172</v>
      </c>
      <c r="E109" s="114" t="s">
        <v>201</v>
      </c>
      <c r="F109" s="85">
        <v>0</v>
      </c>
      <c r="G109" s="84"/>
      <c r="H109" s="85"/>
      <c r="I109" s="86"/>
      <c r="J109" s="85"/>
      <c r="K109" s="21" t="s">
        <v>8</v>
      </c>
      <c r="L109" s="21"/>
      <c r="M109" s="87"/>
      <c r="N109" s="88"/>
      <c r="O109" s="88">
        <v>2</v>
      </c>
      <c r="P109" s="89">
        <f t="shared" si="113"/>
        <v>5401.2359999999999</v>
      </c>
      <c r="Q109" s="90">
        <f t="shared" si="114"/>
        <v>18004.12</v>
      </c>
      <c r="R109" s="90">
        <f t="shared" si="115"/>
        <v>25011.1211</v>
      </c>
      <c r="S109" s="91"/>
      <c r="T109" s="92">
        <v>0</v>
      </c>
      <c r="U109" s="32">
        <f t="shared" si="116"/>
        <v>0</v>
      </c>
      <c r="V109" s="32">
        <v>0</v>
      </c>
      <c r="W109" s="32">
        <v>0</v>
      </c>
      <c r="X109" s="93">
        <v>0</v>
      </c>
      <c r="Y109" s="32">
        <v>0</v>
      </c>
      <c r="Z109" s="32">
        <v>0</v>
      </c>
      <c r="AA109" s="32">
        <v>0</v>
      </c>
      <c r="AB109" s="32">
        <v>0</v>
      </c>
      <c r="AC109" s="32">
        <v>0</v>
      </c>
      <c r="AD109" s="93">
        <v>0</v>
      </c>
      <c r="AE109" s="32">
        <v>0</v>
      </c>
      <c r="AF109" s="32">
        <v>0</v>
      </c>
      <c r="AG109" s="32">
        <v>0</v>
      </c>
      <c r="AH109" s="93">
        <v>0</v>
      </c>
      <c r="AI109" s="93">
        <v>0</v>
      </c>
      <c r="AJ109" s="93">
        <v>0</v>
      </c>
      <c r="AK109" s="32">
        <v>0</v>
      </c>
      <c r="AL109" s="32">
        <v>0</v>
      </c>
      <c r="AM109" s="32">
        <v>0</v>
      </c>
      <c r="AN109" s="32">
        <v>0</v>
      </c>
      <c r="AO109" s="32">
        <v>0</v>
      </c>
      <c r="AP109" s="32">
        <v>0</v>
      </c>
      <c r="AQ109" s="32">
        <v>0</v>
      </c>
      <c r="AR109" s="32">
        <v>0</v>
      </c>
      <c r="AS109" s="32">
        <v>0</v>
      </c>
      <c r="AT109" s="32">
        <v>0</v>
      </c>
      <c r="AU109" s="94">
        <f t="shared" si="83"/>
        <v>0</v>
      </c>
      <c r="AV109" s="95">
        <f t="shared" si="84"/>
        <v>0</v>
      </c>
      <c r="AW109" s="95">
        <f t="shared" si="85"/>
        <v>0</v>
      </c>
      <c r="AX109" s="95">
        <f t="shared" si="86"/>
        <v>0</v>
      </c>
      <c r="AY109" s="95">
        <f t="shared" si="87"/>
        <v>0</v>
      </c>
      <c r="AZ109" s="95">
        <f t="shared" si="88"/>
        <v>0</v>
      </c>
      <c r="BA109" s="95">
        <f t="shared" si="89"/>
        <v>0</v>
      </c>
      <c r="BB109" s="95">
        <f t="shared" si="90"/>
        <v>0</v>
      </c>
      <c r="BC109" s="96">
        <f t="shared" si="91"/>
        <v>0</v>
      </c>
      <c r="BD109" s="96">
        <f t="shared" si="92"/>
        <v>0</v>
      </c>
      <c r="BE109" s="96">
        <f t="shared" si="81"/>
        <v>0</v>
      </c>
      <c r="BF109" s="96">
        <f t="shared" si="93"/>
        <v>0</v>
      </c>
      <c r="BG109" s="96">
        <f t="shared" si="94"/>
        <v>0</v>
      </c>
      <c r="BH109" s="96">
        <f t="shared" si="95"/>
        <v>0</v>
      </c>
      <c r="BI109" s="96">
        <f t="shared" si="96"/>
        <v>0</v>
      </c>
      <c r="BJ109" s="96">
        <f t="shared" si="97"/>
        <v>0</v>
      </c>
      <c r="BK109" s="96">
        <f t="shared" si="98"/>
        <v>0</v>
      </c>
      <c r="BL109" s="96">
        <f t="shared" si="99"/>
        <v>0</v>
      </c>
      <c r="BM109" s="96">
        <f t="shared" si="100"/>
        <v>0</v>
      </c>
      <c r="BN109" s="96"/>
      <c r="BO109" s="95"/>
      <c r="BP109" s="95">
        <f t="shared" si="101"/>
        <v>0</v>
      </c>
      <c r="BQ109" s="95"/>
      <c r="BR109" s="95"/>
      <c r="BS109" s="95">
        <f t="shared" si="102"/>
        <v>0</v>
      </c>
      <c r="BT109" s="95">
        <f t="shared" si="103"/>
        <v>0</v>
      </c>
      <c r="BU109" s="95">
        <f t="shared" si="104"/>
        <v>0</v>
      </c>
      <c r="BV109" s="95">
        <f t="shared" si="105"/>
        <v>0</v>
      </c>
      <c r="BW109" s="95"/>
      <c r="BX109" s="95"/>
      <c r="BY109" s="95"/>
      <c r="BZ109" s="95"/>
      <c r="CA109" s="95">
        <f t="shared" si="117"/>
        <v>0</v>
      </c>
      <c r="CB109" s="97">
        <f t="shared" si="106"/>
        <v>0</v>
      </c>
      <c r="CC109" s="95"/>
      <c r="CD109" s="95"/>
      <c r="CE109" s="95">
        <f t="shared" si="107"/>
        <v>0</v>
      </c>
      <c r="CF109" s="95">
        <f t="shared" si="118"/>
        <v>0</v>
      </c>
      <c r="CG109" s="113"/>
      <c r="CH109" s="22"/>
      <c r="CI109" s="98">
        <f t="shared" si="108"/>
        <v>0</v>
      </c>
      <c r="CJ109" s="95">
        <f t="shared" si="109"/>
        <v>0</v>
      </c>
      <c r="CK109" s="95">
        <f t="shared" si="119"/>
        <v>0</v>
      </c>
      <c r="CL109" s="95">
        <v>0</v>
      </c>
      <c r="CM109" s="99"/>
      <c r="CN109" s="99">
        <v>0</v>
      </c>
      <c r="CO109" s="110"/>
      <c r="CP109" s="99"/>
      <c r="CQ109" s="99"/>
      <c r="CR109" s="99"/>
      <c r="CS109" s="95"/>
      <c r="CT109" s="95"/>
      <c r="CU109" s="96"/>
      <c r="CV109" s="96"/>
      <c r="CW109" s="96"/>
      <c r="CX109" s="96"/>
      <c r="CY109" s="96"/>
      <c r="CZ109" s="93">
        <f t="shared" si="120"/>
        <v>0</v>
      </c>
      <c r="DA109" s="93">
        <f t="shared" si="121"/>
        <v>0</v>
      </c>
      <c r="DB109" s="95">
        <f t="shared" si="110"/>
        <v>0</v>
      </c>
      <c r="DC109" s="100">
        <f t="shared" si="111"/>
        <v>0</v>
      </c>
      <c r="DD109" s="100"/>
      <c r="DE109" s="100">
        <f t="shared" si="112"/>
        <v>0</v>
      </c>
      <c r="DF109" s="13"/>
      <c r="DG109" s="2"/>
      <c r="DH109" s="46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</row>
    <row r="110" spans="1:156" s="1" customFormat="1" ht="12" customHeight="1" x14ac:dyDescent="0.2">
      <c r="A110" s="88">
        <f t="shared" si="82"/>
        <v>509644</v>
      </c>
      <c r="B110" s="21">
        <v>9644</v>
      </c>
      <c r="C110" s="21" t="s">
        <v>98</v>
      </c>
      <c r="D110" s="84" t="s">
        <v>105</v>
      </c>
      <c r="E110" s="115" t="s">
        <v>202</v>
      </c>
      <c r="F110" s="85">
        <v>3</v>
      </c>
      <c r="G110" s="84"/>
      <c r="H110" s="85"/>
      <c r="I110" s="86"/>
      <c r="J110" s="85"/>
      <c r="K110" s="21" t="s">
        <v>10</v>
      </c>
      <c r="L110" s="21"/>
      <c r="M110" s="87"/>
      <c r="N110" s="88"/>
      <c r="O110" s="88">
        <v>13</v>
      </c>
      <c r="P110" s="89">
        <f t="shared" si="113"/>
        <v>5700.7259999999997</v>
      </c>
      <c r="Q110" s="90">
        <f t="shared" si="114"/>
        <v>19002.419999999998</v>
      </c>
      <c r="R110" s="90">
        <f t="shared" si="115"/>
        <v>26397.963600000003</v>
      </c>
      <c r="S110" s="91"/>
      <c r="T110" s="92">
        <v>7</v>
      </c>
      <c r="U110" s="32">
        <f t="shared" si="116"/>
        <v>7</v>
      </c>
      <c r="V110" s="32">
        <v>0</v>
      </c>
      <c r="W110" s="32">
        <v>0</v>
      </c>
      <c r="X110" s="93">
        <v>0</v>
      </c>
      <c r="Y110" s="32">
        <v>0</v>
      </c>
      <c r="Z110" s="32">
        <v>0</v>
      </c>
      <c r="AA110" s="32">
        <v>0</v>
      </c>
      <c r="AB110" s="32">
        <v>0</v>
      </c>
      <c r="AC110" s="32">
        <v>0</v>
      </c>
      <c r="AD110" s="93">
        <v>0</v>
      </c>
      <c r="AE110" s="32">
        <v>0</v>
      </c>
      <c r="AF110" s="32">
        <v>0</v>
      </c>
      <c r="AG110" s="32">
        <v>0</v>
      </c>
      <c r="AH110" s="93">
        <v>0</v>
      </c>
      <c r="AI110" s="93">
        <v>0</v>
      </c>
      <c r="AJ110" s="93">
        <v>0</v>
      </c>
      <c r="AK110" s="32">
        <v>0</v>
      </c>
      <c r="AL110" s="32">
        <v>0</v>
      </c>
      <c r="AM110" s="32">
        <v>0</v>
      </c>
      <c r="AN110" s="32">
        <v>0</v>
      </c>
      <c r="AO110" s="32">
        <v>0</v>
      </c>
      <c r="AP110" s="32">
        <v>0</v>
      </c>
      <c r="AQ110" s="32">
        <v>0</v>
      </c>
      <c r="AR110" s="32">
        <v>0</v>
      </c>
      <c r="AS110" s="32">
        <v>0</v>
      </c>
      <c r="AT110" s="32">
        <v>0</v>
      </c>
      <c r="AU110" s="94">
        <f t="shared" si="83"/>
        <v>7</v>
      </c>
      <c r="AV110" s="95">
        <f t="shared" si="84"/>
        <v>133016.94</v>
      </c>
      <c r="AW110" s="95">
        <f t="shared" si="85"/>
        <v>0</v>
      </c>
      <c r="AX110" s="95">
        <f t="shared" si="86"/>
        <v>0</v>
      </c>
      <c r="AY110" s="95">
        <f t="shared" si="87"/>
        <v>0</v>
      </c>
      <c r="AZ110" s="95">
        <f t="shared" si="88"/>
        <v>0</v>
      </c>
      <c r="BA110" s="95">
        <f t="shared" si="89"/>
        <v>0</v>
      </c>
      <c r="BB110" s="95">
        <f t="shared" si="90"/>
        <v>0</v>
      </c>
      <c r="BC110" s="96">
        <f t="shared" si="91"/>
        <v>0</v>
      </c>
      <c r="BD110" s="96">
        <f t="shared" si="92"/>
        <v>0</v>
      </c>
      <c r="BE110" s="96">
        <f t="shared" si="81"/>
        <v>0</v>
      </c>
      <c r="BF110" s="96">
        <f t="shared" si="93"/>
        <v>0</v>
      </c>
      <c r="BG110" s="96">
        <f t="shared" si="94"/>
        <v>0</v>
      </c>
      <c r="BH110" s="96">
        <f t="shared" si="95"/>
        <v>0</v>
      </c>
      <c r="BI110" s="96">
        <f t="shared" si="96"/>
        <v>0</v>
      </c>
      <c r="BJ110" s="96">
        <f t="shared" si="97"/>
        <v>0</v>
      </c>
      <c r="BK110" s="96">
        <f t="shared" si="98"/>
        <v>0</v>
      </c>
      <c r="BL110" s="96">
        <f t="shared" si="99"/>
        <v>20750.642639999998</v>
      </c>
      <c r="BM110" s="96">
        <f t="shared" si="100"/>
        <v>0</v>
      </c>
      <c r="BN110" s="96"/>
      <c r="BO110" s="95"/>
      <c r="BP110" s="95">
        <f t="shared" si="101"/>
        <v>0</v>
      </c>
      <c r="BQ110" s="95"/>
      <c r="BR110" s="95"/>
      <c r="BS110" s="95">
        <f t="shared" si="102"/>
        <v>0</v>
      </c>
      <c r="BT110" s="95">
        <f t="shared" si="103"/>
        <v>0</v>
      </c>
      <c r="BU110" s="95">
        <f t="shared" si="104"/>
        <v>0</v>
      </c>
      <c r="BV110" s="95">
        <f t="shared" si="105"/>
        <v>0</v>
      </c>
      <c r="BW110" s="95"/>
      <c r="BX110" s="95"/>
      <c r="BY110" s="95"/>
      <c r="BZ110" s="95"/>
      <c r="CA110" s="95">
        <f t="shared" si="117"/>
        <v>0</v>
      </c>
      <c r="CB110" s="97">
        <f t="shared" si="106"/>
        <v>153767.58264000001</v>
      </c>
      <c r="CC110" s="95"/>
      <c r="CD110" s="95"/>
      <c r="CE110" s="95">
        <f t="shared" si="107"/>
        <v>-4613.0274792</v>
      </c>
      <c r="CF110" s="95">
        <f t="shared" si="118"/>
        <v>-2306.5137396</v>
      </c>
      <c r="CG110" s="113"/>
      <c r="CH110" s="22"/>
      <c r="CI110" s="98">
        <f t="shared" si="108"/>
        <v>213613.92580348797</v>
      </c>
      <c r="CJ110" s="95">
        <f t="shared" si="109"/>
        <v>-6408.4177741046387</v>
      </c>
      <c r="CK110" s="95">
        <f t="shared" si="119"/>
        <v>-3204.2088870523194</v>
      </c>
      <c r="CL110" s="95">
        <v>0</v>
      </c>
      <c r="CM110" s="99"/>
      <c r="CN110" s="99">
        <v>0</v>
      </c>
      <c r="CO110" s="110"/>
      <c r="CP110" s="99"/>
      <c r="CQ110" s="99"/>
      <c r="CR110" s="99"/>
      <c r="CS110" s="95"/>
      <c r="CT110" s="95"/>
      <c r="CU110" s="96"/>
      <c r="CV110" s="96"/>
      <c r="CW110" s="96"/>
      <c r="CX110" s="96"/>
      <c r="CY110" s="96"/>
      <c r="CZ110" s="93">
        <f t="shared" si="120"/>
        <v>0</v>
      </c>
      <c r="DA110" s="93">
        <f t="shared" si="121"/>
        <v>0</v>
      </c>
      <c r="DB110" s="95">
        <f t="shared" si="110"/>
        <v>350849.34056353103</v>
      </c>
      <c r="DC110" s="100">
        <f t="shared" si="111"/>
        <v>350849</v>
      </c>
      <c r="DD110" s="100"/>
      <c r="DE110" s="100">
        <f t="shared" si="112"/>
        <v>-350849</v>
      </c>
      <c r="DF110" s="13"/>
      <c r="DG110" s="2"/>
      <c r="DH110" s="46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</row>
    <row r="111" spans="1:156" s="1" customFormat="1" ht="12" hidden="1" customHeight="1" x14ac:dyDescent="0.2">
      <c r="A111" s="88">
        <f t="shared" si="82"/>
        <v>509830</v>
      </c>
      <c r="B111" s="104">
        <v>9830</v>
      </c>
      <c r="C111" s="21" t="s">
        <v>98</v>
      </c>
      <c r="D111" s="84" t="s">
        <v>179</v>
      </c>
      <c r="E111" s="114" t="s">
        <v>201</v>
      </c>
      <c r="F111" s="85">
        <v>0</v>
      </c>
      <c r="G111" s="84"/>
      <c r="H111" s="85"/>
      <c r="I111" s="86"/>
      <c r="J111" s="85"/>
      <c r="K111" s="21" t="s">
        <v>8</v>
      </c>
      <c r="L111" s="21"/>
      <c r="M111" s="87"/>
      <c r="N111" s="88"/>
      <c r="O111" s="88">
        <v>0</v>
      </c>
      <c r="P111" s="89">
        <f t="shared" si="113"/>
        <v>5401.2359999999999</v>
      </c>
      <c r="Q111" s="90">
        <f t="shared" si="114"/>
        <v>18004.12</v>
      </c>
      <c r="R111" s="90">
        <f t="shared" si="115"/>
        <v>25011.1211</v>
      </c>
      <c r="S111" s="91"/>
      <c r="T111" s="92">
        <v>0</v>
      </c>
      <c r="U111" s="32">
        <f t="shared" si="116"/>
        <v>0</v>
      </c>
      <c r="V111" s="32">
        <v>0</v>
      </c>
      <c r="W111" s="32">
        <v>0</v>
      </c>
      <c r="X111" s="93">
        <v>0</v>
      </c>
      <c r="Y111" s="32">
        <v>0</v>
      </c>
      <c r="Z111" s="32">
        <v>0</v>
      </c>
      <c r="AA111" s="32">
        <v>0</v>
      </c>
      <c r="AB111" s="32">
        <v>0</v>
      </c>
      <c r="AC111" s="32">
        <v>0</v>
      </c>
      <c r="AD111" s="93">
        <v>0</v>
      </c>
      <c r="AE111" s="32">
        <v>0</v>
      </c>
      <c r="AF111" s="32">
        <v>0</v>
      </c>
      <c r="AG111" s="32">
        <v>0</v>
      </c>
      <c r="AH111" s="93">
        <v>0</v>
      </c>
      <c r="AI111" s="93">
        <v>0</v>
      </c>
      <c r="AJ111" s="93">
        <v>0</v>
      </c>
      <c r="AK111" s="32">
        <v>0</v>
      </c>
      <c r="AL111" s="32">
        <v>0</v>
      </c>
      <c r="AM111" s="32">
        <v>0</v>
      </c>
      <c r="AN111" s="32">
        <v>0</v>
      </c>
      <c r="AO111" s="32">
        <v>0</v>
      </c>
      <c r="AP111" s="32">
        <v>0</v>
      </c>
      <c r="AQ111" s="32">
        <v>0</v>
      </c>
      <c r="AR111" s="32">
        <v>0</v>
      </c>
      <c r="AS111" s="32">
        <v>0</v>
      </c>
      <c r="AT111" s="32">
        <v>0</v>
      </c>
      <c r="AU111" s="94">
        <f t="shared" si="83"/>
        <v>0</v>
      </c>
      <c r="AV111" s="95">
        <f t="shared" si="84"/>
        <v>0</v>
      </c>
      <c r="AW111" s="95">
        <f t="shared" si="85"/>
        <v>0</v>
      </c>
      <c r="AX111" s="95">
        <f t="shared" si="86"/>
        <v>0</v>
      </c>
      <c r="AY111" s="95">
        <f t="shared" si="87"/>
        <v>0</v>
      </c>
      <c r="AZ111" s="95">
        <f t="shared" si="88"/>
        <v>0</v>
      </c>
      <c r="BA111" s="95">
        <f t="shared" si="89"/>
        <v>0</v>
      </c>
      <c r="BB111" s="95">
        <f t="shared" si="90"/>
        <v>0</v>
      </c>
      <c r="BC111" s="96">
        <f t="shared" si="91"/>
        <v>0</v>
      </c>
      <c r="BD111" s="96">
        <f t="shared" si="92"/>
        <v>0</v>
      </c>
      <c r="BE111" s="96">
        <f t="shared" si="81"/>
        <v>0</v>
      </c>
      <c r="BF111" s="96">
        <f t="shared" si="93"/>
        <v>0</v>
      </c>
      <c r="BG111" s="96">
        <f t="shared" si="94"/>
        <v>0</v>
      </c>
      <c r="BH111" s="96">
        <f t="shared" si="95"/>
        <v>0</v>
      </c>
      <c r="BI111" s="96">
        <f t="shared" si="96"/>
        <v>0</v>
      </c>
      <c r="BJ111" s="96">
        <f t="shared" si="97"/>
        <v>0</v>
      </c>
      <c r="BK111" s="96">
        <f t="shared" si="98"/>
        <v>0</v>
      </c>
      <c r="BL111" s="96">
        <f t="shared" si="99"/>
        <v>0</v>
      </c>
      <c r="BM111" s="96">
        <f t="shared" si="100"/>
        <v>0</v>
      </c>
      <c r="BN111" s="96"/>
      <c r="BO111" s="95"/>
      <c r="BP111" s="95">
        <f t="shared" si="101"/>
        <v>0</v>
      </c>
      <c r="BQ111" s="95"/>
      <c r="BR111" s="95"/>
      <c r="BS111" s="95">
        <f t="shared" si="102"/>
        <v>0</v>
      </c>
      <c r="BT111" s="95">
        <f t="shared" si="103"/>
        <v>0</v>
      </c>
      <c r="BU111" s="95">
        <f t="shared" si="104"/>
        <v>0</v>
      </c>
      <c r="BV111" s="95">
        <f t="shared" si="105"/>
        <v>0</v>
      </c>
      <c r="BW111" s="95"/>
      <c r="BX111" s="95"/>
      <c r="BY111" s="95"/>
      <c r="BZ111" s="95"/>
      <c r="CA111" s="95">
        <f t="shared" si="117"/>
        <v>0</v>
      </c>
      <c r="CB111" s="97">
        <f t="shared" si="106"/>
        <v>0</v>
      </c>
      <c r="CC111" s="95"/>
      <c r="CD111" s="95"/>
      <c r="CE111" s="95">
        <f t="shared" si="107"/>
        <v>0</v>
      </c>
      <c r="CF111" s="95">
        <f t="shared" si="118"/>
        <v>0</v>
      </c>
      <c r="CG111" s="113"/>
      <c r="CH111" s="22"/>
      <c r="CI111" s="98">
        <f t="shared" si="108"/>
        <v>0</v>
      </c>
      <c r="CJ111" s="95">
        <f t="shared" si="109"/>
        <v>0</v>
      </c>
      <c r="CK111" s="95">
        <f t="shared" si="119"/>
        <v>0</v>
      </c>
      <c r="CL111" s="95">
        <v>0</v>
      </c>
      <c r="CM111" s="99"/>
      <c r="CN111" s="99">
        <v>0</v>
      </c>
      <c r="CO111" s="110"/>
      <c r="CP111" s="99"/>
      <c r="CQ111" s="99"/>
      <c r="CR111" s="99"/>
      <c r="CS111" s="95"/>
      <c r="CT111" s="95"/>
      <c r="CU111" s="96"/>
      <c r="CV111" s="96"/>
      <c r="CW111" s="96"/>
      <c r="CX111" s="96"/>
      <c r="CY111" s="96"/>
      <c r="CZ111" s="93">
        <f t="shared" si="120"/>
        <v>0</v>
      </c>
      <c r="DA111" s="93">
        <f t="shared" si="121"/>
        <v>0</v>
      </c>
      <c r="DB111" s="95">
        <f t="shared" si="110"/>
        <v>0</v>
      </c>
      <c r="DC111" s="100">
        <f t="shared" si="111"/>
        <v>0</v>
      </c>
      <c r="DD111" s="100"/>
      <c r="DE111" s="100">
        <f t="shared" si="112"/>
        <v>0</v>
      </c>
      <c r="DF111" s="13"/>
      <c r="DG111" s="2"/>
      <c r="DH111" s="46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</row>
    <row r="112" spans="1:156" s="1" customFormat="1" ht="12" hidden="1" customHeight="1" x14ac:dyDescent="0.2">
      <c r="A112" s="88">
        <f t="shared" si="82"/>
        <v>509732</v>
      </c>
      <c r="B112" s="21">
        <v>9732</v>
      </c>
      <c r="C112" s="21" t="s">
        <v>98</v>
      </c>
      <c r="D112" s="84" t="s">
        <v>155</v>
      </c>
      <c r="E112" s="114" t="s">
        <v>201</v>
      </c>
      <c r="F112" s="85">
        <v>3</v>
      </c>
      <c r="G112" s="84"/>
      <c r="H112" s="85"/>
      <c r="I112" s="86"/>
      <c r="J112" s="85"/>
      <c r="K112" s="21" t="s">
        <v>8</v>
      </c>
      <c r="L112" s="21"/>
      <c r="M112" s="87"/>
      <c r="N112" s="88"/>
      <c r="O112" s="88">
        <v>6</v>
      </c>
      <c r="P112" s="89">
        <f t="shared" si="113"/>
        <v>5401.2359999999999</v>
      </c>
      <c r="Q112" s="90">
        <f t="shared" si="114"/>
        <v>18004.12</v>
      </c>
      <c r="R112" s="90">
        <f t="shared" si="115"/>
        <v>25011.1211</v>
      </c>
      <c r="S112" s="91"/>
      <c r="T112" s="92">
        <v>0</v>
      </c>
      <c r="U112" s="32">
        <f t="shared" si="116"/>
        <v>0</v>
      </c>
      <c r="V112" s="32">
        <v>0</v>
      </c>
      <c r="W112" s="32">
        <v>0</v>
      </c>
      <c r="X112" s="93">
        <v>0</v>
      </c>
      <c r="Y112" s="32">
        <v>0</v>
      </c>
      <c r="Z112" s="32">
        <v>0</v>
      </c>
      <c r="AA112" s="32">
        <v>0</v>
      </c>
      <c r="AB112" s="32">
        <v>0</v>
      </c>
      <c r="AC112" s="32">
        <v>0</v>
      </c>
      <c r="AD112" s="93">
        <v>0</v>
      </c>
      <c r="AE112" s="32">
        <v>0</v>
      </c>
      <c r="AF112" s="32">
        <v>0</v>
      </c>
      <c r="AG112" s="32">
        <v>0</v>
      </c>
      <c r="AH112" s="93">
        <v>0</v>
      </c>
      <c r="AI112" s="93">
        <v>0</v>
      </c>
      <c r="AJ112" s="93">
        <v>0</v>
      </c>
      <c r="AK112" s="32">
        <v>0</v>
      </c>
      <c r="AL112" s="32">
        <v>0</v>
      </c>
      <c r="AM112" s="32">
        <v>0</v>
      </c>
      <c r="AN112" s="32">
        <v>0</v>
      </c>
      <c r="AO112" s="32">
        <v>0</v>
      </c>
      <c r="AP112" s="32">
        <v>0</v>
      </c>
      <c r="AQ112" s="32">
        <v>0</v>
      </c>
      <c r="AR112" s="32">
        <v>0</v>
      </c>
      <c r="AS112" s="32">
        <v>0</v>
      </c>
      <c r="AT112" s="32">
        <v>0</v>
      </c>
      <c r="AU112" s="94">
        <f t="shared" si="83"/>
        <v>0</v>
      </c>
      <c r="AV112" s="95">
        <f t="shared" si="84"/>
        <v>0</v>
      </c>
      <c r="AW112" s="95">
        <f t="shared" si="85"/>
        <v>0</v>
      </c>
      <c r="AX112" s="95">
        <f t="shared" si="86"/>
        <v>0</v>
      </c>
      <c r="AY112" s="95">
        <f t="shared" si="87"/>
        <v>0</v>
      </c>
      <c r="AZ112" s="95">
        <f t="shared" si="88"/>
        <v>0</v>
      </c>
      <c r="BA112" s="95">
        <f t="shared" si="89"/>
        <v>0</v>
      </c>
      <c r="BB112" s="95">
        <f t="shared" si="90"/>
        <v>0</v>
      </c>
      <c r="BC112" s="96">
        <f t="shared" si="91"/>
        <v>0</v>
      </c>
      <c r="BD112" s="96">
        <f t="shared" si="92"/>
        <v>0</v>
      </c>
      <c r="BE112" s="96">
        <f t="shared" si="81"/>
        <v>0</v>
      </c>
      <c r="BF112" s="96">
        <f t="shared" si="93"/>
        <v>0</v>
      </c>
      <c r="BG112" s="96">
        <f t="shared" si="94"/>
        <v>0</v>
      </c>
      <c r="BH112" s="96">
        <f t="shared" si="95"/>
        <v>0</v>
      </c>
      <c r="BI112" s="96">
        <f t="shared" si="96"/>
        <v>0</v>
      </c>
      <c r="BJ112" s="96">
        <f t="shared" si="97"/>
        <v>0</v>
      </c>
      <c r="BK112" s="96">
        <f t="shared" si="98"/>
        <v>0</v>
      </c>
      <c r="BL112" s="96">
        <f t="shared" si="99"/>
        <v>0</v>
      </c>
      <c r="BM112" s="96">
        <f t="shared" si="100"/>
        <v>0</v>
      </c>
      <c r="BN112" s="96"/>
      <c r="BO112" s="95"/>
      <c r="BP112" s="95">
        <f t="shared" si="101"/>
        <v>0</v>
      </c>
      <c r="BQ112" s="95"/>
      <c r="BR112" s="95"/>
      <c r="BS112" s="95">
        <f t="shared" si="102"/>
        <v>0</v>
      </c>
      <c r="BT112" s="95">
        <f t="shared" si="103"/>
        <v>0</v>
      </c>
      <c r="BU112" s="95">
        <f t="shared" si="104"/>
        <v>0</v>
      </c>
      <c r="BV112" s="95">
        <f t="shared" si="105"/>
        <v>0</v>
      </c>
      <c r="BW112" s="95"/>
      <c r="BX112" s="95"/>
      <c r="BY112" s="95"/>
      <c r="BZ112" s="95"/>
      <c r="CA112" s="95">
        <f t="shared" si="117"/>
        <v>0</v>
      </c>
      <c r="CB112" s="97">
        <f t="shared" si="106"/>
        <v>0</v>
      </c>
      <c r="CC112" s="95"/>
      <c r="CD112" s="95"/>
      <c r="CE112" s="95">
        <f t="shared" si="107"/>
        <v>0</v>
      </c>
      <c r="CF112" s="95">
        <f t="shared" si="118"/>
        <v>0</v>
      </c>
      <c r="CG112" s="113"/>
      <c r="CH112" s="22"/>
      <c r="CI112" s="98">
        <f t="shared" si="108"/>
        <v>0</v>
      </c>
      <c r="CJ112" s="95">
        <f t="shared" si="109"/>
        <v>0</v>
      </c>
      <c r="CK112" s="95">
        <f t="shared" si="119"/>
        <v>0</v>
      </c>
      <c r="CL112" s="95">
        <v>0</v>
      </c>
      <c r="CM112" s="99"/>
      <c r="CN112" s="99">
        <v>0</v>
      </c>
      <c r="CO112" s="110"/>
      <c r="CP112" s="99"/>
      <c r="CQ112" s="99"/>
      <c r="CR112" s="99"/>
      <c r="CS112" s="95"/>
      <c r="CT112" s="95"/>
      <c r="CU112" s="96"/>
      <c r="CV112" s="96"/>
      <c r="CW112" s="96"/>
      <c r="CX112" s="96"/>
      <c r="CY112" s="96"/>
      <c r="CZ112" s="93">
        <f t="shared" si="120"/>
        <v>0</v>
      </c>
      <c r="DA112" s="93">
        <f t="shared" si="121"/>
        <v>0</v>
      </c>
      <c r="DB112" s="95">
        <f t="shared" si="110"/>
        <v>0</v>
      </c>
      <c r="DC112" s="100">
        <f t="shared" si="111"/>
        <v>0</v>
      </c>
      <c r="DD112" s="100"/>
      <c r="DE112" s="100">
        <f t="shared" si="112"/>
        <v>0</v>
      </c>
      <c r="DF112" s="13"/>
      <c r="DG112" s="2"/>
      <c r="DH112" s="46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</row>
    <row r="113" spans="1:156" s="1" customFormat="1" ht="12" hidden="1" customHeight="1" x14ac:dyDescent="0.2">
      <c r="A113" s="88">
        <f t="shared" si="82"/>
        <v>509860</v>
      </c>
      <c r="B113" s="21">
        <v>9860</v>
      </c>
      <c r="C113" s="21" t="s">
        <v>98</v>
      </c>
      <c r="D113" s="84" t="s">
        <v>192</v>
      </c>
      <c r="E113" s="115" t="s">
        <v>202</v>
      </c>
      <c r="F113" s="85">
        <v>0</v>
      </c>
      <c r="G113" s="84"/>
      <c r="H113" s="85"/>
      <c r="I113" s="86"/>
      <c r="J113" s="85"/>
      <c r="K113" s="21" t="s">
        <v>10</v>
      </c>
      <c r="L113" s="21"/>
      <c r="M113" s="87"/>
      <c r="N113" s="88"/>
      <c r="O113" s="88">
        <v>0</v>
      </c>
      <c r="P113" s="89">
        <f t="shared" si="113"/>
        <v>5700.7259999999997</v>
      </c>
      <c r="Q113" s="90">
        <f t="shared" si="114"/>
        <v>19002.419999999998</v>
      </c>
      <c r="R113" s="90">
        <f t="shared" si="115"/>
        <v>26397.963600000003</v>
      </c>
      <c r="S113" s="91"/>
      <c r="T113" s="92">
        <v>0</v>
      </c>
      <c r="U113" s="32">
        <f t="shared" si="116"/>
        <v>0</v>
      </c>
      <c r="V113" s="32">
        <v>0</v>
      </c>
      <c r="W113" s="32">
        <v>0</v>
      </c>
      <c r="X113" s="93">
        <v>0</v>
      </c>
      <c r="Y113" s="32">
        <v>0</v>
      </c>
      <c r="Z113" s="32">
        <v>0</v>
      </c>
      <c r="AA113" s="32">
        <v>0</v>
      </c>
      <c r="AB113" s="32">
        <v>0</v>
      </c>
      <c r="AC113" s="32">
        <v>0</v>
      </c>
      <c r="AD113" s="93">
        <v>0</v>
      </c>
      <c r="AE113" s="32">
        <v>0</v>
      </c>
      <c r="AF113" s="32">
        <v>0</v>
      </c>
      <c r="AG113" s="32">
        <v>0</v>
      </c>
      <c r="AH113" s="93">
        <v>0</v>
      </c>
      <c r="AI113" s="93">
        <v>0</v>
      </c>
      <c r="AJ113" s="93">
        <v>0</v>
      </c>
      <c r="AK113" s="32">
        <v>0</v>
      </c>
      <c r="AL113" s="32">
        <v>0</v>
      </c>
      <c r="AM113" s="32">
        <v>0</v>
      </c>
      <c r="AN113" s="32">
        <v>0</v>
      </c>
      <c r="AO113" s="32">
        <v>0</v>
      </c>
      <c r="AP113" s="32">
        <v>0</v>
      </c>
      <c r="AQ113" s="32">
        <v>0</v>
      </c>
      <c r="AR113" s="32">
        <v>0</v>
      </c>
      <c r="AS113" s="32">
        <v>0</v>
      </c>
      <c r="AT113" s="32">
        <v>0</v>
      </c>
      <c r="AU113" s="94">
        <f t="shared" si="83"/>
        <v>0</v>
      </c>
      <c r="AV113" s="95">
        <f t="shared" si="84"/>
        <v>0</v>
      </c>
      <c r="AW113" s="95">
        <f t="shared" si="85"/>
        <v>0</v>
      </c>
      <c r="AX113" s="95">
        <f t="shared" si="86"/>
        <v>0</v>
      </c>
      <c r="AY113" s="95">
        <f t="shared" si="87"/>
        <v>0</v>
      </c>
      <c r="AZ113" s="95">
        <f t="shared" si="88"/>
        <v>0</v>
      </c>
      <c r="BA113" s="95">
        <f t="shared" si="89"/>
        <v>0</v>
      </c>
      <c r="BB113" s="95">
        <f t="shared" si="90"/>
        <v>0</v>
      </c>
      <c r="BC113" s="96">
        <f t="shared" si="91"/>
        <v>0</v>
      </c>
      <c r="BD113" s="96">
        <f t="shared" si="92"/>
        <v>0</v>
      </c>
      <c r="BE113" s="96">
        <f t="shared" si="81"/>
        <v>0</v>
      </c>
      <c r="BF113" s="96">
        <f t="shared" si="93"/>
        <v>0</v>
      </c>
      <c r="BG113" s="96">
        <f t="shared" si="94"/>
        <v>0</v>
      </c>
      <c r="BH113" s="96">
        <f t="shared" si="95"/>
        <v>0</v>
      </c>
      <c r="BI113" s="96">
        <f t="shared" si="96"/>
        <v>0</v>
      </c>
      <c r="BJ113" s="96">
        <f t="shared" si="97"/>
        <v>0</v>
      </c>
      <c r="BK113" s="96">
        <f t="shared" si="98"/>
        <v>0</v>
      </c>
      <c r="BL113" s="96">
        <f t="shared" si="99"/>
        <v>0</v>
      </c>
      <c r="BM113" s="96">
        <f t="shared" si="100"/>
        <v>0</v>
      </c>
      <c r="BN113" s="96"/>
      <c r="BO113" s="95"/>
      <c r="BP113" s="95">
        <f t="shared" si="101"/>
        <v>0</v>
      </c>
      <c r="BQ113" s="95"/>
      <c r="BR113" s="95"/>
      <c r="BS113" s="95">
        <f t="shared" si="102"/>
        <v>0</v>
      </c>
      <c r="BT113" s="95">
        <f t="shared" si="103"/>
        <v>0</v>
      </c>
      <c r="BU113" s="95">
        <f t="shared" si="104"/>
        <v>0</v>
      </c>
      <c r="BV113" s="95">
        <f t="shared" si="105"/>
        <v>0</v>
      </c>
      <c r="BW113" s="95"/>
      <c r="BX113" s="95"/>
      <c r="BY113" s="95"/>
      <c r="BZ113" s="95"/>
      <c r="CA113" s="95">
        <f t="shared" si="117"/>
        <v>0</v>
      </c>
      <c r="CB113" s="97">
        <f t="shared" si="106"/>
        <v>0</v>
      </c>
      <c r="CC113" s="95"/>
      <c r="CD113" s="95"/>
      <c r="CE113" s="95">
        <f t="shared" si="107"/>
        <v>0</v>
      </c>
      <c r="CF113" s="95">
        <f t="shared" si="118"/>
        <v>0</v>
      </c>
      <c r="CG113" s="113"/>
      <c r="CH113" s="22"/>
      <c r="CI113" s="98">
        <f t="shared" si="108"/>
        <v>0</v>
      </c>
      <c r="CJ113" s="95">
        <f t="shared" si="109"/>
        <v>0</v>
      </c>
      <c r="CK113" s="95">
        <f t="shared" si="119"/>
        <v>0</v>
      </c>
      <c r="CL113" s="95">
        <v>0</v>
      </c>
      <c r="CM113" s="99"/>
      <c r="CN113" s="99">
        <v>0</v>
      </c>
      <c r="CO113" s="110"/>
      <c r="CP113" s="99"/>
      <c r="CQ113" s="99"/>
      <c r="CR113" s="99"/>
      <c r="CS113" s="95"/>
      <c r="CT113" s="95"/>
      <c r="CU113" s="96"/>
      <c r="CV113" s="96"/>
      <c r="CW113" s="96"/>
      <c r="CX113" s="96"/>
      <c r="CY113" s="96"/>
      <c r="CZ113" s="93">
        <f t="shared" si="120"/>
        <v>0</v>
      </c>
      <c r="DA113" s="93">
        <f t="shared" si="121"/>
        <v>0</v>
      </c>
      <c r="DB113" s="95">
        <f t="shared" si="110"/>
        <v>0</v>
      </c>
      <c r="DC113" s="100">
        <f t="shared" si="111"/>
        <v>0</v>
      </c>
      <c r="DD113" s="100"/>
      <c r="DE113" s="100">
        <f t="shared" si="112"/>
        <v>0</v>
      </c>
      <c r="DF113" s="13"/>
      <c r="DG113" s="2"/>
      <c r="DH113" s="46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</row>
    <row r="114" spans="1:156" ht="12" customHeight="1" x14ac:dyDescent="0.2">
      <c r="A114" s="51">
        <f>+COUNT(A18:A113)</f>
        <v>96</v>
      </c>
      <c r="B114" s="51">
        <f>+COUNT(B18:B113)</f>
        <v>96</v>
      </c>
      <c r="C114" s="105"/>
      <c r="D114" s="105"/>
      <c r="E114" s="105"/>
      <c r="F114" s="51"/>
      <c r="G114" s="105"/>
      <c r="H114" s="106">
        <f t="shared" ref="H114:J114" si="122">+SUM(H18:H113)</f>
        <v>624</v>
      </c>
      <c r="I114" s="106">
        <f t="shared" si="122"/>
        <v>1</v>
      </c>
      <c r="J114" s="106">
        <f t="shared" si="122"/>
        <v>1.5999999999999999</v>
      </c>
      <c r="K114" s="105"/>
      <c r="L114" s="105"/>
      <c r="M114" s="105"/>
      <c r="N114" s="105"/>
      <c r="O114" s="105"/>
      <c r="P114" s="106"/>
      <c r="Q114" s="106">
        <f t="shared" ref="Q114:Y114" si="123">+SUM(Q18:Q113)</f>
        <v>1793491.7400000007</v>
      </c>
      <c r="R114" s="106">
        <f t="shared" si="123"/>
        <v>2491499.5367999994</v>
      </c>
      <c r="S114" s="106">
        <f t="shared" si="123"/>
        <v>0</v>
      </c>
      <c r="T114" s="106">
        <f>+SUM(T18:T113)</f>
        <v>296</v>
      </c>
      <c r="U114" s="106">
        <f t="shared" si="123"/>
        <v>296</v>
      </c>
      <c r="V114" s="106">
        <f t="shared" si="123"/>
        <v>3</v>
      </c>
      <c r="W114" s="106">
        <f t="shared" si="123"/>
        <v>21</v>
      </c>
      <c r="X114" s="106">
        <f t="shared" si="123"/>
        <v>2</v>
      </c>
      <c r="Y114" s="106">
        <f t="shared" si="123"/>
        <v>13</v>
      </c>
      <c r="Z114" s="106">
        <v>0</v>
      </c>
      <c r="AA114" s="106">
        <f t="shared" ref="AA114:BF114" si="124">+SUM(AA18:AA113)</f>
        <v>15</v>
      </c>
      <c r="AB114" s="106">
        <f t="shared" si="124"/>
        <v>0</v>
      </c>
      <c r="AC114" s="106">
        <f t="shared" si="124"/>
        <v>0</v>
      </c>
      <c r="AD114" s="106">
        <f t="shared" si="124"/>
        <v>0</v>
      </c>
      <c r="AE114" s="106">
        <f t="shared" si="124"/>
        <v>0</v>
      </c>
      <c r="AF114" s="106">
        <f t="shared" si="124"/>
        <v>0</v>
      </c>
      <c r="AG114" s="106">
        <f t="shared" si="124"/>
        <v>0</v>
      </c>
      <c r="AH114" s="106">
        <f t="shared" si="124"/>
        <v>0</v>
      </c>
      <c r="AI114" s="106">
        <f t="shared" si="124"/>
        <v>0.625</v>
      </c>
      <c r="AJ114" s="106">
        <f t="shared" si="124"/>
        <v>0</v>
      </c>
      <c r="AK114" s="106">
        <f t="shared" si="124"/>
        <v>0</v>
      </c>
      <c r="AL114" s="106">
        <f t="shared" si="124"/>
        <v>0</v>
      </c>
      <c r="AM114" s="106">
        <f t="shared" si="124"/>
        <v>0</v>
      </c>
      <c r="AN114" s="106">
        <f t="shared" si="124"/>
        <v>0</v>
      </c>
      <c r="AO114" s="106">
        <f t="shared" si="124"/>
        <v>0</v>
      </c>
      <c r="AP114" s="106">
        <f t="shared" si="124"/>
        <v>0</v>
      </c>
      <c r="AQ114" s="106">
        <f t="shared" si="124"/>
        <v>0</v>
      </c>
      <c r="AR114" s="106">
        <f t="shared" si="124"/>
        <v>0</v>
      </c>
      <c r="AS114" s="106">
        <f t="shared" si="124"/>
        <v>0</v>
      </c>
      <c r="AT114" s="106">
        <f t="shared" si="124"/>
        <v>0</v>
      </c>
      <c r="AU114" s="106">
        <f t="shared" si="124"/>
        <v>333</v>
      </c>
      <c r="AV114" s="106">
        <f t="shared" si="124"/>
        <v>5509911.8200000003</v>
      </c>
      <c r="AW114" s="106">
        <f t="shared" si="124"/>
        <v>57007.259999999995</v>
      </c>
      <c r="AX114" s="106">
        <f t="shared" si="124"/>
        <v>391064.41999999987</v>
      </c>
      <c r="AY114" s="106">
        <f t="shared" si="124"/>
        <v>38004.839999999997</v>
      </c>
      <c r="AZ114" s="106">
        <f t="shared" si="124"/>
        <v>306146.08837799996</v>
      </c>
      <c r="BA114" s="106">
        <f t="shared" si="124"/>
        <v>0</v>
      </c>
      <c r="BB114" s="106">
        <f t="shared" si="124"/>
        <v>35629.537499999999</v>
      </c>
      <c r="BC114" s="106">
        <f t="shared" si="124"/>
        <v>0</v>
      </c>
      <c r="BD114" s="106">
        <f t="shared" si="124"/>
        <v>0</v>
      </c>
      <c r="BE114" s="106">
        <f t="shared" si="124"/>
        <v>0</v>
      </c>
      <c r="BF114" s="106">
        <f t="shared" si="124"/>
        <v>0</v>
      </c>
      <c r="BG114" s="106">
        <f t="shared" ref="BG114:CL114" si="125">+SUM(BG18:BG113)</f>
        <v>0</v>
      </c>
      <c r="BH114" s="106">
        <f t="shared" si="125"/>
        <v>0</v>
      </c>
      <c r="BI114" s="106">
        <f t="shared" si="125"/>
        <v>11876.512499999999</v>
      </c>
      <c r="BJ114" s="106">
        <f t="shared" si="125"/>
        <v>0</v>
      </c>
      <c r="BK114" s="106">
        <f t="shared" si="125"/>
        <v>0</v>
      </c>
      <c r="BL114" s="106">
        <f t="shared" si="125"/>
        <v>351123.4694399999</v>
      </c>
      <c r="BM114" s="106">
        <f t="shared" si="125"/>
        <v>0</v>
      </c>
      <c r="BN114" s="106">
        <f t="shared" si="125"/>
        <v>0</v>
      </c>
      <c r="BO114" s="106">
        <f t="shared" si="125"/>
        <v>0</v>
      </c>
      <c r="BP114" s="106">
        <f t="shared" si="125"/>
        <v>27299.480000000036</v>
      </c>
      <c r="BQ114" s="106">
        <f t="shared" si="125"/>
        <v>0</v>
      </c>
      <c r="BR114" s="106">
        <f t="shared" si="125"/>
        <v>0</v>
      </c>
      <c r="BS114" s="106">
        <f t="shared" si="125"/>
        <v>0</v>
      </c>
      <c r="BT114" s="106">
        <f t="shared" si="125"/>
        <v>0</v>
      </c>
      <c r="BU114" s="106">
        <f t="shared" si="125"/>
        <v>0</v>
      </c>
      <c r="BV114" s="106">
        <f t="shared" si="125"/>
        <v>0</v>
      </c>
      <c r="BW114" s="106">
        <f t="shared" si="125"/>
        <v>0</v>
      </c>
      <c r="BX114" s="106">
        <f t="shared" si="125"/>
        <v>0</v>
      </c>
      <c r="BY114" s="106">
        <f t="shared" si="125"/>
        <v>0</v>
      </c>
      <c r="BZ114" s="106">
        <f t="shared" si="125"/>
        <v>0</v>
      </c>
      <c r="CA114" s="106">
        <f t="shared" si="125"/>
        <v>409382.69418691192</v>
      </c>
      <c r="CB114" s="106">
        <f t="shared" si="125"/>
        <v>7137446.1220049141</v>
      </c>
      <c r="CC114" s="106">
        <f t="shared" si="125"/>
        <v>0</v>
      </c>
      <c r="CD114" s="106">
        <f t="shared" si="125"/>
        <v>0</v>
      </c>
      <c r="CE114" s="106">
        <f t="shared" si="125"/>
        <v>-214123.38366014732</v>
      </c>
      <c r="CF114" s="106">
        <f t="shared" si="125"/>
        <v>-84301.354378269112</v>
      </c>
      <c r="CG114" s="106">
        <f t="shared" si="125"/>
        <v>0</v>
      </c>
      <c r="CH114" s="106">
        <f t="shared" si="125"/>
        <v>0</v>
      </c>
      <c r="CI114" s="106">
        <f t="shared" si="125"/>
        <v>8937243.019737849</v>
      </c>
      <c r="CJ114" s="106">
        <f t="shared" si="125"/>
        <v>-268117.29059213557</v>
      </c>
      <c r="CK114" s="106">
        <f t="shared" si="125"/>
        <v>-113709.94236239849</v>
      </c>
      <c r="CL114" s="106">
        <f t="shared" si="125"/>
        <v>0</v>
      </c>
      <c r="CM114" s="106">
        <f t="shared" ref="CM114:DD114" si="126">+SUM(CM18:CM113)</f>
        <v>0</v>
      </c>
      <c r="CN114" s="106">
        <f t="shared" si="126"/>
        <v>0</v>
      </c>
      <c r="CO114" s="106">
        <f t="shared" si="126"/>
        <v>0</v>
      </c>
      <c r="CP114" s="106">
        <f t="shared" si="126"/>
        <v>0</v>
      </c>
      <c r="CQ114" s="106">
        <f t="shared" si="126"/>
        <v>0</v>
      </c>
      <c r="CR114" s="106">
        <f t="shared" si="126"/>
        <v>0</v>
      </c>
      <c r="CS114" s="106">
        <f t="shared" si="126"/>
        <v>0</v>
      </c>
      <c r="CT114" s="106">
        <f t="shared" si="126"/>
        <v>0</v>
      </c>
      <c r="CU114" s="106">
        <f t="shared" si="126"/>
        <v>0</v>
      </c>
      <c r="CV114" s="106">
        <f t="shared" si="126"/>
        <v>0</v>
      </c>
      <c r="CW114" s="106">
        <f t="shared" si="126"/>
        <v>0</v>
      </c>
      <c r="CX114" s="106">
        <f t="shared" si="126"/>
        <v>0</v>
      </c>
      <c r="CY114" s="106">
        <f t="shared" si="126"/>
        <v>0</v>
      </c>
      <c r="CZ114" s="106">
        <f t="shared" si="126"/>
        <v>-24389.9861184</v>
      </c>
      <c r="DA114" s="106">
        <f t="shared" si="126"/>
        <v>-388407.14733325847</v>
      </c>
      <c r="DB114" s="106">
        <f t="shared" si="126"/>
        <v>14981640.037298154</v>
      </c>
      <c r="DC114" s="106">
        <f t="shared" si="126"/>
        <v>14981642</v>
      </c>
      <c r="DD114" s="106">
        <f t="shared" si="126"/>
        <v>0</v>
      </c>
      <c r="DE114" s="106">
        <f>+SUM(DE18:DE113)</f>
        <v>-14981642</v>
      </c>
      <c r="DF114" s="42"/>
      <c r="DG114" s="107"/>
      <c r="DH114" s="42"/>
    </row>
    <row r="115" spans="1:156" x14ac:dyDescent="0.2">
      <c r="CC115" s="66"/>
      <c r="CD115" s="66"/>
      <c r="CE115" s="66"/>
      <c r="DH115" s="9"/>
    </row>
    <row r="116" spans="1:156" x14ac:dyDescent="0.2">
      <c r="CI116" s="66"/>
      <c r="DA116" s="2">
        <f>83000+44000+70000+141000+135000+62000+41000</f>
        <v>576000</v>
      </c>
    </row>
    <row r="117" spans="1:156" x14ac:dyDescent="0.2">
      <c r="T117" s="116"/>
      <c r="V117" s="108"/>
      <c r="AX117" s="66"/>
      <c r="CC117" s="66"/>
      <c r="CI117" s="66"/>
    </row>
    <row r="118" spans="1:156" x14ac:dyDescent="0.2">
      <c r="CB118" s="42"/>
      <c r="CC118" s="66"/>
      <c r="CI118" s="66"/>
      <c r="CZ118" s="9">
        <f>-CZ114</f>
        <v>24389.9861184</v>
      </c>
      <c r="DA118" s="9">
        <f>-DA114</f>
        <v>388407.14733325847</v>
      </c>
      <c r="DB118" s="9">
        <f>+DB114</f>
        <v>14981640.037298154</v>
      </c>
    </row>
    <row r="119" spans="1:156" x14ac:dyDescent="0.2">
      <c r="CI119" s="66"/>
      <c r="DB119" s="9">
        <f>+'1°Q 01 V2 CAMPO'!DB114</f>
        <v>5995533.7620494245</v>
      </c>
    </row>
    <row r="120" spans="1:156" x14ac:dyDescent="0.2">
      <c r="Z120" s="109"/>
      <c r="AW120" s="2" t="s">
        <v>199</v>
      </c>
      <c r="AX120" s="46">
        <f>AZ46/13/1.08333</f>
        <v>0</v>
      </c>
      <c r="DB120" s="9">
        <f>+CZ118+DA118+DB118+DB119</f>
        <v>21389970.932799239</v>
      </c>
    </row>
    <row r="121" spans="1:156" x14ac:dyDescent="0.2">
      <c r="Z121" s="109"/>
      <c r="AX121" s="46">
        <f>AZ88/13/1.08333</f>
        <v>0</v>
      </c>
      <c r="DB121" s="13">
        <f>MROUND(DB120,1000)</f>
        <v>21390000</v>
      </c>
      <c r="DD121" s="37"/>
    </row>
    <row r="122" spans="1:156" x14ac:dyDescent="0.2">
      <c r="Z122" s="109"/>
      <c r="AX122" s="46">
        <f>AZ89/5/1.08333</f>
        <v>0</v>
      </c>
    </row>
    <row r="123" spans="1:156" x14ac:dyDescent="0.2">
      <c r="Z123" s="109"/>
    </row>
  </sheetData>
  <autoFilter ref="A17:EZ114" xr:uid="{00000000-0009-0000-0000-000000000000}">
    <filterColumn colId="105">
      <filters>
        <filter val="128.344,32"/>
        <filter val="14.981.640,04"/>
        <filter val="156.607,49"/>
        <filter val="159.798,61"/>
        <filter val="165.179,30"/>
        <filter val="256.688,64"/>
        <filter val="266.972,79"/>
        <filter val="270.921,62"/>
        <filter val="289.063,78"/>
        <filter val="291.362,77"/>
        <filter val="30.971,12"/>
        <filter val="303.502,89"/>
        <filter val="312.414,12"/>
        <filter val="315.163,83"/>
        <filter val="328.997,13"/>
        <filter val="330.358,61"/>
        <filter val="336.281,20"/>
        <filter val="350.849,34"/>
        <filter val="380.159,05"/>
        <filter val="421.207,22"/>
        <filter val="484.741,03"/>
        <filter val="495.537,91"/>
        <filter val="513.377,27"/>
        <filter val="520.290,67"/>
        <filter val="523.014,70"/>
        <filter val="535.567,06"/>
        <filter val="537.633,69"/>
        <filter val="539.714,85"/>
        <filter val="562.497,15"/>
        <filter val="578.127,56"/>
        <filter val="586.996,84"/>
        <filter val="618.773,67"/>
        <filter val="631.286,01"/>
        <filter val="675.909,33"/>
        <filter val="681.407,35"/>
        <filter val="82.589,65"/>
      </filters>
    </filterColumn>
  </autoFilter>
  <dataConsolidate/>
  <mergeCells count="10">
    <mergeCell ref="A12:D12"/>
    <mergeCell ref="AB2:AB3"/>
    <mergeCell ref="AC2:AC3"/>
    <mergeCell ref="K15:L15"/>
    <mergeCell ref="U2:U3"/>
    <mergeCell ref="W2:W3"/>
    <mergeCell ref="X2:X3"/>
    <mergeCell ref="Y2:Y3"/>
    <mergeCell ref="Z2:Z3"/>
    <mergeCell ref="AA2:AA3"/>
  </mergeCells>
  <conditionalFormatting sqref="B18:B76">
    <cfRule type="duplicateValues" dxfId="19" priority="2" stopIfTrue="1"/>
    <cfRule type="duplicateValues" dxfId="18" priority="3" stopIfTrue="1"/>
  </conditionalFormatting>
  <conditionalFormatting sqref="AU77:AU113">
    <cfRule type="cellIs" dxfId="17" priority="1" stopIfTrue="1" operator="greaterThan">
      <formula>15</formula>
    </cfRule>
  </conditionalFormatting>
  <pageMargins left="0.74803149606299213" right="0.31496062992125984" top="0.19685039370078741" bottom="0.19685039370078741" header="0.11811023622047245" footer="0.23622047244094491"/>
  <pageSetup paperSize="9" scale="78" firstPageNumber="0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Z123"/>
  <sheetViews>
    <sheetView showGridLines="0" zoomScale="80" zoomScaleNormal="80" workbookViewId="0">
      <pane xSplit="16" ySplit="17" topLeftCell="CX77" activePane="bottomRight" state="frozen"/>
      <selection activeCell="AP13" sqref="AP13"/>
      <selection pane="topRight" activeCell="AP13" sqref="AP13"/>
      <selection pane="bottomLeft" activeCell="AP13" sqref="AP13"/>
      <selection pane="bottomRight" activeCell="B16" sqref="B16:DB16"/>
    </sheetView>
  </sheetViews>
  <sheetFormatPr baseColWidth="10" defaultColWidth="9.140625" defaultRowHeight="12" x14ac:dyDescent="0.2"/>
  <cols>
    <col min="1" max="1" width="6.7109375" style="1" hidden="1" customWidth="1"/>
    <col min="2" max="2" width="6" style="1" customWidth="1"/>
    <col min="3" max="3" width="7.42578125" style="1" bestFit="1" customWidth="1"/>
    <col min="4" max="4" width="29.7109375" style="2" bestFit="1" customWidth="1"/>
    <col min="5" max="5" width="11.28515625" style="2" customWidth="1"/>
    <col min="6" max="6" width="4.28515625" style="1" bestFit="1" customWidth="1"/>
    <col min="7" max="7" width="6.7109375" style="2" customWidth="1"/>
    <col min="8" max="8" width="5.7109375" style="1" bestFit="1" customWidth="1"/>
    <col min="9" max="10" width="11.28515625" style="1" customWidth="1"/>
    <col min="11" max="11" width="6.7109375" style="5" customWidth="1"/>
    <col min="12" max="12" width="6" style="5" customWidth="1"/>
    <col min="13" max="13" width="8.28515625" style="5" bestFit="1" customWidth="1"/>
    <col min="14" max="14" width="9" style="2" bestFit="1" customWidth="1"/>
    <col min="15" max="15" width="10.42578125" style="2" customWidth="1"/>
    <col min="16" max="17" width="9.85546875" style="1" customWidth="1"/>
    <col min="18" max="18" width="10.42578125" style="1" customWidth="1"/>
    <col min="19" max="19" width="8.28515625" style="1" customWidth="1"/>
    <col min="20" max="20" width="8.85546875" style="1" bestFit="1" customWidth="1"/>
    <col min="21" max="21" width="8.85546875" style="7" bestFit="1" customWidth="1"/>
    <col min="22" max="22" width="10" style="1" bestFit="1" customWidth="1"/>
    <col min="23" max="23" width="7.42578125" style="1" customWidth="1"/>
    <col min="24" max="24" width="8.85546875" style="1" bestFit="1" customWidth="1"/>
    <col min="25" max="25" width="8.7109375" style="1" bestFit="1" customWidth="1"/>
    <col min="26" max="26" width="9.85546875" style="1" bestFit="1" customWidth="1"/>
    <col min="27" max="27" width="9.140625" style="1" customWidth="1"/>
    <col min="28" max="29" width="9.28515625" style="1" customWidth="1"/>
    <col min="30" max="30" width="12.140625" style="1" bestFit="1" customWidth="1"/>
    <col min="31" max="31" width="10.7109375" style="1" bestFit="1" customWidth="1"/>
    <col min="32" max="32" width="6.7109375" style="1" bestFit="1" customWidth="1"/>
    <col min="33" max="34" width="6.28515625" style="1" customWidth="1"/>
    <col min="35" max="35" width="7" style="1" bestFit="1" customWidth="1"/>
    <col min="36" max="36" width="6.28515625" style="1" customWidth="1"/>
    <col min="37" max="37" width="7" style="1" bestFit="1" customWidth="1"/>
    <col min="38" max="38" width="8.28515625" style="1" bestFit="1" customWidth="1"/>
    <col min="39" max="41" width="9.140625" style="1" bestFit="1" customWidth="1"/>
    <col min="42" max="42" width="10" style="1" bestFit="1" customWidth="1"/>
    <col min="43" max="43" width="9.140625" style="1" bestFit="1" customWidth="1"/>
    <col min="44" max="44" width="10.7109375" style="1" customWidth="1"/>
    <col min="45" max="46" width="8.28515625" style="1" customWidth="1"/>
    <col min="47" max="47" width="8.28515625" style="1" bestFit="1" customWidth="1"/>
    <col min="48" max="48" width="12.140625" style="8" bestFit="1" customWidth="1"/>
    <col min="49" max="49" width="10.28515625" style="2" bestFit="1" customWidth="1"/>
    <col min="50" max="52" width="11.140625" style="2" bestFit="1" customWidth="1"/>
    <col min="53" max="53" width="10.28515625" style="2" bestFit="1" customWidth="1"/>
    <col min="54" max="54" width="10.42578125" style="2" bestFit="1" customWidth="1"/>
    <col min="55" max="56" width="13.42578125" style="2" customWidth="1"/>
    <col min="57" max="57" width="9" style="2" bestFit="1" customWidth="1"/>
    <col min="58" max="59" width="10.28515625" style="2" bestFit="1" customWidth="1"/>
    <col min="60" max="63" width="10.85546875" style="2" customWidth="1"/>
    <col min="64" max="64" width="11.28515625" style="2" bestFit="1" customWidth="1"/>
    <col min="65" max="65" width="9.85546875" style="2" bestFit="1" customWidth="1"/>
    <col min="66" max="66" width="11.140625" style="2" customWidth="1"/>
    <col min="67" max="67" width="9.85546875" style="2" bestFit="1" customWidth="1"/>
    <col min="68" max="68" width="11.28515625" style="2" bestFit="1" customWidth="1"/>
    <col min="69" max="69" width="10.140625" style="2" bestFit="1" customWidth="1"/>
    <col min="70" max="70" width="10.140625" style="2" customWidth="1"/>
    <col min="71" max="71" width="12.85546875" style="2" bestFit="1" customWidth="1"/>
    <col min="72" max="72" width="13.28515625" style="2" bestFit="1" customWidth="1"/>
    <col min="73" max="75" width="12.85546875" style="2" customWidth="1"/>
    <col min="76" max="76" width="10.42578125" style="2" bestFit="1" customWidth="1"/>
    <col min="77" max="77" width="10.42578125" style="2" customWidth="1"/>
    <col min="78" max="78" width="10.85546875" style="2" bestFit="1" customWidth="1"/>
    <col min="79" max="79" width="11.42578125" style="2" bestFit="1" customWidth="1"/>
    <col min="80" max="80" width="11.85546875" style="2" customWidth="1"/>
    <col min="81" max="81" width="12.7109375" style="2" bestFit="1" customWidth="1"/>
    <col min="82" max="83" width="11.7109375" style="2" bestFit="1" customWidth="1"/>
    <col min="84" max="84" width="12" style="2" bestFit="1" customWidth="1"/>
    <col min="85" max="86" width="9.7109375" style="2" customWidth="1"/>
    <col min="87" max="87" width="12" style="2" bestFit="1" customWidth="1"/>
    <col min="88" max="96" width="12" style="2" customWidth="1"/>
    <col min="97" max="98" width="11.42578125" style="2" customWidth="1"/>
    <col min="99" max="99" width="12.85546875" style="2" bestFit="1" customWidth="1"/>
    <col min="100" max="100" width="12" style="2" bestFit="1" customWidth="1"/>
    <col min="101" max="103" width="12" style="2" customWidth="1"/>
    <col min="104" max="104" width="12.5703125" style="2" customWidth="1"/>
    <col min="105" max="105" width="10.7109375" style="2" bestFit="1" customWidth="1"/>
    <col min="106" max="106" width="15" style="2" bestFit="1" customWidth="1"/>
    <col min="107" max="107" width="12.85546875" style="6" bestFit="1" customWidth="1"/>
    <col min="108" max="109" width="14.140625" style="6" bestFit="1" customWidth="1"/>
    <col min="110" max="110" width="12" style="2" bestFit="1" customWidth="1"/>
    <col min="111" max="111" width="9.140625" style="2"/>
    <col min="112" max="112" width="12" style="2" bestFit="1" customWidth="1"/>
    <col min="113" max="113" width="13.28515625" style="2" customWidth="1"/>
    <col min="114" max="16384" width="9.140625" style="2"/>
  </cols>
  <sheetData>
    <row r="1" spans="1:109" x14ac:dyDescent="0.2">
      <c r="E1" s="3"/>
      <c r="F1" s="4"/>
      <c r="G1" s="3"/>
      <c r="H1" s="4"/>
      <c r="I1" s="4"/>
      <c r="J1" s="4"/>
      <c r="P1" s="6"/>
      <c r="Q1" s="6"/>
      <c r="R1" s="2"/>
      <c r="DA1" s="9"/>
    </row>
    <row r="2" spans="1:109" x14ac:dyDescent="0.2">
      <c r="Q2" s="10"/>
      <c r="R2" s="11"/>
      <c r="S2" s="12"/>
      <c r="T2" s="12"/>
      <c r="U2" s="148"/>
      <c r="W2" s="149" t="s">
        <v>0</v>
      </c>
      <c r="X2" s="150" t="s">
        <v>1</v>
      </c>
      <c r="Y2" s="150" t="s">
        <v>2</v>
      </c>
      <c r="Z2" s="146" t="s">
        <v>3</v>
      </c>
      <c r="AA2" s="145" t="s">
        <v>4</v>
      </c>
      <c r="AB2" s="145" t="s">
        <v>5</v>
      </c>
      <c r="AC2" s="146" t="s">
        <v>6</v>
      </c>
      <c r="AD2" s="2"/>
      <c r="DA2" s="9"/>
    </row>
    <row r="3" spans="1:109" ht="15" x14ac:dyDescent="0.25">
      <c r="Q3" s="10"/>
      <c r="R3" s="11"/>
      <c r="S3" s="12"/>
      <c r="T3" s="12"/>
      <c r="U3" s="148"/>
      <c r="W3" s="149"/>
      <c r="X3" s="151"/>
      <c r="Y3" s="151"/>
      <c r="Z3" s="146"/>
      <c r="AA3" s="145"/>
      <c r="AB3" s="145"/>
      <c r="AC3" s="146"/>
      <c r="AD3" s="2"/>
      <c r="CD3" s="13"/>
      <c r="CE3" s="13"/>
      <c r="CU3" s="14"/>
      <c r="DA3" s="9"/>
      <c r="DC3" s="15"/>
      <c r="DD3" s="15"/>
      <c r="DE3" s="15"/>
    </row>
    <row r="4" spans="1:109" x14ac:dyDescent="0.2">
      <c r="Q4" s="16">
        <f>+X4</f>
        <v>17212.41</v>
      </c>
      <c r="R4" s="17">
        <f>+Q4*155%</f>
        <v>26679.235499999999</v>
      </c>
      <c r="S4" s="18"/>
      <c r="T4" s="19">
        <f>+R4+S4</f>
        <v>26679.235499999999</v>
      </c>
      <c r="U4" s="20">
        <f>+U114</f>
        <v>0</v>
      </c>
      <c r="V4" s="108">
        <f>+Y4/X4*100</f>
        <v>138.91890850845405</v>
      </c>
      <c r="W4" s="21" t="s">
        <v>7</v>
      </c>
      <c r="X4" s="22">
        <v>17212.41</v>
      </c>
      <c r="Y4" s="23">
        <f>+Z4-X4</f>
        <v>23911.292099999995</v>
      </c>
      <c r="Z4" s="24">
        <v>41123.702099999995</v>
      </c>
      <c r="AA4" s="25">
        <f>+X4*0.3</f>
        <v>5163.723</v>
      </c>
      <c r="AB4" s="25">
        <f>+Y4*0.3</f>
        <v>7173.3876299999984</v>
      </c>
      <c r="AC4" s="26">
        <f t="shared" ref="AC4:AC11" si="0">+AA4+AB4</f>
        <v>12337.110629999999</v>
      </c>
      <c r="AD4" s="27"/>
      <c r="AE4" s="28"/>
      <c r="CD4" s="13"/>
      <c r="CE4" s="13"/>
      <c r="CU4" s="13"/>
      <c r="DA4" s="9"/>
      <c r="DC4" s="15"/>
      <c r="DD4" s="15"/>
      <c r="DE4" s="15"/>
    </row>
    <row r="5" spans="1:109" x14ac:dyDescent="0.2">
      <c r="Q5" s="29"/>
      <c r="R5" s="11"/>
      <c r="S5" s="30"/>
      <c r="T5" s="30"/>
      <c r="U5" s="31">
        <f>+Q4*218.75%</f>
        <v>37652.146874999999</v>
      </c>
      <c r="W5" s="21" t="s">
        <v>8</v>
      </c>
      <c r="X5" s="22">
        <v>18004.12</v>
      </c>
      <c r="Y5" s="23">
        <f t="shared" ref="Y5:Y11" si="1">+Z5-X5</f>
        <v>25011.1211</v>
      </c>
      <c r="Z5" s="24">
        <v>43015.241099999999</v>
      </c>
      <c r="AA5" s="25">
        <f t="shared" ref="AA5:AB11" si="2">+X5*0.3</f>
        <v>5401.2359999999999</v>
      </c>
      <c r="AB5" s="25">
        <f t="shared" si="2"/>
        <v>7503.3363300000001</v>
      </c>
      <c r="AC5" s="33">
        <f t="shared" si="0"/>
        <v>12904.572329999999</v>
      </c>
      <c r="AD5" s="13"/>
      <c r="AE5" s="28"/>
      <c r="CD5" s="13"/>
      <c r="CE5" s="13"/>
      <c r="CU5" s="13"/>
      <c r="DA5" s="9"/>
      <c r="DC5" s="15"/>
      <c r="DD5" s="15"/>
      <c r="DE5" s="15"/>
    </row>
    <row r="6" spans="1:109" x14ac:dyDescent="0.2">
      <c r="P6" s="2"/>
      <c r="Q6" s="34">
        <f>+Q4+R4</f>
        <v>43891.645499999999</v>
      </c>
      <c r="R6" s="35">
        <f>+T4+Q4</f>
        <v>43891.645499999999</v>
      </c>
      <c r="S6" s="30"/>
      <c r="T6" s="30"/>
      <c r="U6" s="36"/>
      <c r="W6" s="21" t="s">
        <v>9</v>
      </c>
      <c r="X6" s="22">
        <v>18329.509999999998</v>
      </c>
      <c r="Y6" s="23">
        <f t="shared" si="1"/>
        <v>25463.1649</v>
      </c>
      <c r="Z6" s="24">
        <v>43792.674899999998</v>
      </c>
      <c r="AA6" s="25">
        <f t="shared" si="2"/>
        <v>5498.8529999999992</v>
      </c>
      <c r="AB6" s="25">
        <f t="shared" si="2"/>
        <v>7638.9494699999996</v>
      </c>
      <c r="AC6" s="33">
        <f t="shared" si="0"/>
        <v>13137.802469999999</v>
      </c>
      <c r="AD6" s="13"/>
      <c r="AE6" s="28"/>
      <c r="AX6" s="13"/>
      <c r="CE6" s="13"/>
      <c r="CU6" s="37"/>
      <c r="DA6" s="9"/>
    </row>
    <row r="7" spans="1:109" x14ac:dyDescent="0.2">
      <c r="Q7" s="29"/>
      <c r="R7" s="35">
        <f>+R6/Q6</f>
        <v>1</v>
      </c>
      <c r="S7" s="30"/>
      <c r="T7" s="30"/>
      <c r="U7" s="38"/>
      <c r="W7" s="21" t="s">
        <v>10</v>
      </c>
      <c r="X7" s="22">
        <v>19002.419999999998</v>
      </c>
      <c r="Y7" s="23">
        <f t="shared" si="1"/>
        <v>26397.963600000003</v>
      </c>
      <c r="Z7" s="24">
        <v>45400.383600000001</v>
      </c>
      <c r="AA7" s="25">
        <f t="shared" si="2"/>
        <v>5700.7259999999997</v>
      </c>
      <c r="AB7" s="25">
        <f t="shared" si="2"/>
        <v>7919.3890800000008</v>
      </c>
      <c r="AC7" s="26">
        <f t="shared" si="0"/>
        <v>13620.11508</v>
      </c>
      <c r="AD7" s="39"/>
      <c r="BK7" s="13"/>
      <c r="BL7" s="13"/>
      <c r="BM7" s="13"/>
      <c r="CU7" s="13"/>
      <c r="DA7" s="9"/>
    </row>
    <row r="8" spans="1:109" x14ac:dyDescent="0.2">
      <c r="P8" s="40"/>
      <c r="Q8" s="29"/>
      <c r="R8" s="11"/>
      <c r="S8" s="30"/>
      <c r="T8" s="30"/>
      <c r="U8" s="38"/>
      <c r="W8" s="21" t="s">
        <v>11</v>
      </c>
      <c r="X8" s="22">
        <v>19415.57</v>
      </c>
      <c r="Y8" s="23">
        <f t="shared" si="1"/>
        <v>26971.887999999999</v>
      </c>
      <c r="Z8" s="24">
        <v>46387.457999999999</v>
      </c>
      <c r="AA8" s="25">
        <f t="shared" si="2"/>
        <v>5824.6709999999994</v>
      </c>
      <c r="AB8" s="25">
        <f t="shared" si="2"/>
        <v>8091.5663999999997</v>
      </c>
      <c r="AC8" s="26">
        <f t="shared" si="0"/>
        <v>13916.237399999998</v>
      </c>
      <c r="AD8" s="13"/>
      <c r="BL8" s="13"/>
      <c r="BM8" s="13"/>
      <c r="BP8" s="41"/>
      <c r="CU8" s="42"/>
      <c r="DA8" s="9"/>
    </row>
    <row r="9" spans="1:109" x14ac:dyDescent="0.2">
      <c r="P9" s="40"/>
      <c r="Q9" s="29"/>
      <c r="R9" s="11"/>
      <c r="S9" s="30"/>
      <c r="T9" s="30"/>
      <c r="U9" s="38"/>
      <c r="W9" s="21" t="s">
        <v>12</v>
      </c>
      <c r="X9" s="22">
        <v>20104.080000000002</v>
      </c>
      <c r="Y9" s="23">
        <f t="shared" si="1"/>
        <v>27928.380449999997</v>
      </c>
      <c r="Z9" s="24">
        <v>48032.460449999999</v>
      </c>
      <c r="AA9" s="25">
        <f t="shared" si="2"/>
        <v>6031.2240000000002</v>
      </c>
      <c r="AB9" s="25">
        <f t="shared" si="2"/>
        <v>8378.5141349999994</v>
      </c>
      <c r="AC9" s="26">
        <f t="shared" si="0"/>
        <v>14409.738135</v>
      </c>
      <c r="AD9" s="13"/>
      <c r="BL9" s="13"/>
      <c r="BM9" s="13"/>
      <c r="DA9" s="9"/>
    </row>
    <row r="10" spans="1:109" x14ac:dyDescent="0.2">
      <c r="P10" s="43"/>
      <c r="S10" s="41"/>
      <c r="T10" s="41"/>
      <c r="U10" s="44"/>
      <c r="W10" s="21" t="s">
        <v>13</v>
      </c>
      <c r="X10" s="22">
        <v>20964.689999999999</v>
      </c>
      <c r="Y10" s="23">
        <f t="shared" si="1"/>
        <v>29123.932350000006</v>
      </c>
      <c r="Z10" s="24">
        <v>50088.622350000005</v>
      </c>
      <c r="AA10" s="25">
        <f t="shared" si="2"/>
        <v>6289.4069999999992</v>
      </c>
      <c r="AB10" s="25">
        <f t="shared" si="2"/>
        <v>8737.1797050000023</v>
      </c>
      <c r="AC10" s="26">
        <f t="shared" si="0"/>
        <v>15026.586705000002</v>
      </c>
      <c r="AD10" s="13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BL10" s="13"/>
      <c r="BM10" s="13"/>
      <c r="BX10" s="46"/>
      <c r="BY10" s="46"/>
      <c r="BZ10" s="46"/>
      <c r="CB10" s="9"/>
      <c r="CI10" s="13"/>
      <c r="CU10" s="42"/>
      <c r="DA10" s="9"/>
      <c r="DB10" s="6"/>
    </row>
    <row r="11" spans="1:109" x14ac:dyDescent="0.2">
      <c r="P11" s="47"/>
      <c r="Q11" s="48"/>
      <c r="R11" s="2"/>
      <c r="S11" s="41"/>
      <c r="T11" s="41"/>
      <c r="U11" s="44"/>
      <c r="V11" s="2"/>
      <c r="W11" s="21" t="s">
        <v>14</v>
      </c>
      <c r="X11" s="22">
        <v>21549.89</v>
      </c>
      <c r="Y11" s="23">
        <f t="shared" si="1"/>
        <v>29936.866750000001</v>
      </c>
      <c r="Z11" s="24">
        <v>51486.75675</v>
      </c>
      <c r="AA11" s="25">
        <f t="shared" si="2"/>
        <v>6464.9669999999996</v>
      </c>
      <c r="AB11" s="25">
        <f t="shared" si="2"/>
        <v>8981.0600250000007</v>
      </c>
      <c r="AC11" s="26">
        <f t="shared" si="0"/>
        <v>15446.027024999999</v>
      </c>
      <c r="AD11" s="13"/>
      <c r="AG11" s="49"/>
      <c r="AZ11" s="50"/>
      <c r="BC11" s="49"/>
      <c r="BD11" s="49"/>
      <c r="BE11" s="49"/>
      <c r="BF11" s="50"/>
      <c r="BG11" s="49"/>
      <c r="BH11" s="49"/>
      <c r="BI11" s="49"/>
      <c r="BJ11" s="49"/>
      <c r="BK11" s="49"/>
      <c r="BL11" s="49"/>
      <c r="BM11" s="49"/>
      <c r="BN11" s="49"/>
      <c r="CC11" s="2" t="s">
        <v>15</v>
      </c>
      <c r="CF11" s="41"/>
      <c r="CI11" s="42"/>
      <c r="DA11" s="9"/>
      <c r="DB11" s="6"/>
    </row>
    <row r="12" spans="1:109" x14ac:dyDescent="0.2">
      <c r="A12" s="142" t="s">
        <v>16</v>
      </c>
      <c r="B12" s="143"/>
      <c r="C12" s="143"/>
      <c r="D12" s="144"/>
      <c r="E12" s="52"/>
      <c r="F12" s="52"/>
      <c r="G12" s="52"/>
      <c r="H12" s="52"/>
      <c r="I12" s="52"/>
      <c r="J12" s="52"/>
      <c r="K12" s="2"/>
      <c r="L12" s="2"/>
      <c r="M12" s="2"/>
      <c r="P12" s="47"/>
      <c r="Q12" s="39"/>
      <c r="R12" s="2"/>
      <c r="S12" s="2"/>
      <c r="T12" s="2"/>
      <c r="V12" s="53"/>
      <c r="W12" s="53"/>
      <c r="X12" s="53"/>
      <c r="Y12" s="23"/>
      <c r="Z12" s="53"/>
      <c r="AA12" s="53"/>
      <c r="AB12" s="53"/>
      <c r="AC12" s="53"/>
      <c r="AD12" s="53"/>
      <c r="AE12" s="49"/>
      <c r="AF12" s="49"/>
      <c r="AG12" s="49"/>
      <c r="AZ12" s="41"/>
      <c r="BA12" s="41"/>
      <c r="BM12" s="6"/>
      <c r="BO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C12" s="54">
        <f>3645898/2</f>
        <v>1822949</v>
      </c>
      <c r="CF12" s="41"/>
      <c r="CI12" s="46"/>
      <c r="DA12" s="9"/>
      <c r="DB12" s="6"/>
    </row>
    <row r="13" spans="1:109" x14ac:dyDescent="0.2">
      <c r="A13" s="55"/>
      <c r="B13" s="55"/>
      <c r="C13" s="55"/>
      <c r="D13" s="52"/>
      <c r="E13" s="52"/>
      <c r="F13" s="52"/>
      <c r="G13" s="52"/>
      <c r="H13" s="52"/>
      <c r="I13" s="52"/>
      <c r="J13" s="52"/>
      <c r="K13" s="55"/>
      <c r="L13" s="55"/>
      <c r="M13" s="55"/>
      <c r="P13" s="47"/>
      <c r="Q13" s="13"/>
      <c r="R13" s="2"/>
      <c r="S13" s="2"/>
      <c r="T13" s="2"/>
      <c r="AE13" s="49"/>
      <c r="AF13" s="49"/>
      <c r="AG13" s="49"/>
      <c r="AZ13" s="41"/>
      <c r="BA13" s="41"/>
      <c r="CF13" s="41"/>
      <c r="CI13" s="13"/>
      <c r="CJ13" s="13"/>
      <c r="CK13" s="13"/>
      <c r="CL13" s="13"/>
      <c r="CM13" s="13"/>
      <c r="CN13" s="13"/>
      <c r="CO13" s="13"/>
      <c r="CP13" s="13"/>
      <c r="CQ13" s="13"/>
      <c r="CW13" s="56"/>
      <c r="CX13" s="56"/>
      <c r="CY13" s="56"/>
      <c r="DA13" s="9"/>
      <c r="DB13" s="6"/>
    </row>
    <row r="14" spans="1:109" x14ac:dyDescent="0.2">
      <c r="Q14" s="40"/>
      <c r="R14" s="40"/>
      <c r="S14" s="40"/>
      <c r="T14" s="40"/>
      <c r="X14" s="108">
        <f>+Y4/X4</f>
        <v>1.3891890850845405</v>
      </c>
      <c r="AZ14" s="57"/>
      <c r="BA14" s="57"/>
      <c r="BM14" s="13">
        <v>24365.479679100001</v>
      </c>
      <c r="BQ14" s="42"/>
      <c r="BR14" s="42"/>
      <c r="BS14" s="1">
        <v>1022</v>
      </c>
      <c r="BT14" s="1">
        <v>1023</v>
      </c>
      <c r="BU14" s="1">
        <v>1025</v>
      </c>
      <c r="BV14" s="1">
        <v>1026</v>
      </c>
      <c r="BW14" s="1"/>
      <c r="BX14" s="42"/>
      <c r="BY14" s="42"/>
      <c r="BZ14" s="42"/>
      <c r="CA14" s="42"/>
      <c r="CB14" s="9"/>
      <c r="CC14" s="58"/>
      <c r="CD14" s="58"/>
      <c r="CE14" s="58"/>
      <c r="CG14" s="41"/>
      <c r="CH14" s="41"/>
      <c r="CI14" s="13"/>
      <c r="CJ14" s="41"/>
      <c r="CK14" s="41"/>
      <c r="CL14" s="111" t="s">
        <v>196</v>
      </c>
      <c r="CM14" s="41"/>
      <c r="CN14" s="41"/>
      <c r="CO14" s="111" t="s">
        <v>197</v>
      </c>
      <c r="CP14" s="41"/>
      <c r="CQ14" s="41"/>
      <c r="CR14" s="41"/>
      <c r="DA14" s="9"/>
      <c r="DC14" s="59"/>
      <c r="DD14" s="59"/>
      <c r="DE14" s="59"/>
    </row>
    <row r="15" spans="1:109" x14ac:dyDescent="0.2">
      <c r="K15" s="147" t="s">
        <v>17</v>
      </c>
      <c r="L15" s="147"/>
      <c r="M15" s="60"/>
      <c r="N15" s="61">
        <v>46037</v>
      </c>
      <c r="O15" s="62"/>
      <c r="Q15" s="40"/>
      <c r="R15" s="40"/>
      <c r="S15" s="40"/>
      <c r="T15" s="63">
        <v>1003</v>
      </c>
      <c r="V15" s="1">
        <v>1061</v>
      </c>
      <c r="W15" s="1">
        <v>1009</v>
      </c>
      <c r="Y15" s="1">
        <v>1030</v>
      </c>
      <c r="Z15" s="1">
        <v>1072</v>
      </c>
      <c r="AB15" s="1">
        <v>1065</v>
      </c>
      <c r="AC15" s="1">
        <v>1066</v>
      </c>
      <c r="AD15" s="1">
        <v>1073</v>
      </c>
      <c r="AE15" s="1">
        <v>1304</v>
      </c>
      <c r="AH15" s="1">
        <v>1041</v>
      </c>
      <c r="AI15" s="1">
        <v>1007</v>
      </c>
      <c r="AK15" s="1">
        <v>1018</v>
      </c>
      <c r="AL15" s="1">
        <v>1019</v>
      </c>
      <c r="AM15" s="1">
        <v>1022</v>
      </c>
      <c r="AN15" s="1">
        <v>1023</v>
      </c>
      <c r="AO15" s="1">
        <v>1025</v>
      </c>
      <c r="AP15" s="1">
        <v>1026</v>
      </c>
      <c r="AQ15" s="1">
        <v>1108</v>
      </c>
      <c r="AR15" s="1">
        <v>1109</v>
      </c>
      <c r="AS15" s="1">
        <v>1110</v>
      </c>
      <c r="AT15" s="1">
        <v>1201</v>
      </c>
      <c r="AV15" s="8">
        <v>30</v>
      </c>
      <c r="AX15" s="2">
        <v>30</v>
      </c>
      <c r="AY15" s="2">
        <v>30</v>
      </c>
      <c r="AZ15" s="64">
        <v>0.01</v>
      </c>
      <c r="BA15" s="65"/>
      <c r="BC15" s="56"/>
      <c r="BD15" s="56"/>
      <c r="BE15" s="65"/>
      <c r="BF15" s="41">
        <v>1.5</v>
      </c>
      <c r="BG15" s="41">
        <v>2</v>
      </c>
      <c r="BH15" s="65"/>
      <c r="BI15" s="65"/>
      <c r="BJ15" s="65"/>
      <c r="BK15" s="65"/>
      <c r="BL15" s="65"/>
      <c r="BM15" s="66">
        <v>19290.416267249999</v>
      </c>
      <c r="BN15" s="6"/>
      <c r="BQ15" s="42"/>
      <c r="BR15" s="42"/>
      <c r="BS15" s="42">
        <v>67.134</v>
      </c>
      <c r="BT15" s="42">
        <v>52.673999999999999</v>
      </c>
      <c r="BU15" s="67">
        <v>1.6226</v>
      </c>
      <c r="BV15" s="67">
        <v>2.5053000000000001</v>
      </c>
      <c r="BW15" s="67">
        <v>3.1374</v>
      </c>
      <c r="BX15" s="42"/>
      <c r="BY15" s="42"/>
      <c r="BZ15" s="42"/>
      <c r="CA15" s="42"/>
      <c r="CC15" s="68">
        <v>0.11</v>
      </c>
      <c r="CD15" s="68">
        <v>0.03</v>
      </c>
      <c r="CE15" s="68">
        <v>0.03</v>
      </c>
      <c r="CF15" s="68"/>
      <c r="CG15" s="68">
        <v>0.03</v>
      </c>
      <c r="CH15" s="68"/>
      <c r="CI15" s="68"/>
      <c r="CJ15" s="68"/>
      <c r="CK15" s="68"/>
      <c r="CL15" s="1">
        <v>1201</v>
      </c>
      <c r="CM15" s="1">
        <v>1220</v>
      </c>
      <c r="CN15" s="1">
        <v>2803</v>
      </c>
      <c r="CO15" s="1"/>
      <c r="CP15" s="1">
        <v>2895</v>
      </c>
      <c r="CQ15" s="1">
        <v>2896</v>
      </c>
      <c r="CR15" s="68"/>
      <c r="CS15" s="69"/>
      <c r="CT15" s="69"/>
      <c r="CU15" s="69"/>
      <c r="CV15" s="69"/>
      <c r="CW15" s="69"/>
      <c r="CX15" s="69"/>
      <c r="CY15" s="69"/>
      <c r="CZ15" s="41"/>
      <c r="DA15" s="41"/>
    </row>
    <row r="16" spans="1:109" s="78" customFormat="1" ht="36" x14ac:dyDescent="0.25">
      <c r="A16" s="70" t="s">
        <v>198</v>
      </c>
      <c r="B16" s="70" t="s">
        <v>18</v>
      </c>
      <c r="C16" s="70" t="s">
        <v>19</v>
      </c>
      <c r="D16" s="71" t="s">
        <v>20</v>
      </c>
      <c r="E16" s="71" t="s">
        <v>200</v>
      </c>
      <c r="F16" s="71" t="s">
        <v>21</v>
      </c>
      <c r="G16" s="71" t="s">
        <v>22</v>
      </c>
      <c r="H16" s="71" t="s">
        <v>23</v>
      </c>
      <c r="I16" s="72" t="s">
        <v>24</v>
      </c>
      <c r="J16" s="72" t="s">
        <v>25</v>
      </c>
      <c r="K16" s="72" t="s">
        <v>26</v>
      </c>
      <c r="L16" s="72" t="s">
        <v>27</v>
      </c>
      <c r="M16" s="70" t="s">
        <v>28</v>
      </c>
      <c r="N16" s="70" t="s">
        <v>29</v>
      </c>
      <c r="O16" s="70" t="s">
        <v>30</v>
      </c>
      <c r="P16" s="70" t="s">
        <v>4</v>
      </c>
      <c r="Q16" s="70" t="s">
        <v>31</v>
      </c>
      <c r="R16" s="70" t="s">
        <v>32</v>
      </c>
      <c r="S16" s="70" t="s">
        <v>33</v>
      </c>
      <c r="T16" s="73" t="s">
        <v>34</v>
      </c>
      <c r="U16" s="70" t="s">
        <v>35</v>
      </c>
      <c r="V16" s="74" t="s">
        <v>36</v>
      </c>
      <c r="W16" s="70" t="s">
        <v>37</v>
      </c>
      <c r="X16" s="70" t="s">
        <v>38</v>
      </c>
      <c r="Y16" s="70" t="s">
        <v>39</v>
      </c>
      <c r="Z16" s="70" t="s">
        <v>40</v>
      </c>
      <c r="AA16" s="70" t="s">
        <v>41</v>
      </c>
      <c r="AB16" s="75" t="s">
        <v>42</v>
      </c>
      <c r="AC16" s="75" t="s">
        <v>43</v>
      </c>
      <c r="AD16" s="70" t="s">
        <v>44</v>
      </c>
      <c r="AE16" s="70" t="s">
        <v>45</v>
      </c>
      <c r="AF16" s="70" t="s">
        <v>46</v>
      </c>
      <c r="AG16" s="70" t="s">
        <v>47</v>
      </c>
      <c r="AH16" s="70" t="s">
        <v>48</v>
      </c>
      <c r="AI16" s="70" t="s">
        <v>49</v>
      </c>
      <c r="AJ16" s="70" t="s">
        <v>50</v>
      </c>
      <c r="AK16" s="70" t="s">
        <v>51</v>
      </c>
      <c r="AL16" s="70" t="s">
        <v>52</v>
      </c>
      <c r="AM16" s="70" t="s">
        <v>53</v>
      </c>
      <c r="AN16" s="70" t="s">
        <v>54</v>
      </c>
      <c r="AO16" s="70" t="s">
        <v>55</v>
      </c>
      <c r="AP16" s="70" t="s">
        <v>56</v>
      </c>
      <c r="AQ16" s="76" t="s">
        <v>57</v>
      </c>
      <c r="AR16" s="70" t="s">
        <v>58</v>
      </c>
      <c r="AS16" s="70" t="s">
        <v>59</v>
      </c>
      <c r="AT16" s="70" t="s">
        <v>60</v>
      </c>
      <c r="AU16" s="70" t="s">
        <v>61</v>
      </c>
      <c r="AV16" s="70" t="s">
        <v>62</v>
      </c>
      <c r="AW16" s="74" t="s">
        <v>36</v>
      </c>
      <c r="AX16" s="70" t="s">
        <v>37</v>
      </c>
      <c r="AY16" s="70" t="s">
        <v>38</v>
      </c>
      <c r="AZ16" s="70" t="s">
        <v>39</v>
      </c>
      <c r="BA16" s="70" t="s">
        <v>40</v>
      </c>
      <c r="BB16" s="70" t="s">
        <v>41</v>
      </c>
      <c r="BC16" s="75" t="s">
        <v>42</v>
      </c>
      <c r="BD16" s="75" t="s">
        <v>43</v>
      </c>
      <c r="BE16" s="70" t="s">
        <v>44</v>
      </c>
      <c r="BF16" s="70" t="s">
        <v>45</v>
      </c>
      <c r="BG16" s="70" t="s">
        <v>46</v>
      </c>
      <c r="BH16" s="70" t="s">
        <v>47</v>
      </c>
      <c r="BI16" s="70" t="s">
        <v>49</v>
      </c>
      <c r="BJ16" s="70" t="s">
        <v>63</v>
      </c>
      <c r="BK16" s="70" t="s">
        <v>64</v>
      </c>
      <c r="BL16" s="70" t="s">
        <v>4</v>
      </c>
      <c r="BM16" s="70" t="s">
        <v>33</v>
      </c>
      <c r="BN16" s="70" t="s">
        <v>58</v>
      </c>
      <c r="BO16" s="70" t="s">
        <v>65</v>
      </c>
      <c r="BP16" s="70" t="s">
        <v>66</v>
      </c>
      <c r="BQ16" s="70" t="s">
        <v>51</v>
      </c>
      <c r="BR16" s="70" t="s">
        <v>52</v>
      </c>
      <c r="BS16" s="70" t="s">
        <v>53</v>
      </c>
      <c r="BT16" s="70" t="s">
        <v>54</v>
      </c>
      <c r="BU16" s="70" t="s">
        <v>55</v>
      </c>
      <c r="BV16" s="70" t="s">
        <v>56</v>
      </c>
      <c r="BW16" s="76" t="s">
        <v>57</v>
      </c>
      <c r="BX16" s="70" t="s">
        <v>67</v>
      </c>
      <c r="BY16" s="70" t="s">
        <v>68</v>
      </c>
      <c r="BZ16" s="70" t="s">
        <v>69</v>
      </c>
      <c r="CA16" s="77" t="s">
        <v>70</v>
      </c>
      <c r="CB16" s="70" t="s">
        <v>71</v>
      </c>
      <c r="CC16" s="70" t="s">
        <v>72</v>
      </c>
      <c r="CD16" s="70" t="s">
        <v>73</v>
      </c>
      <c r="CE16" s="70" t="s">
        <v>74</v>
      </c>
      <c r="CF16" s="70" t="s">
        <v>75</v>
      </c>
      <c r="CG16" s="75" t="s">
        <v>76</v>
      </c>
      <c r="CH16" s="75" t="s">
        <v>77</v>
      </c>
      <c r="CI16" s="75" t="s">
        <v>78</v>
      </c>
      <c r="CJ16" s="75" t="s">
        <v>79</v>
      </c>
      <c r="CK16" s="70" t="s">
        <v>80</v>
      </c>
      <c r="CL16" s="70" t="s">
        <v>81</v>
      </c>
      <c r="CM16" s="70" t="s">
        <v>82</v>
      </c>
      <c r="CN16" s="70" t="s">
        <v>83</v>
      </c>
      <c r="CO16" s="70" t="s">
        <v>195</v>
      </c>
      <c r="CP16" s="70" t="s">
        <v>84</v>
      </c>
      <c r="CQ16" s="70" t="s">
        <v>85</v>
      </c>
      <c r="CR16" s="75" t="s">
        <v>86</v>
      </c>
      <c r="CS16" s="72" t="s">
        <v>87</v>
      </c>
      <c r="CT16" s="72" t="s">
        <v>88</v>
      </c>
      <c r="CU16" s="72" t="s">
        <v>89</v>
      </c>
      <c r="CV16" s="72" t="s">
        <v>90</v>
      </c>
      <c r="CW16" s="72" t="s">
        <v>91</v>
      </c>
      <c r="CX16" s="72" t="s">
        <v>92</v>
      </c>
      <c r="CY16" s="72" t="s">
        <v>93</v>
      </c>
      <c r="CZ16" s="72" t="s">
        <v>24</v>
      </c>
      <c r="DA16" s="72" t="s">
        <v>25</v>
      </c>
      <c r="DB16" s="70" t="s">
        <v>94</v>
      </c>
      <c r="DC16" s="70" t="s">
        <v>94</v>
      </c>
      <c r="DD16" s="70" t="s">
        <v>95</v>
      </c>
      <c r="DE16" s="70" t="s">
        <v>96</v>
      </c>
    </row>
    <row r="17" spans="1:156" hidden="1" x14ac:dyDescent="0.2">
      <c r="A17" s="79"/>
      <c r="B17" s="21"/>
      <c r="C17" s="21"/>
      <c r="D17" s="21" t="s">
        <v>97</v>
      </c>
      <c r="E17" s="21"/>
      <c r="F17" s="21"/>
      <c r="G17" s="21"/>
      <c r="H17" s="21"/>
      <c r="I17" s="21"/>
      <c r="J17" s="21"/>
      <c r="K17" s="80"/>
      <c r="L17" s="80"/>
      <c r="M17" s="80"/>
      <c r="N17" s="81"/>
      <c r="O17" s="81"/>
      <c r="P17" s="21"/>
      <c r="Q17" s="21"/>
      <c r="R17" s="21"/>
      <c r="S17" s="82"/>
      <c r="T17" s="82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81"/>
      <c r="BD17" s="81"/>
      <c r="BE17" s="21"/>
      <c r="BF17" s="81"/>
      <c r="BG17" s="81"/>
      <c r="BH17" s="81"/>
      <c r="BI17" s="81"/>
      <c r="BJ17" s="81"/>
      <c r="BK17" s="81"/>
      <c r="BL17" s="81"/>
      <c r="BM17" s="21"/>
      <c r="BN17" s="21"/>
      <c r="BO17" s="21"/>
      <c r="BP17" s="2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3"/>
      <c r="DD17" s="83"/>
      <c r="DE17" s="83"/>
    </row>
    <row r="18" spans="1:156" s="1" customFormat="1" x14ac:dyDescent="0.2">
      <c r="A18" s="88">
        <f t="shared" ref="A18:A81" si="3">500000+B18</f>
        <v>509831</v>
      </c>
      <c r="B18" s="21">
        <v>9831</v>
      </c>
      <c r="C18" s="21" t="s">
        <v>98</v>
      </c>
      <c r="D18" s="84" t="s">
        <v>180</v>
      </c>
      <c r="E18" s="114" t="s">
        <v>201</v>
      </c>
      <c r="F18" s="85">
        <v>0</v>
      </c>
      <c r="G18" s="84"/>
      <c r="H18" s="85"/>
      <c r="I18" s="86"/>
      <c r="J18" s="85"/>
      <c r="K18" s="21" t="s">
        <v>8</v>
      </c>
      <c r="L18" s="21"/>
      <c r="M18" s="87"/>
      <c r="N18" s="88"/>
      <c r="O18" s="88">
        <v>0</v>
      </c>
      <c r="P18" s="89">
        <f t="shared" ref="P18" si="4">+VLOOKUP(K18,$W$4:$AC$11,5,0)</f>
        <v>5401.2359999999999</v>
      </c>
      <c r="Q18" s="90">
        <f t="shared" ref="Q18" si="5">+VLOOKUP(K18,$W$4:$Z$11,2,0)</f>
        <v>18004.12</v>
      </c>
      <c r="R18" s="90">
        <f t="shared" ref="R18" si="6">+VLOOKUP(K18,$W$4:$Y$11,3,0)</f>
        <v>25011.1211</v>
      </c>
      <c r="S18" s="91"/>
      <c r="T18" s="92"/>
      <c r="U18" s="32"/>
      <c r="V18" s="32"/>
      <c r="W18" s="32"/>
      <c r="X18" s="93"/>
      <c r="Y18" s="32"/>
      <c r="Z18" s="32"/>
      <c r="AA18" s="32">
        <v>4</v>
      </c>
      <c r="AB18" s="32">
        <v>0</v>
      </c>
      <c r="AC18" s="32"/>
      <c r="AD18" s="32">
        <v>0</v>
      </c>
      <c r="AE18" s="32">
        <v>0</v>
      </c>
      <c r="AF18" s="32">
        <v>0</v>
      </c>
      <c r="AG18" s="32">
        <v>0</v>
      </c>
      <c r="AH18" s="32">
        <v>0</v>
      </c>
      <c r="AI18" s="32">
        <v>0</v>
      </c>
      <c r="AJ18" s="93"/>
      <c r="AK18" s="32"/>
      <c r="AL18" s="32"/>
      <c r="AM18" s="32"/>
      <c r="AN18" s="32"/>
      <c r="AO18" s="32"/>
      <c r="AP18" s="32"/>
      <c r="AQ18" s="93"/>
      <c r="AR18" s="93"/>
      <c r="AS18" s="93"/>
      <c r="AT18" s="93"/>
      <c r="AU18" s="94">
        <f t="shared" ref="AU18:AU81" si="7">+U18+V18+W18+Y18-Z18-AB18-AC18-AD18-AE18+AF18-AG18+AJ18</f>
        <v>0</v>
      </c>
      <c r="AV18" s="95">
        <f t="shared" ref="AV18:AV81" si="8">+Q18*U18</f>
        <v>0</v>
      </c>
      <c r="AW18" s="95">
        <f t="shared" ref="AW18:AW81" si="9">+Q18*V18</f>
        <v>0</v>
      </c>
      <c r="AX18" s="95">
        <f t="shared" ref="AX18:AX81" si="10">+Q18*W18</f>
        <v>0</v>
      </c>
      <c r="AY18" s="95">
        <f t="shared" ref="AY18:AY81" si="11">+Q18*X18</f>
        <v>0</v>
      </c>
      <c r="AZ18" s="95">
        <f t="shared" ref="AZ18:AZ81" si="12">+(Q18*1.0833*Y18)+((P18*O18)/25*Y18)</f>
        <v>0</v>
      </c>
      <c r="BA18" s="95">
        <f t="shared" ref="BA18:BA81" si="13">-Q18/8*Z18</f>
        <v>0</v>
      </c>
      <c r="BB18" s="95">
        <f>+Q18/8*AA18</f>
        <v>9002.06</v>
      </c>
      <c r="BC18" s="96">
        <f t="shared" ref="BC18:BC81" si="14">-Q18*AB18</f>
        <v>0</v>
      </c>
      <c r="BD18" s="96">
        <f t="shared" ref="BD18:BD81" si="15">-Q18*AC18</f>
        <v>0</v>
      </c>
      <c r="BE18" s="96">
        <f t="shared" ref="BE18:BE69" si="16">-Q18/8*AD18</f>
        <v>0</v>
      </c>
      <c r="BF18" s="96">
        <f t="shared" ref="BF18:BF81" si="17">-Q18*AE18</f>
        <v>0</v>
      </c>
      <c r="BG18" s="96">
        <f t="shared" ref="BG18:BG81" si="18">+Q18*AF18</f>
        <v>0</v>
      </c>
      <c r="BH18" s="96">
        <f t="shared" ref="BH18:BH81" si="19">-Q18*AG18</f>
        <v>0</v>
      </c>
      <c r="BI18" s="96">
        <f t="shared" ref="BI18:BI81" si="20">+Q18*AI18</f>
        <v>0</v>
      </c>
      <c r="BJ18" s="96">
        <f t="shared" ref="BJ18:BJ81" si="21">+Q18*AH18</f>
        <v>0</v>
      </c>
      <c r="BK18" s="96">
        <f t="shared" ref="BK18:BK81" si="22">+Q18*AJ18</f>
        <v>0</v>
      </c>
      <c r="BL18" s="96">
        <f t="shared" ref="BL18:BL81" si="23">+(P18*O18)/25*(U18+V18+W18-Z18-AB18-AC18-AD18-AE18+AF18-AG18)</f>
        <v>0</v>
      </c>
      <c r="BM18" s="96">
        <f t="shared" ref="BM18:BM81" si="24">+$BM$15/25*(U18+V18+Y18+AF18+AH18+AI18)*0</f>
        <v>0</v>
      </c>
      <c r="BN18" s="96"/>
      <c r="BO18" s="95"/>
      <c r="BP18" s="95">
        <f t="shared" ref="BP18:BP81" si="25">+M18*(AU18+AH18+AI18)</f>
        <v>0</v>
      </c>
      <c r="BQ18" s="95"/>
      <c r="BR18" s="95"/>
      <c r="BS18" s="95">
        <f t="shared" ref="BS18:BS81" si="26">+$BS$15*AM18</f>
        <v>0</v>
      </c>
      <c r="BT18" s="95">
        <f t="shared" ref="BT18:BT81" si="27">+$BT$15*AN18</f>
        <v>0</v>
      </c>
      <c r="BU18" s="95">
        <f t="shared" ref="BU18:BU81" si="28">+$BU$15*AO18</f>
        <v>0</v>
      </c>
      <c r="BV18" s="95">
        <f t="shared" ref="BV18:BV81" si="29">+$BV$15*AP18</f>
        <v>0</v>
      </c>
      <c r="BW18" s="95"/>
      <c r="BX18" s="95"/>
      <c r="BY18" s="95"/>
      <c r="BZ18" s="95"/>
      <c r="CA18" s="95">
        <f>+IF(H18&gt;59,+SUM(AV18:BX18)*138.92%,0)</f>
        <v>0</v>
      </c>
      <c r="CB18" s="97">
        <f t="shared" ref="CB18:CB49" si="30">SUM(AV18:CA18)</f>
        <v>9002.06</v>
      </c>
      <c r="CC18" s="95"/>
      <c r="CD18" s="95"/>
      <c r="CE18" s="95">
        <f t="shared" ref="CE18:CE81" si="31">-MIN(CB18,$CC$12)*$CD$15</f>
        <v>-270.06179999999995</v>
      </c>
      <c r="CF18" s="95">
        <f>-IF(E18="FOTIA",(CB18-AZ18)*1%,(CB18-AZ18)*1.5%)</f>
        <v>-90.020600000000002</v>
      </c>
      <c r="CG18" s="113"/>
      <c r="CH18" s="22"/>
      <c r="CI18" s="98">
        <f t="shared" ref="CI18:CI81" si="32">+IF(H18&gt;59,0,(CB18*138.92%))</f>
        <v>12505.661751999996</v>
      </c>
      <c r="CJ18" s="95">
        <f t="shared" ref="CJ18:CJ81" si="33">-MIN(CI18,$CC$12)*$CD$15</f>
        <v>-375.16985255999987</v>
      </c>
      <c r="CK18" s="95">
        <f>-IF(E18="FOTIA",(CI18-BE18)*1%,(CI18-BE18)*1.5%)</f>
        <v>-125.05661751999996</v>
      </c>
      <c r="CL18" s="95"/>
      <c r="CM18" s="99"/>
      <c r="CN18" s="99"/>
      <c r="CO18" s="110"/>
      <c r="CP18" s="99"/>
      <c r="CQ18" s="99"/>
      <c r="CR18" s="99"/>
      <c r="CS18" s="95"/>
      <c r="CT18" s="95"/>
      <c r="CU18" s="96"/>
      <c r="CV18" s="96"/>
      <c r="CW18" s="96"/>
      <c r="CX18" s="96"/>
      <c r="CY18" s="96"/>
      <c r="CZ18" s="93">
        <f t="shared" ref="CZ18:CZ49" si="34">-SUM(CB18+CC18+CD18+CE18+CF18)*I18</f>
        <v>0</v>
      </c>
      <c r="DA18" s="93">
        <f t="shared" ref="DA18:DA49" si="35">-SUM(CB18+CC18+CD18+CE18+CF18+CI18+CJ18+CK18)*J18</f>
        <v>0</v>
      </c>
      <c r="DB18" s="95">
        <f t="shared" ref="DB18" si="36">SUM(CB18:DA18)</f>
        <v>20647.412881919998</v>
      </c>
      <c r="DC18" s="100">
        <f t="shared" ref="DC18" si="37">ROUND(DB18,0)</f>
        <v>20647</v>
      </c>
      <c r="DD18" s="100"/>
      <c r="DE18" s="100">
        <f t="shared" ref="DE18:DE81" si="38">+DD18-DC18</f>
        <v>-20647</v>
      </c>
      <c r="DF18" s="13"/>
      <c r="DG18" s="2"/>
      <c r="DH18" s="46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</row>
    <row r="19" spans="1:156" s="1" customFormat="1" hidden="1" x14ac:dyDescent="0.2">
      <c r="A19" s="88">
        <f t="shared" si="3"/>
        <v>509850</v>
      </c>
      <c r="B19" s="21">
        <v>9850</v>
      </c>
      <c r="C19" s="21" t="s">
        <v>98</v>
      </c>
      <c r="D19" s="84" t="s">
        <v>185</v>
      </c>
      <c r="E19" s="114" t="s">
        <v>201</v>
      </c>
      <c r="F19" s="85">
        <v>0</v>
      </c>
      <c r="G19" s="84"/>
      <c r="H19" s="85"/>
      <c r="I19" s="86"/>
      <c r="J19" s="85"/>
      <c r="K19" s="21" t="s">
        <v>8</v>
      </c>
      <c r="L19" s="21"/>
      <c r="M19" s="87"/>
      <c r="N19" s="88"/>
      <c r="O19" s="88">
        <v>0</v>
      </c>
      <c r="P19" s="89">
        <f t="shared" ref="P19:P82" si="39">+VLOOKUP(K19,$W$4:$AC$11,5,0)</f>
        <v>5401.2359999999999</v>
      </c>
      <c r="Q19" s="90">
        <f t="shared" ref="Q19:Q82" si="40">+VLOOKUP(K19,$W$4:$Z$11,2,0)</f>
        <v>18004.12</v>
      </c>
      <c r="R19" s="90">
        <f t="shared" ref="R19:R82" si="41">+VLOOKUP(K19,$W$4:$Y$11,3,0)</f>
        <v>25011.1211</v>
      </c>
      <c r="S19" s="91"/>
      <c r="T19" s="92"/>
      <c r="U19" s="32"/>
      <c r="V19" s="32"/>
      <c r="W19" s="32"/>
      <c r="X19" s="93"/>
      <c r="Y19" s="32"/>
      <c r="Z19" s="32"/>
      <c r="AA19" s="32">
        <v>0</v>
      </c>
      <c r="AB19" s="32">
        <v>0</v>
      </c>
      <c r="AC19" s="32"/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93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94">
        <f t="shared" si="7"/>
        <v>0</v>
      </c>
      <c r="AV19" s="95">
        <f t="shared" si="8"/>
        <v>0</v>
      </c>
      <c r="AW19" s="95">
        <f t="shared" si="9"/>
        <v>0</v>
      </c>
      <c r="AX19" s="95">
        <f t="shared" si="10"/>
        <v>0</v>
      </c>
      <c r="AY19" s="95">
        <f t="shared" si="11"/>
        <v>0</v>
      </c>
      <c r="AZ19" s="95">
        <f t="shared" si="12"/>
        <v>0</v>
      </c>
      <c r="BA19" s="95">
        <f t="shared" si="13"/>
        <v>0</v>
      </c>
      <c r="BB19" s="95">
        <f t="shared" ref="BB19:BB81" si="42">+Q19/8*AA19</f>
        <v>0</v>
      </c>
      <c r="BC19" s="96">
        <f t="shared" si="14"/>
        <v>0</v>
      </c>
      <c r="BD19" s="96">
        <f t="shared" si="15"/>
        <v>0</v>
      </c>
      <c r="BE19" s="96">
        <f t="shared" si="16"/>
        <v>0</v>
      </c>
      <c r="BF19" s="96">
        <f t="shared" si="17"/>
        <v>0</v>
      </c>
      <c r="BG19" s="96">
        <f t="shared" si="18"/>
        <v>0</v>
      </c>
      <c r="BH19" s="96">
        <f t="shared" si="19"/>
        <v>0</v>
      </c>
      <c r="BI19" s="96">
        <f t="shared" si="20"/>
        <v>0</v>
      </c>
      <c r="BJ19" s="96">
        <f t="shared" si="21"/>
        <v>0</v>
      </c>
      <c r="BK19" s="96">
        <f t="shared" si="22"/>
        <v>0</v>
      </c>
      <c r="BL19" s="96">
        <f t="shared" si="23"/>
        <v>0</v>
      </c>
      <c r="BM19" s="96">
        <f t="shared" si="24"/>
        <v>0</v>
      </c>
      <c r="BN19" s="96"/>
      <c r="BO19" s="95"/>
      <c r="BP19" s="95">
        <f t="shared" si="25"/>
        <v>0</v>
      </c>
      <c r="BQ19" s="95"/>
      <c r="BR19" s="95"/>
      <c r="BS19" s="95">
        <f t="shared" si="26"/>
        <v>0</v>
      </c>
      <c r="BT19" s="95">
        <f t="shared" si="27"/>
        <v>0</v>
      </c>
      <c r="BU19" s="95">
        <f t="shared" si="28"/>
        <v>0</v>
      </c>
      <c r="BV19" s="95">
        <f t="shared" si="29"/>
        <v>0</v>
      </c>
      <c r="BW19" s="95"/>
      <c r="BX19" s="95"/>
      <c r="BY19" s="95"/>
      <c r="BZ19" s="95"/>
      <c r="CA19" s="95">
        <f t="shared" ref="CA19:CA82" si="43">+IF(H19&gt;59,+SUM(AV19:BX19)*138.92%,0)</f>
        <v>0</v>
      </c>
      <c r="CB19" s="97">
        <f t="shared" si="30"/>
        <v>0</v>
      </c>
      <c r="CC19" s="95"/>
      <c r="CD19" s="95"/>
      <c r="CE19" s="95">
        <f t="shared" si="31"/>
        <v>0</v>
      </c>
      <c r="CF19" s="95">
        <f t="shared" ref="CF19:CF82" si="44">-IF(E19="FOTIA",(CB19-AZ19)*1%,(CB19-AZ19)*1.5%)</f>
        <v>0</v>
      </c>
      <c r="CG19" s="113"/>
      <c r="CH19" s="22"/>
      <c r="CI19" s="98">
        <f t="shared" si="32"/>
        <v>0</v>
      </c>
      <c r="CJ19" s="95">
        <f t="shared" si="33"/>
        <v>0</v>
      </c>
      <c r="CK19" s="95">
        <f t="shared" ref="CK19:CK82" si="45">-IF(E19="FOTIA",(CI19-BE19)*1%,(CI19-BE19)*1.5%)</f>
        <v>0</v>
      </c>
      <c r="CL19" s="95"/>
      <c r="CM19" s="99"/>
      <c r="CN19" s="99"/>
      <c r="CO19" s="110"/>
      <c r="CP19" s="99"/>
      <c r="CQ19" s="99"/>
      <c r="CR19" s="99"/>
      <c r="CS19" s="95"/>
      <c r="CT19" s="95"/>
      <c r="CU19" s="96"/>
      <c r="CV19" s="96"/>
      <c r="CW19" s="96"/>
      <c r="CX19" s="96"/>
      <c r="CY19" s="96"/>
      <c r="CZ19" s="93">
        <f t="shared" si="34"/>
        <v>0</v>
      </c>
      <c r="DA19" s="93">
        <f t="shared" si="35"/>
        <v>0</v>
      </c>
      <c r="DB19" s="95">
        <f t="shared" ref="DB19:DB82" si="46">SUM(CB19:DA19)</f>
        <v>0</v>
      </c>
      <c r="DC19" s="100">
        <f t="shared" ref="DC19:DC82" si="47">ROUND(DB19,0)</f>
        <v>0</v>
      </c>
      <c r="DD19" s="100"/>
      <c r="DE19" s="100">
        <f t="shared" si="38"/>
        <v>0</v>
      </c>
      <c r="DF19" s="13"/>
      <c r="DG19" s="2"/>
      <c r="DH19" s="46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</row>
    <row r="20" spans="1:156" s="1" customFormat="1" hidden="1" x14ac:dyDescent="0.2">
      <c r="A20" s="88">
        <f t="shared" si="3"/>
        <v>509743</v>
      </c>
      <c r="B20" s="21">
        <v>9743</v>
      </c>
      <c r="C20" s="21" t="s">
        <v>98</v>
      </c>
      <c r="D20" s="84" t="s">
        <v>159</v>
      </c>
      <c r="E20" s="114" t="s">
        <v>201</v>
      </c>
      <c r="F20" s="85">
        <v>0</v>
      </c>
      <c r="G20" s="84"/>
      <c r="H20" s="85">
        <v>63</v>
      </c>
      <c r="I20" s="86"/>
      <c r="J20" s="85"/>
      <c r="K20" s="21" t="s">
        <v>12</v>
      </c>
      <c r="L20" s="21"/>
      <c r="M20" s="87"/>
      <c r="N20" s="88"/>
      <c r="O20" s="88">
        <v>3</v>
      </c>
      <c r="P20" s="89">
        <f t="shared" si="39"/>
        <v>6031.2240000000002</v>
      </c>
      <c r="Q20" s="90">
        <f t="shared" si="40"/>
        <v>20104.080000000002</v>
      </c>
      <c r="R20" s="90">
        <f t="shared" si="41"/>
        <v>27928.380449999997</v>
      </c>
      <c r="S20" s="91"/>
      <c r="T20" s="92"/>
      <c r="U20" s="32"/>
      <c r="V20" s="32"/>
      <c r="W20" s="32"/>
      <c r="X20" s="93"/>
      <c r="Y20" s="32"/>
      <c r="Z20" s="32"/>
      <c r="AA20" s="32">
        <v>0</v>
      </c>
      <c r="AB20" s="32">
        <v>0</v>
      </c>
      <c r="AC20" s="32"/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93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94">
        <f t="shared" si="7"/>
        <v>0</v>
      </c>
      <c r="AV20" s="95">
        <f t="shared" si="8"/>
        <v>0</v>
      </c>
      <c r="AW20" s="95">
        <f t="shared" si="9"/>
        <v>0</v>
      </c>
      <c r="AX20" s="95">
        <f t="shared" si="10"/>
        <v>0</v>
      </c>
      <c r="AY20" s="95">
        <f t="shared" si="11"/>
        <v>0</v>
      </c>
      <c r="AZ20" s="95">
        <f t="shared" si="12"/>
        <v>0</v>
      </c>
      <c r="BA20" s="95">
        <f t="shared" si="13"/>
        <v>0</v>
      </c>
      <c r="BB20" s="95">
        <f t="shared" si="42"/>
        <v>0</v>
      </c>
      <c r="BC20" s="96">
        <f t="shared" si="14"/>
        <v>0</v>
      </c>
      <c r="BD20" s="96">
        <f t="shared" si="15"/>
        <v>0</v>
      </c>
      <c r="BE20" s="96">
        <f t="shared" si="16"/>
        <v>0</v>
      </c>
      <c r="BF20" s="96">
        <f t="shared" si="17"/>
        <v>0</v>
      </c>
      <c r="BG20" s="96">
        <f t="shared" si="18"/>
        <v>0</v>
      </c>
      <c r="BH20" s="96">
        <f t="shared" si="19"/>
        <v>0</v>
      </c>
      <c r="BI20" s="96">
        <f t="shared" si="20"/>
        <v>0</v>
      </c>
      <c r="BJ20" s="96">
        <f t="shared" si="21"/>
        <v>0</v>
      </c>
      <c r="BK20" s="96">
        <f t="shared" si="22"/>
        <v>0</v>
      </c>
      <c r="BL20" s="96">
        <f t="shared" si="23"/>
        <v>0</v>
      </c>
      <c r="BM20" s="96">
        <f t="shared" si="24"/>
        <v>0</v>
      </c>
      <c r="BN20" s="96"/>
      <c r="BO20" s="95"/>
      <c r="BP20" s="95">
        <f t="shared" si="25"/>
        <v>0</v>
      </c>
      <c r="BQ20" s="95"/>
      <c r="BR20" s="95"/>
      <c r="BS20" s="95">
        <f t="shared" si="26"/>
        <v>0</v>
      </c>
      <c r="BT20" s="95">
        <f t="shared" si="27"/>
        <v>0</v>
      </c>
      <c r="BU20" s="95">
        <f t="shared" si="28"/>
        <v>0</v>
      </c>
      <c r="BV20" s="95">
        <f t="shared" si="29"/>
        <v>0</v>
      </c>
      <c r="BW20" s="95"/>
      <c r="BX20" s="95"/>
      <c r="BY20" s="95"/>
      <c r="BZ20" s="95"/>
      <c r="CA20" s="95">
        <f t="shared" si="43"/>
        <v>0</v>
      </c>
      <c r="CB20" s="97">
        <f t="shared" si="30"/>
        <v>0</v>
      </c>
      <c r="CC20" s="95"/>
      <c r="CD20" s="95"/>
      <c r="CE20" s="95">
        <f t="shared" si="31"/>
        <v>0</v>
      </c>
      <c r="CF20" s="95">
        <f t="shared" si="44"/>
        <v>0</v>
      </c>
      <c r="CG20" s="113"/>
      <c r="CH20" s="22"/>
      <c r="CI20" s="98">
        <f t="shared" si="32"/>
        <v>0</v>
      </c>
      <c r="CJ20" s="95">
        <f t="shared" si="33"/>
        <v>0</v>
      </c>
      <c r="CK20" s="95">
        <f t="shared" si="45"/>
        <v>0</v>
      </c>
      <c r="CL20" s="95"/>
      <c r="CM20" s="99"/>
      <c r="CN20" s="99"/>
      <c r="CO20" s="110"/>
      <c r="CP20" s="99"/>
      <c r="CQ20" s="99"/>
      <c r="CR20" s="99"/>
      <c r="CS20" s="95"/>
      <c r="CT20" s="95"/>
      <c r="CU20" s="96"/>
      <c r="CV20" s="96"/>
      <c r="CW20" s="96"/>
      <c r="CX20" s="96"/>
      <c r="CY20" s="96"/>
      <c r="CZ20" s="93">
        <f t="shared" si="34"/>
        <v>0</v>
      </c>
      <c r="DA20" s="93">
        <f t="shared" si="35"/>
        <v>0</v>
      </c>
      <c r="DB20" s="95">
        <f t="shared" si="46"/>
        <v>0</v>
      </c>
      <c r="DC20" s="100">
        <f t="shared" si="47"/>
        <v>0</v>
      </c>
      <c r="DD20" s="100"/>
      <c r="DE20" s="100">
        <f t="shared" si="38"/>
        <v>0</v>
      </c>
      <c r="DF20" s="13"/>
      <c r="DG20" s="2"/>
      <c r="DH20" s="46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</row>
    <row r="21" spans="1:156" s="1" customFormat="1" x14ac:dyDescent="0.2">
      <c r="A21" s="88">
        <f t="shared" si="3"/>
        <v>509759</v>
      </c>
      <c r="B21" s="21">
        <v>9759</v>
      </c>
      <c r="C21" s="21" t="s">
        <v>98</v>
      </c>
      <c r="D21" s="84" t="s">
        <v>173</v>
      </c>
      <c r="E21" s="114" t="s">
        <v>201</v>
      </c>
      <c r="F21" s="85">
        <v>0</v>
      </c>
      <c r="G21" s="84"/>
      <c r="H21" s="85"/>
      <c r="I21" s="86"/>
      <c r="J21" s="85"/>
      <c r="K21" s="21" t="s">
        <v>10</v>
      </c>
      <c r="L21" s="21"/>
      <c r="M21" s="87"/>
      <c r="N21" s="88"/>
      <c r="O21" s="88">
        <v>3</v>
      </c>
      <c r="P21" s="89">
        <f t="shared" si="39"/>
        <v>5700.7259999999997</v>
      </c>
      <c r="Q21" s="90">
        <f t="shared" si="40"/>
        <v>19002.419999999998</v>
      </c>
      <c r="R21" s="90">
        <f t="shared" si="41"/>
        <v>26397.963600000003</v>
      </c>
      <c r="S21" s="91"/>
      <c r="T21" s="92"/>
      <c r="U21" s="32"/>
      <c r="V21" s="32"/>
      <c r="W21" s="32"/>
      <c r="X21" s="93"/>
      <c r="Y21" s="32"/>
      <c r="Z21" s="32"/>
      <c r="AA21" s="32">
        <v>4</v>
      </c>
      <c r="AB21" s="32">
        <v>0</v>
      </c>
      <c r="AC21" s="32"/>
      <c r="AD21" s="32">
        <v>0</v>
      </c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93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94">
        <f t="shared" si="7"/>
        <v>0</v>
      </c>
      <c r="AV21" s="95">
        <f t="shared" si="8"/>
        <v>0</v>
      </c>
      <c r="AW21" s="95">
        <f t="shared" si="9"/>
        <v>0</v>
      </c>
      <c r="AX21" s="95">
        <f t="shared" si="10"/>
        <v>0</v>
      </c>
      <c r="AY21" s="95">
        <f t="shared" si="11"/>
        <v>0</v>
      </c>
      <c r="AZ21" s="95">
        <f t="shared" si="12"/>
        <v>0</v>
      </c>
      <c r="BA21" s="95">
        <f t="shared" si="13"/>
        <v>0</v>
      </c>
      <c r="BB21" s="95">
        <f t="shared" si="42"/>
        <v>9501.2099999999991</v>
      </c>
      <c r="BC21" s="96">
        <f t="shared" si="14"/>
        <v>0</v>
      </c>
      <c r="BD21" s="96">
        <f t="shared" si="15"/>
        <v>0</v>
      </c>
      <c r="BE21" s="96">
        <f t="shared" si="16"/>
        <v>0</v>
      </c>
      <c r="BF21" s="96">
        <f t="shared" si="17"/>
        <v>0</v>
      </c>
      <c r="BG21" s="96">
        <f t="shared" si="18"/>
        <v>0</v>
      </c>
      <c r="BH21" s="96">
        <f t="shared" si="19"/>
        <v>0</v>
      </c>
      <c r="BI21" s="96">
        <f t="shared" si="20"/>
        <v>0</v>
      </c>
      <c r="BJ21" s="96">
        <f t="shared" si="21"/>
        <v>0</v>
      </c>
      <c r="BK21" s="96">
        <f t="shared" si="22"/>
        <v>0</v>
      </c>
      <c r="BL21" s="96">
        <f t="shared" si="23"/>
        <v>0</v>
      </c>
      <c r="BM21" s="96">
        <f t="shared" si="24"/>
        <v>0</v>
      </c>
      <c r="BN21" s="96"/>
      <c r="BO21" s="95"/>
      <c r="BP21" s="95">
        <f t="shared" si="25"/>
        <v>0</v>
      </c>
      <c r="BQ21" s="95"/>
      <c r="BR21" s="95"/>
      <c r="BS21" s="95">
        <f t="shared" si="26"/>
        <v>0</v>
      </c>
      <c r="BT21" s="95">
        <f t="shared" si="27"/>
        <v>0</v>
      </c>
      <c r="BU21" s="95">
        <f t="shared" si="28"/>
        <v>0</v>
      </c>
      <c r="BV21" s="95">
        <f t="shared" si="29"/>
        <v>0</v>
      </c>
      <c r="BW21" s="95"/>
      <c r="BX21" s="95"/>
      <c r="BY21" s="95"/>
      <c r="BZ21" s="95"/>
      <c r="CA21" s="95">
        <f t="shared" si="43"/>
        <v>0</v>
      </c>
      <c r="CB21" s="97">
        <f t="shared" si="30"/>
        <v>9501.2099999999991</v>
      </c>
      <c r="CC21" s="95"/>
      <c r="CD21" s="95"/>
      <c r="CE21" s="95">
        <f t="shared" si="31"/>
        <v>-285.03629999999998</v>
      </c>
      <c r="CF21" s="95">
        <f t="shared" si="44"/>
        <v>-95.01209999999999</v>
      </c>
      <c r="CG21" s="113"/>
      <c r="CH21" s="22"/>
      <c r="CI21" s="98">
        <f t="shared" si="32"/>
        <v>13199.080931999997</v>
      </c>
      <c r="CJ21" s="95">
        <f t="shared" si="33"/>
        <v>-395.97242795999989</v>
      </c>
      <c r="CK21" s="95">
        <f t="shared" si="45"/>
        <v>-131.99080931999998</v>
      </c>
      <c r="CL21" s="95"/>
      <c r="CM21" s="99"/>
      <c r="CN21" s="99"/>
      <c r="CO21" s="110"/>
      <c r="CP21" s="99"/>
      <c r="CQ21" s="99"/>
      <c r="CR21" s="99"/>
      <c r="CS21" s="95"/>
      <c r="CT21" s="95"/>
      <c r="CU21" s="96"/>
      <c r="CV21" s="96"/>
      <c r="CW21" s="96"/>
      <c r="CX21" s="96"/>
      <c r="CY21" s="96"/>
      <c r="CZ21" s="93">
        <f t="shared" si="34"/>
        <v>0</v>
      </c>
      <c r="DA21" s="93">
        <f t="shared" si="35"/>
        <v>0</v>
      </c>
      <c r="DB21" s="95">
        <f t="shared" si="46"/>
        <v>21792.279294719996</v>
      </c>
      <c r="DC21" s="100">
        <f t="shared" si="47"/>
        <v>21792</v>
      </c>
      <c r="DD21" s="100"/>
      <c r="DE21" s="100">
        <f t="shared" si="38"/>
        <v>-21792</v>
      </c>
      <c r="DF21" s="13"/>
      <c r="DG21" s="2"/>
      <c r="DH21" s="46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</row>
    <row r="22" spans="1:156" s="1" customFormat="1" x14ac:dyDescent="0.2">
      <c r="A22" s="88">
        <f t="shared" si="3"/>
        <v>509746</v>
      </c>
      <c r="B22" s="21">
        <v>9746</v>
      </c>
      <c r="C22" s="21" t="s">
        <v>98</v>
      </c>
      <c r="D22" s="84" t="s">
        <v>162</v>
      </c>
      <c r="E22" s="114" t="s">
        <v>201</v>
      </c>
      <c r="F22" s="85">
        <v>0</v>
      </c>
      <c r="G22" s="84"/>
      <c r="H22" s="85"/>
      <c r="I22" s="86"/>
      <c r="J22" s="85"/>
      <c r="K22" s="21" t="s">
        <v>10</v>
      </c>
      <c r="L22" s="21"/>
      <c r="M22" s="87"/>
      <c r="N22" s="88"/>
      <c r="O22" s="88">
        <v>2</v>
      </c>
      <c r="P22" s="89">
        <f t="shared" si="39"/>
        <v>5700.7259999999997</v>
      </c>
      <c r="Q22" s="90">
        <f t="shared" si="40"/>
        <v>19002.419999999998</v>
      </c>
      <c r="R22" s="90">
        <f t="shared" si="41"/>
        <v>26397.963600000003</v>
      </c>
      <c r="S22" s="91"/>
      <c r="T22" s="92"/>
      <c r="U22" s="32"/>
      <c r="V22" s="32"/>
      <c r="W22" s="32"/>
      <c r="X22" s="93"/>
      <c r="Y22" s="32"/>
      <c r="Z22" s="32"/>
      <c r="AA22" s="32">
        <v>15</v>
      </c>
      <c r="AB22" s="32">
        <v>0</v>
      </c>
      <c r="AC22" s="32"/>
      <c r="AD22" s="32">
        <v>0</v>
      </c>
      <c r="AE22" s="32">
        <v>0</v>
      </c>
      <c r="AF22" s="32">
        <v>0</v>
      </c>
      <c r="AG22" s="32">
        <v>0</v>
      </c>
      <c r="AH22" s="32">
        <v>0</v>
      </c>
      <c r="AI22" s="32">
        <v>3.125</v>
      </c>
      <c r="AJ22" s="93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94">
        <f t="shared" si="7"/>
        <v>0</v>
      </c>
      <c r="AV22" s="95">
        <f t="shared" si="8"/>
        <v>0</v>
      </c>
      <c r="AW22" s="95">
        <f t="shared" si="9"/>
        <v>0</v>
      </c>
      <c r="AX22" s="95">
        <f t="shared" si="10"/>
        <v>0</v>
      </c>
      <c r="AY22" s="95">
        <f t="shared" si="11"/>
        <v>0</v>
      </c>
      <c r="AZ22" s="95">
        <f t="shared" si="12"/>
        <v>0</v>
      </c>
      <c r="BA22" s="95">
        <f t="shared" si="13"/>
        <v>0</v>
      </c>
      <c r="BB22" s="95">
        <f t="shared" si="42"/>
        <v>35629.537499999999</v>
      </c>
      <c r="BC22" s="96">
        <f t="shared" si="14"/>
        <v>0</v>
      </c>
      <c r="BD22" s="96">
        <f t="shared" si="15"/>
        <v>0</v>
      </c>
      <c r="BE22" s="96">
        <f t="shared" si="16"/>
        <v>0</v>
      </c>
      <c r="BF22" s="96">
        <f t="shared" si="17"/>
        <v>0</v>
      </c>
      <c r="BG22" s="96">
        <f t="shared" si="18"/>
        <v>0</v>
      </c>
      <c r="BH22" s="96">
        <f t="shared" si="19"/>
        <v>0</v>
      </c>
      <c r="BI22" s="96">
        <f t="shared" si="20"/>
        <v>59382.562499999993</v>
      </c>
      <c r="BJ22" s="96">
        <f t="shared" si="21"/>
        <v>0</v>
      </c>
      <c r="BK22" s="96">
        <f t="shared" si="22"/>
        <v>0</v>
      </c>
      <c r="BL22" s="96">
        <f t="shared" si="23"/>
        <v>0</v>
      </c>
      <c r="BM22" s="96">
        <f t="shared" si="24"/>
        <v>0</v>
      </c>
      <c r="BN22" s="96"/>
      <c r="BO22" s="95"/>
      <c r="BP22" s="95">
        <f t="shared" si="25"/>
        <v>0</v>
      </c>
      <c r="BQ22" s="95"/>
      <c r="BR22" s="95"/>
      <c r="BS22" s="95">
        <f t="shared" si="26"/>
        <v>0</v>
      </c>
      <c r="BT22" s="95">
        <f t="shared" si="27"/>
        <v>0</v>
      </c>
      <c r="BU22" s="95">
        <f t="shared" si="28"/>
        <v>0</v>
      </c>
      <c r="BV22" s="95">
        <f t="shared" si="29"/>
        <v>0</v>
      </c>
      <c r="BW22" s="95"/>
      <c r="BX22" s="95"/>
      <c r="BY22" s="95"/>
      <c r="BZ22" s="95"/>
      <c r="CA22" s="95">
        <f t="shared" si="43"/>
        <v>0</v>
      </c>
      <c r="CB22" s="97">
        <f t="shared" si="30"/>
        <v>95012.099999999991</v>
      </c>
      <c r="CC22" s="95"/>
      <c r="CD22" s="95"/>
      <c r="CE22" s="95">
        <f t="shared" si="31"/>
        <v>-2850.3629999999998</v>
      </c>
      <c r="CF22" s="95">
        <f t="shared" si="44"/>
        <v>-950.12099999999998</v>
      </c>
      <c r="CG22" s="113"/>
      <c r="CH22" s="22"/>
      <c r="CI22" s="98">
        <f t="shared" si="32"/>
        <v>131990.80931999997</v>
      </c>
      <c r="CJ22" s="95">
        <f t="shared" si="33"/>
        <v>-3959.7242795999991</v>
      </c>
      <c r="CK22" s="95">
        <f t="shared" si="45"/>
        <v>-1319.9080931999997</v>
      </c>
      <c r="CL22" s="95"/>
      <c r="CM22" s="99"/>
      <c r="CN22" s="99"/>
      <c r="CO22" s="110"/>
      <c r="CP22" s="99"/>
      <c r="CQ22" s="99"/>
      <c r="CR22" s="99"/>
      <c r="CS22" s="95"/>
      <c r="CT22" s="95"/>
      <c r="CU22" s="96"/>
      <c r="CV22" s="96"/>
      <c r="CW22" s="96"/>
      <c r="CX22" s="96"/>
      <c r="CY22" s="96"/>
      <c r="CZ22" s="93">
        <f t="shared" si="34"/>
        <v>0</v>
      </c>
      <c r="DA22" s="93">
        <f t="shared" si="35"/>
        <v>0</v>
      </c>
      <c r="DB22" s="95">
        <f t="shared" si="46"/>
        <v>217922.79294719998</v>
      </c>
      <c r="DC22" s="100">
        <f t="shared" si="47"/>
        <v>217923</v>
      </c>
      <c r="DD22" s="100"/>
      <c r="DE22" s="100">
        <f t="shared" si="38"/>
        <v>-217923</v>
      </c>
      <c r="DF22" s="13"/>
      <c r="DG22" s="2"/>
      <c r="DH22" s="46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</row>
    <row r="23" spans="1:156" s="1" customFormat="1" hidden="1" x14ac:dyDescent="0.2">
      <c r="A23" s="88">
        <f t="shared" si="3"/>
        <v>509639</v>
      </c>
      <c r="B23" s="21">
        <v>9639</v>
      </c>
      <c r="C23" s="21" t="s">
        <v>98</v>
      </c>
      <c r="D23" s="84" t="s">
        <v>102</v>
      </c>
      <c r="E23" s="115" t="s">
        <v>202</v>
      </c>
      <c r="F23" s="85">
        <v>3</v>
      </c>
      <c r="G23" s="84"/>
      <c r="H23" s="85"/>
      <c r="I23" s="86"/>
      <c r="J23" s="85"/>
      <c r="K23" s="21" t="s">
        <v>10</v>
      </c>
      <c r="L23" s="21"/>
      <c r="M23" s="87"/>
      <c r="N23" s="88"/>
      <c r="O23" s="88">
        <v>10</v>
      </c>
      <c r="P23" s="89">
        <f t="shared" si="39"/>
        <v>5700.7259999999997</v>
      </c>
      <c r="Q23" s="90">
        <f t="shared" si="40"/>
        <v>19002.419999999998</v>
      </c>
      <c r="R23" s="90">
        <f t="shared" si="41"/>
        <v>26397.963600000003</v>
      </c>
      <c r="S23" s="91"/>
      <c r="T23" s="92"/>
      <c r="U23" s="32"/>
      <c r="V23" s="32"/>
      <c r="W23" s="32"/>
      <c r="X23" s="93"/>
      <c r="Y23" s="32"/>
      <c r="Z23" s="32"/>
      <c r="AA23" s="32">
        <v>0</v>
      </c>
      <c r="AB23" s="32">
        <v>0</v>
      </c>
      <c r="AC23" s="32"/>
      <c r="AD23" s="32">
        <v>0</v>
      </c>
      <c r="AE23" s="32">
        <v>0</v>
      </c>
      <c r="AF23" s="32">
        <v>0</v>
      </c>
      <c r="AG23" s="32">
        <v>0</v>
      </c>
      <c r="AH23" s="32">
        <v>0</v>
      </c>
      <c r="AI23" s="32">
        <v>0</v>
      </c>
      <c r="AJ23" s="93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94">
        <f t="shared" si="7"/>
        <v>0</v>
      </c>
      <c r="AV23" s="95">
        <f t="shared" si="8"/>
        <v>0</v>
      </c>
      <c r="AW23" s="95">
        <f t="shared" si="9"/>
        <v>0</v>
      </c>
      <c r="AX23" s="95">
        <f t="shared" si="10"/>
        <v>0</v>
      </c>
      <c r="AY23" s="95">
        <f t="shared" si="11"/>
        <v>0</v>
      </c>
      <c r="AZ23" s="95">
        <f t="shared" si="12"/>
        <v>0</v>
      </c>
      <c r="BA23" s="95">
        <f t="shared" si="13"/>
        <v>0</v>
      </c>
      <c r="BB23" s="95">
        <f t="shared" si="42"/>
        <v>0</v>
      </c>
      <c r="BC23" s="96">
        <f t="shared" si="14"/>
        <v>0</v>
      </c>
      <c r="BD23" s="96">
        <f t="shared" si="15"/>
        <v>0</v>
      </c>
      <c r="BE23" s="96">
        <f t="shared" si="16"/>
        <v>0</v>
      </c>
      <c r="BF23" s="96">
        <f t="shared" si="17"/>
        <v>0</v>
      </c>
      <c r="BG23" s="96">
        <f t="shared" si="18"/>
        <v>0</v>
      </c>
      <c r="BH23" s="96">
        <f t="shared" si="19"/>
        <v>0</v>
      </c>
      <c r="BI23" s="96">
        <f t="shared" si="20"/>
        <v>0</v>
      </c>
      <c r="BJ23" s="96">
        <f t="shared" si="21"/>
        <v>0</v>
      </c>
      <c r="BK23" s="96">
        <f t="shared" si="22"/>
        <v>0</v>
      </c>
      <c r="BL23" s="96">
        <f t="shared" si="23"/>
        <v>0</v>
      </c>
      <c r="BM23" s="96">
        <f t="shared" si="24"/>
        <v>0</v>
      </c>
      <c r="BN23" s="96"/>
      <c r="BO23" s="95"/>
      <c r="BP23" s="95">
        <f t="shared" si="25"/>
        <v>0</v>
      </c>
      <c r="BQ23" s="95"/>
      <c r="BR23" s="95"/>
      <c r="BS23" s="95">
        <f t="shared" si="26"/>
        <v>0</v>
      </c>
      <c r="BT23" s="95">
        <f t="shared" si="27"/>
        <v>0</v>
      </c>
      <c r="BU23" s="95">
        <f t="shared" si="28"/>
        <v>0</v>
      </c>
      <c r="BV23" s="95">
        <f t="shared" si="29"/>
        <v>0</v>
      </c>
      <c r="BW23" s="95"/>
      <c r="BX23" s="95"/>
      <c r="BY23" s="95"/>
      <c r="BZ23" s="95"/>
      <c r="CA23" s="95">
        <f t="shared" si="43"/>
        <v>0</v>
      </c>
      <c r="CB23" s="97">
        <f t="shared" si="30"/>
        <v>0</v>
      </c>
      <c r="CC23" s="95"/>
      <c r="CD23" s="95"/>
      <c r="CE23" s="95">
        <f t="shared" si="31"/>
        <v>0</v>
      </c>
      <c r="CF23" s="95">
        <f t="shared" si="44"/>
        <v>0</v>
      </c>
      <c r="CG23" s="113"/>
      <c r="CH23" s="22"/>
      <c r="CI23" s="98">
        <f t="shared" si="32"/>
        <v>0</v>
      </c>
      <c r="CJ23" s="95">
        <f t="shared" si="33"/>
        <v>0</v>
      </c>
      <c r="CK23" s="95">
        <f t="shared" si="45"/>
        <v>0</v>
      </c>
      <c r="CL23" s="95"/>
      <c r="CM23" s="99"/>
      <c r="CN23" s="99"/>
      <c r="CO23" s="110"/>
      <c r="CP23" s="99"/>
      <c r="CQ23" s="99"/>
      <c r="CR23" s="99"/>
      <c r="CS23" s="95"/>
      <c r="CT23" s="95"/>
      <c r="CU23" s="96"/>
      <c r="CV23" s="96"/>
      <c r="CW23" s="96"/>
      <c r="CX23" s="96"/>
      <c r="CY23" s="96"/>
      <c r="CZ23" s="93">
        <f t="shared" si="34"/>
        <v>0</v>
      </c>
      <c r="DA23" s="93">
        <f t="shared" si="35"/>
        <v>0</v>
      </c>
      <c r="DB23" s="95">
        <f t="shared" si="46"/>
        <v>0</v>
      </c>
      <c r="DC23" s="100">
        <f t="shared" si="47"/>
        <v>0</v>
      </c>
      <c r="DD23" s="100"/>
      <c r="DE23" s="100">
        <f t="shared" si="38"/>
        <v>0</v>
      </c>
      <c r="DF23" s="13"/>
      <c r="DG23" s="2"/>
      <c r="DH23" s="46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</row>
    <row r="24" spans="1:156" s="1" customFormat="1" x14ac:dyDescent="0.2">
      <c r="A24" s="88">
        <f t="shared" si="3"/>
        <v>509652</v>
      </c>
      <c r="B24" s="21">
        <v>9652</v>
      </c>
      <c r="C24" s="21" t="s">
        <v>98</v>
      </c>
      <c r="D24" s="84" t="s">
        <v>110</v>
      </c>
      <c r="E24" s="115" t="s">
        <v>202</v>
      </c>
      <c r="F24" s="85">
        <v>3</v>
      </c>
      <c r="G24" s="84"/>
      <c r="H24" s="85"/>
      <c r="I24" s="86"/>
      <c r="J24" s="85"/>
      <c r="K24" s="21" t="s">
        <v>10</v>
      </c>
      <c r="L24" s="21"/>
      <c r="M24" s="87"/>
      <c r="N24" s="88"/>
      <c r="O24" s="88">
        <v>7</v>
      </c>
      <c r="P24" s="89">
        <f t="shared" si="39"/>
        <v>5700.7259999999997</v>
      </c>
      <c r="Q24" s="90">
        <f t="shared" si="40"/>
        <v>19002.419999999998</v>
      </c>
      <c r="R24" s="90">
        <f t="shared" si="41"/>
        <v>26397.963600000003</v>
      </c>
      <c r="S24" s="91"/>
      <c r="T24" s="92"/>
      <c r="U24" s="32"/>
      <c r="V24" s="32"/>
      <c r="W24" s="32"/>
      <c r="X24" s="93"/>
      <c r="Y24" s="32"/>
      <c r="Z24" s="32"/>
      <c r="AA24" s="32">
        <v>15</v>
      </c>
      <c r="AB24" s="32">
        <v>0</v>
      </c>
      <c r="AC24" s="32"/>
      <c r="AD24" s="32">
        <v>0</v>
      </c>
      <c r="AE24" s="32">
        <v>0</v>
      </c>
      <c r="AF24" s="32">
        <v>0</v>
      </c>
      <c r="AG24" s="32">
        <v>0</v>
      </c>
      <c r="AH24" s="32">
        <v>0</v>
      </c>
      <c r="AI24" s="32">
        <v>1.125</v>
      </c>
      <c r="AJ24" s="93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94">
        <f t="shared" si="7"/>
        <v>0</v>
      </c>
      <c r="AV24" s="95">
        <f t="shared" si="8"/>
        <v>0</v>
      </c>
      <c r="AW24" s="95">
        <f t="shared" si="9"/>
        <v>0</v>
      </c>
      <c r="AX24" s="95">
        <f t="shared" si="10"/>
        <v>0</v>
      </c>
      <c r="AY24" s="95">
        <f t="shared" si="11"/>
        <v>0</v>
      </c>
      <c r="AZ24" s="95">
        <f t="shared" si="12"/>
        <v>0</v>
      </c>
      <c r="BA24" s="95">
        <f t="shared" si="13"/>
        <v>0</v>
      </c>
      <c r="BB24" s="95">
        <f t="shared" si="42"/>
        <v>35629.537499999999</v>
      </c>
      <c r="BC24" s="96">
        <f t="shared" si="14"/>
        <v>0</v>
      </c>
      <c r="BD24" s="96">
        <f t="shared" si="15"/>
        <v>0</v>
      </c>
      <c r="BE24" s="96">
        <f t="shared" si="16"/>
        <v>0</v>
      </c>
      <c r="BF24" s="96">
        <f t="shared" si="17"/>
        <v>0</v>
      </c>
      <c r="BG24" s="96">
        <f t="shared" si="18"/>
        <v>0</v>
      </c>
      <c r="BH24" s="96">
        <f t="shared" si="19"/>
        <v>0</v>
      </c>
      <c r="BI24" s="96">
        <f t="shared" si="20"/>
        <v>21377.722499999996</v>
      </c>
      <c r="BJ24" s="96">
        <f t="shared" si="21"/>
        <v>0</v>
      </c>
      <c r="BK24" s="96">
        <f t="shared" si="22"/>
        <v>0</v>
      </c>
      <c r="BL24" s="96">
        <f t="shared" si="23"/>
        <v>0</v>
      </c>
      <c r="BM24" s="96">
        <f t="shared" si="24"/>
        <v>0</v>
      </c>
      <c r="BN24" s="96"/>
      <c r="BO24" s="95"/>
      <c r="BP24" s="95">
        <f t="shared" si="25"/>
        <v>0</v>
      </c>
      <c r="BQ24" s="95"/>
      <c r="BR24" s="95"/>
      <c r="BS24" s="95">
        <f t="shared" si="26"/>
        <v>0</v>
      </c>
      <c r="BT24" s="95">
        <f t="shared" si="27"/>
        <v>0</v>
      </c>
      <c r="BU24" s="95">
        <f t="shared" si="28"/>
        <v>0</v>
      </c>
      <c r="BV24" s="95">
        <f t="shared" si="29"/>
        <v>0</v>
      </c>
      <c r="BW24" s="95"/>
      <c r="BX24" s="95"/>
      <c r="BY24" s="95"/>
      <c r="BZ24" s="95"/>
      <c r="CA24" s="95">
        <f t="shared" si="43"/>
        <v>0</v>
      </c>
      <c r="CB24" s="97">
        <f t="shared" si="30"/>
        <v>57007.259999999995</v>
      </c>
      <c r="CC24" s="95"/>
      <c r="CD24" s="95"/>
      <c r="CE24" s="95">
        <f t="shared" si="31"/>
        <v>-1710.2177999999997</v>
      </c>
      <c r="CF24" s="95">
        <f t="shared" si="44"/>
        <v>-855.10889999999984</v>
      </c>
      <c r="CG24" s="113"/>
      <c r="CH24" s="22"/>
      <c r="CI24" s="98">
        <f t="shared" si="32"/>
        <v>79194.485591999983</v>
      </c>
      <c r="CJ24" s="95">
        <f t="shared" si="33"/>
        <v>-2375.8345677599996</v>
      </c>
      <c r="CK24" s="95">
        <f t="shared" si="45"/>
        <v>-1187.9172838799998</v>
      </c>
      <c r="CL24" s="95"/>
      <c r="CM24" s="99"/>
      <c r="CN24" s="99"/>
      <c r="CO24" s="110"/>
      <c r="CP24" s="99"/>
      <c r="CQ24" s="99"/>
      <c r="CR24" s="99"/>
      <c r="CS24" s="95"/>
      <c r="CT24" s="95"/>
      <c r="CU24" s="96"/>
      <c r="CV24" s="96"/>
      <c r="CW24" s="96"/>
      <c r="CX24" s="96"/>
      <c r="CY24" s="96"/>
      <c r="CZ24" s="93">
        <f t="shared" si="34"/>
        <v>0</v>
      </c>
      <c r="DA24" s="93">
        <f t="shared" si="35"/>
        <v>0</v>
      </c>
      <c r="DB24" s="95">
        <f t="shared" si="46"/>
        <v>130072.66704035999</v>
      </c>
      <c r="DC24" s="100">
        <f t="shared" si="47"/>
        <v>130073</v>
      </c>
      <c r="DD24" s="100"/>
      <c r="DE24" s="100">
        <f t="shared" si="38"/>
        <v>-130073</v>
      </c>
      <c r="DF24" s="13"/>
      <c r="DG24" s="2"/>
      <c r="DH24" s="46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</row>
    <row r="25" spans="1:156" s="1" customFormat="1" x14ac:dyDescent="0.2">
      <c r="A25" s="88">
        <f t="shared" si="3"/>
        <v>509833</v>
      </c>
      <c r="B25" s="21">
        <v>9833</v>
      </c>
      <c r="C25" s="21" t="s">
        <v>98</v>
      </c>
      <c r="D25" s="84" t="s">
        <v>182</v>
      </c>
      <c r="E25" s="114" t="s">
        <v>201</v>
      </c>
      <c r="F25" s="85">
        <v>0</v>
      </c>
      <c r="G25" s="84"/>
      <c r="H25" s="85"/>
      <c r="I25" s="86"/>
      <c r="J25" s="85"/>
      <c r="K25" s="21" t="s">
        <v>8</v>
      </c>
      <c r="L25" s="21"/>
      <c r="M25" s="87"/>
      <c r="N25" s="88"/>
      <c r="O25" s="88">
        <v>0</v>
      </c>
      <c r="P25" s="89">
        <f t="shared" si="39"/>
        <v>5401.2359999999999</v>
      </c>
      <c r="Q25" s="90">
        <f t="shared" si="40"/>
        <v>18004.12</v>
      </c>
      <c r="R25" s="90">
        <f t="shared" si="41"/>
        <v>25011.1211</v>
      </c>
      <c r="S25" s="91"/>
      <c r="T25" s="92"/>
      <c r="U25" s="32"/>
      <c r="V25" s="32"/>
      <c r="W25" s="32"/>
      <c r="X25" s="93"/>
      <c r="Y25" s="32"/>
      <c r="Z25" s="32"/>
      <c r="AA25" s="32">
        <v>15</v>
      </c>
      <c r="AB25" s="32">
        <v>0</v>
      </c>
      <c r="AC25" s="32"/>
      <c r="AD25" s="32">
        <v>0</v>
      </c>
      <c r="AE25" s="32">
        <v>0</v>
      </c>
      <c r="AF25" s="32">
        <v>0</v>
      </c>
      <c r="AG25" s="32">
        <v>0</v>
      </c>
      <c r="AH25" s="32">
        <v>0</v>
      </c>
      <c r="AI25" s="32">
        <v>4.25</v>
      </c>
      <c r="AJ25" s="93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94">
        <f t="shared" si="7"/>
        <v>0</v>
      </c>
      <c r="AV25" s="95">
        <f t="shared" si="8"/>
        <v>0</v>
      </c>
      <c r="AW25" s="95">
        <f t="shared" si="9"/>
        <v>0</v>
      </c>
      <c r="AX25" s="95">
        <f t="shared" si="10"/>
        <v>0</v>
      </c>
      <c r="AY25" s="95">
        <f t="shared" si="11"/>
        <v>0</v>
      </c>
      <c r="AZ25" s="95">
        <f t="shared" si="12"/>
        <v>0</v>
      </c>
      <c r="BA25" s="95">
        <f t="shared" si="13"/>
        <v>0</v>
      </c>
      <c r="BB25" s="95">
        <f t="shared" si="42"/>
        <v>33757.724999999999</v>
      </c>
      <c r="BC25" s="96">
        <f t="shared" si="14"/>
        <v>0</v>
      </c>
      <c r="BD25" s="96">
        <f t="shared" si="15"/>
        <v>0</v>
      </c>
      <c r="BE25" s="96">
        <f t="shared" si="16"/>
        <v>0</v>
      </c>
      <c r="BF25" s="96">
        <f t="shared" si="17"/>
        <v>0</v>
      </c>
      <c r="BG25" s="96">
        <f t="shared" si="18"/>
        <v>0</v>
      </c>
      <c r="BH25" s="96">
        <f t="shared" si="19"/>
        <v>0</v>
      </c>
      <c r="BI25" s="96">
        <f t="shared" si="20"/>
        <v>76517.509999999995</v>
      </c>
      <c r="BJ25" s="96">
        <f t="shared" si="21"/>
        <v>0</v>
      </c>
      <c r="BK25" s="96">
        <f t="shared" si="22"/>
        <v>0</v>
      </c>
      <c r="BL25" s="96">
        <f t="shared" si="23"/>
        <v>0</v>
      </c>
      <c r="BM25" s="96">
        <f t="shared" si="24"/>
        <v>0</v>
      </c>
      <c r="BN25" s="96"/>
      <c r="BO25" s="95"/>
      <c r="BP25" s="95">
        <f t="shared" si="25"/>
        <v>0</v>
      </c>
      <c r="BQ25" s="95"/>
      <c r="BR25" s="95"/>
      <c r="BS25" s="95">
        <f t="shared" si="26"/>
        <v>0</v>
      </c>
      <c r="BT25" s="95">
        <f t="shared" si="27"/>
        <v>0</v>
      </c>
      <c r="BU25" s="95">
        <f t="shared" si="28"/>
        <v>0</v>
      </c>
      <c r="BV25" s="95">
        <f t="shared" si="29"/>
        <v>0</v>
      </c>
      <c r="BW25" s="95"/>
      <c r="BX25" s="95"/>
      <c r="BY25" s="95"/>
      <c r="BZ25" s="95"/>
      <c r="CA25" s="95">
        <f t="shared" si="43"/>
        <v>0</v>
      </c>
      <c r="CB25" s="97">
        <f t="shared" si="30"/>
        <v>110275.23499999999</v>
      </c>
      <c r="CC25" s="95"/>
      <c r="CD25" s="95"/>
      <c r="CE25" s="95">
        <f t="shared" si="31"/>
        <v>-3308.2570499999993</v>
      </c>
      <c r="CF25" s="95">
        <f t="shared" si="44"/>
        <v>-1102.75235</v>
      </c>
      <c r="CG25" s="113"/>
      <c r="CH25" s="22"/>
      <c r="CI25" s="98">
        <f t="shared" si="32"/>
        <v>153194.35646199997</v>
      </c>
      <c r="CJ25" s="95">
        <f t="shared" si="33"/>
        <v>-4595.830693859999</v>
      </c>
      <c r="CK25" s="95">
        <f t="shared" si="45"/>
        <v>-1531.9435646199997</v>
      </c>
      <c r="CL25" s="95"/>
      <c r="CM25" s="99"/>
      <c r="CN25" s="99"/>
      <c r="CO25" s="110"/>
      <c r="CP25" s="99"/>
      <c r="CQ25" s="99"/>
      <c r="CR25" s="99"/>
      <c r="CS25" s="95"/>
      <c r="CT25" s="95"/>
      <c r="CU25" s="96"/>
      <c r="CV25" s="96"/>
      <c r="CW25" s="96"/>
      <c r="CX25" s="96"/>
      <c r="CY25" s="96"/>
      <c r="CZ25" s="93">
        <f t="shared" si="34"/>
        <v>0</v>
      </c>
      <c r="DA25" s="93">
        <f t="shared" si="35"/>
        <v>0</v>
      </c>
      <c r="DB25" s="95">
        <f t="shared" si="46"/>
        <v>252930.80780351997</v>
      </c>
      <c r="DC25" s="100">
        <f t="shared" si="47"/>
        <v>252931</v>
      </c>
      <c r="DD25" s="100"/>
      <c r="DE25" s="100">
        <f t="shared" si="38"/>
        <v>-252931</v>
      </c>
      <c r="DF25" s="13"/>
      <c r="DG25" s="2"/>
      <c r="DH25" s="46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</row>
    <row r="26" spans="1:156" s="1" customFormat="1" x14ac:dyDescent="0.2">
      <c r="A26" s="88">
        <f t="shared" si="3"/>
        <v>509812</v>
      </c>
      <c r="B26" s="21">
        <v>9812</v>
      </c>
      <c r="C26" s="21" t="s">
        <v>98</v>
      </c>
      <c r="D26" s="84" t="s">
        <v>175</v>
      </c>
      <c r="E26" s="114" t="s">
        <v>201</v>
      </c>
      <c r="F26" s="85">
        <v>0</v>
      </c>
      <c r="G26" s="84"/>
      <c r="H26" s="85"/>
      <c r="I26" s="86"/>
      <c r="J26" s="85"/>
      <c r="K26" s="21" t="s">
        <v>8</v>
      </c>
      <c r="L26" s="21"/>
      <c r="M26" s="87"/>
      <c r="N26" s="88"/>
      <c r="O26" s="88">
        <v>0</v>
      </c>
      <c r="P26" s="89">
        <f t="shared" si="39"/>
        <v>5401.2359999999999</v>
      </c>
      <c r="Q26" s="90">
        <f t="shared" si="40"/>
        <v>18004.12</v>
      </c>
      <c r="R26" s="90">
        <f t="shared" si="41"/>
        <v>25011.1211</v>
      </c>
      <c r="S26" s="91"/>
      <c r="T26" s="92"/>
      <c r="U26" s="32"/>
      <c r="V26" s="32"/>
      <c r="W26" s="32"/>
      <c r="X26" s="93"/>
      <c r="Y26" s="32"/>
      <c r="Z26" s="32"/>
      <c r="AA26" s="32">
        <v>15</v>
      </c>
      <c r="AB26" s="32">
        <v>0</v>
      </c>
      <c r="AC26" s="32"/>
      <c r="AD26" s="32">
        <v>0</v>
      </c>
      <c r="AE26" s="32">
        <v>0</v>
      </c>
      <c r="AF26" s="32">
        <v>0</v>
      </c>
      <c r="AG26" s="32">
        <v>0</v>
      </c>
      <c r="AH26" s="32">
        <v>0</v>
      </c>
      <c r="AI26" s="32">
        <v>0.625</v>
      </c>
      <c r="AJ26" s="93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94">
        <f t="shared" si="7"/>
        <v>0</v>
      </c>
      <c r="AV26" s="95">
        <f t="shared" si="8"/>
        <v>0</v>
      </c>
      <c r="AW26" s="95">
        <f t="shared" si="9"/>
        <v>0</v>
      </c>
      <c r="AX26" s="95">
        <f t="shared" si="10"/>
        <v>0</v>
      </c>
      <c r="AY26" s="95">
        <f t="shared" si="11"/>
        <v>0</v>
      </c>
      <c r="AZ26" s="95">
        <f t="shared" si="12"/>
        <v>0</v>
      </c>
      <c r="BA26" s="95">
        <f t="shared" si="13"/>
        <v>0</v>
      </c>
      <c r="BB26" s="95">
        <f t="shared" si="42"/>
        <v>33757.724999999999</v>
      </c>
      <c r="BC26" s="96">
        <f t="shared" si="14"/>
        <v>0</v>
      </c>
      <c r="BD26" s="96">
        <f t="shared" si="15"/>
        <v>0</v>
      </c>
      <c r="BE26" s="96">
        <f t="shared" si="16"/>
        <v>0</v>
      </c>
      <c r="BF26" s="96">
        <f t="shared" si="17"/>
        <v>0</v>
      </c>
      <c r="BG26" s="96">
        <f t="shared" si="18"/>
        <v>0</v>
      </c>
      <c r="BH26" s="96">
        <f t="shared" si="19"/>
        <v>0</v>
      </c>
      <c r="BI26" s="96">
        <f t="shared" si="20"/>
        <v>11252.574999999999</v>
      </c>
      <c r="BJ26" s="96">
        <f t="shared" si="21"/>
        <v>0</v>
      </c>
      <c r="BK26" s="96">
        <f t="shared" si="22"/>
        <v>0</v>
      </c>
      <c r="BL26" s="96">
        <f t="shared" si="23"/>
        <v>0</v>
      </c>
      <c r="BM26" s="96">
        <f t="shared" si="24"/>
        <v>0</v>
      </c>
      <c r="BN26" s="96"/>
      <c r="BO26" s="95"/>
      <c r="BP26" s="95">
        <f t="shared" si="25"/>
        <v>0</v>
      </c>
      <c r="BQ26" s="95"/>
      <c r="BR26" s="95"/>
      <c r="BS26" s="95">
        <f t="shared" si="26"/>
        <v>0</v>
      </c>
      <c r="BT26" s="95">
        <f t="shared" si="27"/>
        <v>0</v>
      </c>
      <c r="BU26" s="95">
        <f t="shared" si="28"/>
        <v>0</v>
      </c>
      <c r="BV26" s="95">
        <f t="shared" si="29"/>
        <v>0</v>
      </c>
      <c r="BW26" s="95"/>
      <c r="BX26" s="95"/>
      <c r="BY26" s="95"/>
      <c r="BZ26" s="95"/>
      <c r="CA26" s="95">
        <f t="shared" si="43"/>
        <v>0</v>
      </c>
      <c r="CB26" s="97">
        <f t="shared" si="30"/>
        <v>45010.299999999996</v>
      </c>
      <c r="CC26" s="95"/>
      <c r="CD26" s="95"/>
      <c r="CE26" s="95">
        <f t="shared" si="31"/>
        <v>-1350.3089999999997</v>
      </c>
      <c r="CF26" s="95">
        <f t="shared" si="44"/>
        <v>-450.10299999999995</v>
      </c>
      <c r="CG26" s="113"/>
      <c r="CH26" s="22"/>
      <c r="CI26" s="98">
        <f t="shared" si="32"/>
        <v>62528.308759999985</v>
      </c>
      <c r="CJ26" s="95">
        <f t="shared" si="33"/>
        <v>-1875.8492627999995</v>
      </c>
      <c r="CK26" s="95">
        <f t="shared" si="45"/>
        <v>-625.28308759999982</v>
      </c>
      <c r="CL26" s="95"/>
      <c r="CM26" s="99"/>
      <c r="CN26" s="99"/>
      <c r="CO26" s="110"/>
      <c r="CP26" s="99"/>
      <c r="CQ26" s="99"/>
      <c r="CR26" s="99"/>
      <c r="CS26" s="95"/>
      <c r="CT26" s="95"/>
      <c r="CU26" s="96"/>
      <c r="CV26" s="96"/>
      <c r="CW26" s="96"/>
      <c r="CX26" s="96"/>
      <c r="CY26" s="96"/>
      <c r="CZ26" s="93">
        <f t="shared" si="34"/>
        <v>0</v>
      </c>
      <c r="DA26" s="93">
        <f t="shared" si="35"/>
        <v>0</v>
      </c>
      <c r="DB26" s="95">
        <f t="shared" si="46"/>
        <v>103237.06440959999</v>
      </c>
      <c r="DC26" s="100">
        <f t="shared" si="47"/>
        <v>103237</v>
      </c>
      <c r="DD26" s="100"/>
      <c r="DE26" s="100">
        <f t="shared" si="38"/>
        <v>-103237</v>
      </c>
      <c r="DF26" s="13"/>
      <c r="DG26" s="2"/>
      <c r="DH26" s="46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</row>
    <row r="27" spans="1:156" s="1" customFormat="1" x14ac:dyDescent="0.2">
      <c r="A27" s="88">
        <f t="shared" si="3"/>
        <v>509832</v>
      </c>
      <c r="B27" s="21">
        <v>9832</v>
      </c>
      <c r="C27" s="21" t="s">
        <v>98</v>
      </c>
      <c r="D27" s="81" t="s">
        <v>181</v>
      </c>
      <c r="E27" s="114" t="s">
        <v>201</v>
      </c>
      <c r="F27" s="85">
        <v>0</v>
      </c>
      <c r="G27" s="84"/>
      <c r="H27" s="85"/>
      <c r="I27" s="86"/>
      <c r="J27" s="85"/>
      <c r="K27" s="21" t="s">
        <v>8</v>
      </c>
      <c r="L27" s="21"/>
      <c r="M27" s="87"/>
      <c r="N27" s="88"/>
      <c r="O27" s="88">
        <v>0</v>
      </c>
      <c r="P27" s="89">
        <f t="shared" si="39"/>
        <v>5401.2359999999999</v>
      </c>
      <c r="Q27" s="90">
        <f t="shared" si="40"/>
        <v>18004.12</v>
      </c>
      <c r="R27" s="90">
        <f t="shared" si="41"/>
        <v>25011.1211</v>
      </c>
      <c r="S27" s="91"/>
      <c r="T27" s="92"/>
      <c r="U27" s="32"/>
      <c r="V27" s="32"/>
      <c r="W27" s="32"/>
      <c r="X27" s="93"/>
      <c r="Y27" s="32"/>
      <c r="Z27" s="32"/>
      <c r="AA27" s="32">
        <v>15</v>
      </c>
      <c r="AB27" s="32">
        <v>0</v>
      </c>
      <c r="AC27" s="32"/>
      <c r="AD27" s="32">
        <v>0</v>
      </c>
      <c r="AE27" s="32">
        <v>0</v>
      </c>
      <c r="AF27" s="32">
        <v>0</v>
      </c>
      <c r="AG27" s="32">
        <v>0</v>
      </c>
      <c r="AH27" s="32">
        <v>0</v>
      </c>
      <c r="AI27" s="32">
        <v>3.5</v>
      </c>
      <c r="AJ27" s="93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94">
        <f t="shared" si="7"/>
        <v>0</v>
      </c>
      <c r="AV27" s="95">
        <f t="shared" si="8"/>
        <v>0</v>
      </c>
      <c r="AW27" s="95">
        <f t="shared" si="9"/>
        <v>0</v>
      </c>
      <c r="AX27" s="95">
        <f t="shared" si="10"/>
        <v>0</v>
      </c>
      <c r="AY27" s="95">
        <f t="shared" si="11"/>
        <v>0</v>
      </c>
      <c r="AZ27" s="95">
        <f t="shared" si="12"/>
        <v>0</v>
      </c>
      <c r="BA27" s="95">
        <f t="shared" si="13"/>
        <v>0</v>
      </c>
      <c r="BB27" s="95">
        <f t="shared" si="42"/>
        <v>33757.724999999999</v>
      </c>
      <c r="BC27" s="96">
        <f t="shared" si="14"/>
        <v>0</v>
      </c>
      <c r="BD27" s="96">
        <f t="shared" si="15"/>
        <v>0</v>
      </c>
      <c r="BE27" s="96">
        <f t="shared" si="16"/>
        <v>0</v>
      </c>
      <c r="BF27" s="96">
        <f t="shared" si="17"/>
        <v>0</v>
      </c>
      <c r="BG27" s="96">
        <f t="shared" si="18"/>
        <v>0</v>
      </c>
      <c r="BH27" s="96">
        <f t="shared" si="19"/>
        <v>0</v>
      </c>
      <c r="BI27" s="96">
        <f t="shared" si="20"/>
        <v>63014.42</v>
      </c>
      <c r="BJ27" s="96">
        <f t="shared" si="21"/>
        <v>0</v>
      </c>
      <c r="BK27" s="96">
        <f t="shared" si="22"/>
        <v>0</v>
      </c>
      <c r="BL27" s="96">
        <f t="shared" si="23"/>
        <v>0</v>
      </c>
      <c r="BM27" s="96">
        <f t="shared" si="24"/>
        <v>0</v>
      </c>
      <c r="BN27" s="96"/>
      <c r="BO27" s="95"/>
      <c r="BP27" s="95">
        <f t="shared" si="25"/>
        <v>0</v>
      </c>
      <c r="BQ27" s="95"/>
      <c r="BR27" s="95"/>
      <c r="BS27" s="95">
        <f t="shared" si="26"/>
        <v>0</v>
      </c>
      <c r="BT27" s="95">
        <f t="shared" si="27"/>
        <v>0</v>
      </c>
      <c r="BU27" s="95">
        <f t="shared" si="28"/>
        <v>0</v>
      </c>
      <c r="BV27" s="95">
        <f t="shared" si="29"/>
        <v>0</v>
      </c>
      <c r="BW27" s="95"/>
      <c r="BX27" s="95"/>
      <c r="BY27" s="95"/>
      <c r="BZ27" s="95"/>
      <c r="CA27" s="95">
        <f t="shared" si="43"/>
        <v>0</v>
      </c>
      <c r="CB27" s="97">
        <f t="shared" si="30"/>
        <v>96772.14499999999</v>
      </c>
      <c r="CC27" s="95"/>
      <c r="CD27" s="95"/>
      <c r="CE27" s="95">
        <f t="shared" si="31"/>
        <v>-2903.1643499999996</v>
      </c>
      <c r="CF27" s="95">
        <f t="shared" si="44"/>
        <v>-967.72144999999989</v>
      </c>
      <c r="CG27" s="113"/>
      <c r="CH27" s="22"/>
      <c r="CI27" s="98">
        <f t="shared" si="32"/>
        <v>134435.86383399996</v>
      </c>
      <c r="CJ27" s="95">
        <f t="shared" si="33"/>
        <v>-4033.0759150199988</v>
      </c>
      <c r="CK27" s="95">
        <f t="shared" si="45"/>
        <v>-1344.3586383399995</v>
      </c>
      <c r="CL27" s="95"/>
      <c r="CM27" s="99"/>
      <c r="CN27" s="99"/>
      <c r="CO27" s="110"/>
      <c r="CP27" s="99"/>
      <c r="CQ27" s="99"/>
      <c r="CR27" s="99"/>
      <c r="CS27" s="95"/>
      <c r="CT27" s="95"/>
      <c r="CU27" s="96"/>
      <c r="CV27" s="96"/>
      <c r="CW27" s="96"/>
      <c r="CX27" s="96"/>
      <c r="CY27" s="96"/>
      <c r="CZ27" s="93">
        <f t="shared" si="34"/>
        <v>0</v>
      </c>
      <c r="DA27" s="93">
        <f t="shared" si="35"/>
        <v>0</v>
      </c>
      <c r="DB27" s="95">
        <f t="shared" si="46"/>
        <v>221959.68848063995</v>
      </c>
      <c r="DC27" s="100">
        <f t="shared" si="47"/>
        <v>221960</v>
      </c>
      <c r="DD27" s="100"/>
      <c r="DE27" s="100">
        <f t="shared" si="38"/>
        <v>-221960</v>
      </c>
      <c r="DF27" s="13"/>
      <c r="DG27" s="2"/>
      <c r="DH27" s="46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</row>
    <row r="28" spans="1:156" s="1" customFormat="1" hidden="1" x14ac:dyDescent="0.2">
      <c r="A28" s="88">
        <f t="shared" si="3"/>
        <v>509653</v>
      </c>
      <c r="B28" s="21">
        <v>9653</v>
      </c>
      <c r="C28" s="21" t="s">
        <v>98</v>
      </c>
      <c r="D28" s="81" t="s">
        <v>111</v>
      </c>
      <c r="E28" s="115" t="s">
        <v>202</v>
      </c>
      <c r="F28" s="85">
        <v>3</v>
      </c>
      <c r="G28" s="84"/>
      <c r="H28" s="85"/>
      <c r="I28" s="86"/>
      <c r="J28" s="85"/>
      <c r="K28" s="21" t="s">
        <v>10</v>
      </c>
      <c r="L28" s="21"/>
      <c r="M28" s="87"/>
      <c r="N28" s="88"/>
      <c r="O28" s="88">
        <v>7</v>
      </c>
      <c r="P28" s="89">
        <f t="shared" si="39"/>
        <v>5700.7259999999997</v>
      </c>
      <c r="Q28" s="90">
        <f t="shared" si="40"/>
        <v>19002.419999999998</v>
      </c>
      <c r="R28" s="90">
        <f t="shared" si="41"/>
        <v>26397.963600000003</v>
      </c>
      <c r="S28" s="91"/>
      <c r="T28" s="92"/>
      <c r="U28" s="32"/>
      <c r="V28" s="32"/>
      <c r="W28" s="32"/>
      <c r="X28" s="93"/>
      <c r="Y28" s="32"/>
      <c r="Z28" s="32"/>
      <c r="AA28" s="32">
        <v>0</v>
      </c>
      <c r="AB28" s="32">
        <v>0</v>
      </c>
      <c r="AC28" s="32"/>
      <c r="AD28" s="32">
        <v>0</v>
      </c>
      <c r="AE28" s="32">
        <v>0</v>
      </c>
      <c r="AF28" s="32">
        <v>0</v>
      </c>
      <c r="AG28" s="32">
        <v>0</v>
      </c>
      <c r="AH28" s="32">
        <v>0</v>
      </c>
      <c r="AI28" s="32">
        <v>0</v>
      </c>
      <c r="AJ28" s="93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94">
        <f t="shared" si="7"/>
        <v>0</v>
      </c>
      <c r="AV28" s="95">
        <f t="shared" si="8"/>
        <v>0</v>
      </c>
      <c r="AW28" s="95">
        <f t="shared" si="9"/>
        <v>0</v>
      </c>
      <c r="AX28" s="95">
        <f t="shared" si="10"/>
        <v>0</v>
      </c>
      <c r="AY28" s="95">
        <f t="shared" si="11"/>
        <v>0</v>
      </c>
      <c r="AZ28" s="95">
        <f t="shared" si="12"/>
        <v>0</v>
      </c>
      <c r="BA28" s="95">
        <f t="shared" si="13"/>
        <v>0</v>
      </c>
      <c r="BB28" s="95">
        <f t="shared" si="42"/>
        <v>0</v>
      </c>
      <c r="BC28" s="96">
        <f t="shared" si="14"/>
        <v>0</v>
      </c>
      <c r="BD28" s="96">
        <f t="shared" si="15"/>
        <v>0</v>
      </c>
      <c r="BE28" s="96">
        <f t="shared" si="16"/>
        <v>0</v>
      </c>
      <c r="BF28" s="96">
        <f t="shared" si="17"/>
        <v>0</v>
      </c>
      <c r="BG28" s="96">
        <f t="shared" si="18"/>
        <v>0</v>
      </c>
      <c r="BH28" s="96">
        <f t="shared" si="19"/>
        <v>0</v>
      </c>
      <c r="BI28" s="96">
        <f t="shared" si="20"/>
        <v>0</v>
      </c>
      <c r="BJ28" s="96">
        <f t="shared" si="21"/>
        <v>0</v>
      </c>
      <c r="BK28" s="96">
        <f t="shared" si="22"/>
        <v>0</v>
      </c>
      <c r="BL28" s="96">
        <f t="shared" si="23"/>
        <v>0</v>
      </c>
      <c r="BM28" s="96">
        <f t="shared" si="24"/>
        <v>0</v>
      </c>
      <c r="BN28" s="96"/>
      <c r="BO28" s="95"/>
      <c r="BP28" s="95">
        <f t="shared" si="25"/>
        <v>0</v>
      </c>
      <c r="BQ28" s="95"/>
      <c r="BR28" s="95"/>
      <c r="BS28" s="95">
        <f t="shared" si="26"/>
        <v>0</v>
      </c>
      <c r="BT28" s="95">
        <f t="shared" si="27"/>
        <v>0</v>
      </c>
      <c r="BU28" s="95">
        <f t="shared" si="28"/>
        <v>0</v>
      </c>
      <c r="BV28" s="95">
        <f t="shared" si="29"/>
        <v>0</v>
      </c>
      <c r="BW28" s="95"/>
      <c r="BX28" s="95"/>
      <c r="BY28" s="95"/>
      <c r="BZ28" s="95"/>
      <c r="CA28" s="95">
        <f t="shared" si="43"/>
        <v>0</v>
      </c>
      <c r="CB28" s="97">
        <f t="shared" si="30"/>
        <v>0</v>
      </c>
      <c r="CC28" s="95"/>
      <c r="CD28" s="95"/>
      <c r="CE28" s="95">
        <f t="shared" si="31"/>
        <v>0</v>
      </c>
      <c r="CF28" s="95">
        <f t="shared" si="44"/>
        <v>0</v>
      </c>
      <c r="CG28" s="113"/>
      <c r="CH28" s="22"/>
      <c r="CI28" s="98">
        <f t="shared" si="32"/>
        <v>0</v>
      </c>
      <c r="CJ28" s="95">
        <f t="shared" si="33"/>
        <v>0</v>
      </c>
      <c r="CK28" s="95">
        <f t="shared" si="45"/>
        <v>0</v>
      </c>
      <c r="CL28" s="95"/>
      <c r="CM28" s="99"/>
      <c r="CN28" s="99"/>
      <c r="CO28" s="110"/>
      <c r="CP28" s="99"/>
      <c r="CQ28" s="99"/>
      <c r="CR28" s="99"/>
      <c r="CS28" s="95"/>
      <c r="CT28" s="95"/>
      <c r="CU28" s="96"/>
      <c r="CV28" s="96"/>
      <c r="CW28" s="96"/>
      <c r="CX28" s="96"/>
      <c r="CY28" s="96"/>
      <c r="CZ28" s="93">
        <f t="shared" si="34"/>
        <v>0</v>
      </c>
      <c r="DA28" s="93">
        <f t="shared" si="35"/>
        <v>0</v>
      </c>
      <c r="DB28" s="95">
        <f t="shared" si="46"/>
        <v>0</v>
      </c>
      <c r="DC28" s="100">
        <f t="shared" si="47"/>
        <v>0</v>
      </c>
      <c r="DD28" s="100"/>
      <c r="DE28" s="100">
        <f t="shared" si="38"/>
        <v>0</v>
      </c>
      <c r="DF28" s="13"/>
      <c r="DG28" s="2"/>
      <c r="DH28" s="46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</row>
    <row r="29" spans="1:156" s="1" customFormat="1" hidden="1" x14ac:dyDescent="0.2">
      <c r="A29" s="88">
        <f t="shared" si="3"/>
        <v>509643</v>
      </c>
      <c r="B29" s="21">
        <v>9643</v>
      </c>
      <c r="C29" s="21" t="s">
        <v>98</v>
      </c>
      <c r="D29" s="81" t="s">
        <v>104</v>
      </c>
      <c r="E29" s="115" t="s">
        <v>202</v>
      </c>
      <c r="F29" s="85">
        <v>3</v>
      </c>
      <c r="G29" s="84"/>
      <c r="H29" s="85"/>
      <c r="I29" s="86"/>
      <c r="J29" s="85"/>
      <c r="K29" s="21" t="s">
        <v>10</v>
      </c>
      <c r="L29" s="21"/>
      <c r="M29" s="87"/>
      <c r="N29" s="88"/>
      <c r="O29" s="88">
        <v>9</v>
      </c>
      <c r="P29" s="89">
        <f t="shared" si="39"/>
        <v>5700.7259999999997</v>
      </c>
      <c r="Q29" s="90">
        <f t="shared" si="40"/>
        <v>19002.419999999998</v>
      </c>
      <c r="R29" s="90">
        <f t="shared" si="41"/>
        <v>26397.963600000003</v>
      </c>
      <c r="S29" s="91"/>
      <c r="T29" s="92"/>
      <c r="U29" s="32"/>
      <c r="V29" s="32"/>
      <c r="W29" s="32"/>
      <c r="X29" s="93"/>
      <c r="Y29" s="32"/>
      <c r="Z29" s="32"/>
      <c r="AA29" s="32">
        <v>0</v>
      </c>
      <c r="AB29" s="32">
        <v>0</v>
      </c>
      <c r="AC29" s="32"/>
      <c r="AD29" s="32">
        <v>0</v>
      </c>
      <c r="AE29" s="32">
        <v>0</v>
      </c>
      <c r="AF29" s="32">
        <v>0</v>
      </c>
      <c r="AG29" s="32">
        <v>0</v>
      </c>
      <c r="AH29" s="32">
        <v>0</v>
      </c>
      <c r="AI29" s="32">
        <v>0</v>
      </c>
      <c r="AJ29" s="93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94">
        <f t="shared" si="7"/>
        <v>0</v>
      </c>
      <c r="AV29" s="95">
        <f t="shared" si="8"/>
        <v>0</v>
      </c>
      <c r="AW29" s="95">
        <f t="shared" si="9"/>
        <v>0</v>
      </c>
      <c r="AX29" s="95">
        <f t="shared" si="10"/>
        <v>0</v>
      </c>
      <c r="AY29" s="95">
        <f t="shared" si="11"/>
        <v>0</v>
      </c>
      <c r="AZ29" s="95">
        <f t="shared" si="12"/>
        <v>0</v>
      </c>
      <c r="BA29" s="95">
        <f t="shared" si="13"/>
        <v>0</v>
      </c>
      <c r="BB29" s="95">
        <f t="shared" si="42"/>
        <v>0</v>
      </c>
      <c r="BC29" s="96">
        <f t="shared" si="14"/>
        <v>0</v>
      </c>
      <c r="BD29" s="96">
        <f t="shared" si="15"/>
        <v>0</v>
      </c>
      <c r="BE29" s="96">
        <f t="shared" si="16"/>
        <v>0</v>
      </c>
      <c r="BF29" s="96">
        <f t="shared" si="17"/>
        <v>0</v>
      </c>
      <c r="BG29" s="96">
        <f t="shared" si="18"/>
        <v>0</v>
      </c>
      <c r="BH29" s="96">
        <f t="shared" si="19"/>
        <v>0</v>
      </c>
      <c r="BI29" s="96">
        <f t="shared" si="20"/>
        <v>0</v>
      </c>
      <c r="BJ29" s="96">
        <f t="shared" si="21"/>
        <v>0</v>
      </c>
      <c r="BK29" s="96">
        <f t="shared" si="22"/>
        <v>0</v>
      </c>
      <c r="BL29" s="96">
        <f t="shared" si="23"/>
        <v>0</v>
      </c>
      <c r="BM29" s="96">
        <f t="shared" si="24"/>
        <v>0</v>
      </c>
      <c r="BN29" s="96"/>
      <c r="BO29" s="95"/>
      <c r="BP29" s="95">
        <f t="shared" si="25"/>
        <v>0</v>
      </c>
      <c r="BQ29" s="95"/>
      <c r="BR29" s="95"/>
      <c r="BS29" s="95">
        <f t="shared" si="26"/>
        <v>0</v>
      </c>
      <c r="BT29" s="95">
        <f t="shared" si="27"/>
        <v>0</v>
      </c>
      <c r="BU29" s="95">
        <f t="shared" si="28"/>
        <v>0</v>
      </c>
      <c r="BV29" s="95">
        <f t="shared" si="29"/>
        <v>0</v>
      </c>
      <c r="BW29" s="95"/>
      <c r="BX29" s="95"/>
      <c r="BY29" s="95"/>
      <c r="BZ29" s="95"/>
      <c r="CA29" s="95">
        <f t="shared" si="43"/>
        <v>0</v>
      </c>
      <c r="CB29" s="97">
        <f t="shared" si="30"/>
        <v>0</v>
      </c>
      <c r="CC29" s="95"/>
      <c r="CD29" s="95"/>
      <c r="CE29" s="95">
        <f t="shared" si="31"/>
        <v>0</v>
      </c>
      <c r="CF29" s="95">
        <f t="shared" si="44"/>
        <v>0</v>
      </c>
      <c r="CG29" s="113"/>
      <c r="CH29" s="22"/>
      <c r="CI29" s="98">
        <f t="shared" si="32"/>
        <v>0</v>
      </c>
      <c r="CJ29" s="95">
        <f t="shared" si="33"/>
        <v>0</v>
      </c>
      <c r="CK29" s="95">
        <f t="shared" si="45"/>
        <v>0</v>
      </c>
      <c r="CL29" s="95"/>
      <c r="CM29" s="99"/>
      <c r="CN29" s="99"/>
      <c r="CO29" s="110"/>
      <c r="CP29" s="99"/>
      <c r="CQ29" s="99"/>
      <c r="CR29" s="99"/>
      <c r="CS29" s="95"/>
      <c r="CT29" s="95"/>
      <c r="CU29" s="96"/>
      <c r="CV29" s="96"/>
      <c r="CW29" s="96"/>
      <c r="CX29" s="96"/>
      <c r="CY29" s="96"/>
      <c r="CZ29" s="93">
        <f t="shared" si="34"/>
        <v>0</v>
      </c>
      <c r="DA29" s="93">
        <f t="shared" si="35"/>
        <v>0</v>
      </c>
      <c r="DB29" s="95">
        <f t="shared" si="46"/>
        <v>0</v>
      </c>
      <c r="DC29" s="100">
        <f t="shared" si="47"/>
        <v>0</v>
      </c>
      <c r="DD29" s="100"/>
      <c r="DE29" s="100">
        <f t="shared" si="38"/>
        <v>0</v>
      </c>
      <c r="DF29" s="13"/>
      <c r="DG29" s="2"/>
      <c r="DH29" s="46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</row>
    <row r="30" spans="1:156" s="1" customFormat="1" hidden="1" x14ac:dyDescent="0.2">
      <c r="A30" s="88">
        <f t="shared" si="3"/>
        <v>509654</v>
      </c>
      <c r="B30" s="21">
        <v>9654</v>
      </c>
      <c r="C30" s="21" t="s">
        <v>98</v>
      </c>
      <c r="D30" s="84" t="s">
        <v>112</v>
      </c>
      <c r="E30" s="115" t="s">
        <v>202</v>
      </c>
      <c r="F30" s="101">
        <v>0</v>
      </c>
      <c r="G30" s="84"/>
      <c r="H30" s="85"/>
      <c r="I30" s="86"/>
      <c r="J30" s="85"/>
      <c r="K30" s="21" t="s">
        <v>10</v>
      </c>
      <c r="L30" s="21"/>
      <c r="M30" s="87"/>
      <c r="N30" s="88"/>
      <c r="O30" s="88">
        <v>0</v>
      </c>
      <c r="P30" s="89">
        <f t="shared" si="39"/>
        <v>5700.7259999999997</v>
      </c>
      <c r="Q30" s="90">
        <f t="shared" si="40"/>
        <v>19002.419999999998</v>
      </c>
      <c r="R30" s="90">
        <f t="shared" si="41"/>
        <v>26397.963600000003</v>
      </c>
      <c r="S30" s="91"/>
      <c r="T30" s="92"/>
      <c r="U30" s="32"/>
      <c r="V30" s="32"/>
      <c r="W30" s="32"/>
      <c r="X30" s="93"/>
      <c r="Y30" s="32"/>
      <c r="Z30" s="32"/>
      <c r="AA30" s="32">
        <v>0</v>
      </c>
      <c r="AB30" s="32">
        <v>0</v>
      </c>
      <c r="AC30" s="32"/>
      <c r="AD30" s="32">
        <v>0</v>
      </c>
      <c r="AE30" s="32">
        <v>0</v>
      </c>
      <c r="AF30" s="32">
        <v>0</v>
      </c>
      <c r="AG30" s="32">
        <v>0</v>
      </c>
      <c r="AH30" s="32">
        <v>0</v>
      </c>
      <c r="AI30" s="32">
        <v>0</v>
      </c>
      <c r="AJ30" s="93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94">
        <f t="shared" si="7"/>
        <v>0</v>
      </c>
      <c r="AV30" s="95">
        <f t="shared" si="8"/>
        <v>0</v>
      </c>
      <c r="AW30" s="95">
        <f t="shared" si="9"/>
        <v>0</v>
      </c>
      <c r="AX30" s="95">
        <f t="shared" si="10"/>
        <v>0</v>
      </c>
      <c r="AY30" s="95">
        <f t="shared" si="11"/>
        <v>0</v>
      </c>
      <c r="AZ30" s="95">
        <f t="shared" si="12"/>
        <v>0</v>
      </c>
      <c r="BA30" s="95">
        <f t="shared" si="13"/>
        <v>0</v>
      </c>
      <c r="BB30" s="95">
        <f t="shared" si="42"/>
        <v>0</v>
      </c>
      <c r="BC30" s="96">
        <f t="shared" si="14"/>
        <v>0</v>
      </c>
      <c r="BD30" s="96">
        <f t="shared" si="15"/>
        <v>0</v>
      </c>
      <c r="BE30" s="96">
        <f t="shared" si="16"/>
        <v>0</v>
      </c>
      <c r="BF30" s="96">
        <f t="shared" si="17"/>
        <v>0</v>
      </c>
      <c r="BG30" s="96">
        <f t="shared" si="18"/>
        <v>0</v>
      </c>
      <c r="BH30" s="96">
        <f t="shared" si="19"/>
        <v>0</v>
      </c>
      <c r="BI30" s="96">
        <f t="shared" si="20"/>
        <v>0</v>
      </c>
      <c r="BJ30" s="96">
        <f t="shared" si="21"/>
        <v>0</v>
      </c>
      <c r="BK30" s="96">
        <f t="shared" si="22"/>
        <v>0</v>
      </c>
      <c r="BL30" s="96">
        <f t="shared" si="23"/>
        <v>0</v>
      </c>
      <c r="BM30" s="96">
        <f t="shared" si="24"/>
        <v>0</v>
      </c>
      <c r="BN30" s="96"/>
      <c r="BO30" s="95"/>
      <c r="BP30" s="95">
        <f t="shared" si="25"/>
        <v>0</v>
      </c>
      <c r="BQ30" s="95"/>
      <c r="BR30" s="95"/>
      <c r="BS30" s="95">
        <f t="shared" si="26"/>
        <v>0</v>
      </c>
      <c r="BT30" s="95">
        <f t="shared" si="27"/>
        <v>0</v>
      </c>
      <c r="BU30" s="95">
        <f t="shared" si="28"/>
        <v>0</v>
      </c>
      <c r="BV30" s="95">
        <f t="shared" si="29"/>
        <v>0</v>
      </c>
      <c r="BW30" s="95"/>
      <c r="BX30" s="95"/>
      <c r="BY30" s="95"/>
      <c r="BZ30" s="95"/>
      <c r="CA30" s="95">
        <f t="shared" si="43"/>
        <v>0</v>
      </c>
      <c r="CB30" s="97">
        <f t="shared" si="30"/>
        <v>0</v>
      </c>
      <c r="CC30" s="95"/>
      <c r="CD30" s="95"/>
      <c r="CE30" s="95">
        <f t="shared" si="31"/>
        <v>0</v>
      </c>
      <c r="CF30" s="95">
        <f t="shared" si="44"/>
        <v>0</v>
      </c>
      <c r="CG30" s="113"/>
      <c r="CH30" s="22"/>
      <c r="CI30" s="98">
        <f t="shared" si="32"/>
        <v>0</v>
      </c>
      <c r="CJ30" s="95">
        <f t="shared" si="33"/>
        <v>0</v>
      </c>
      <c r="CK30" s="95">
        <f t="shared" si="45"/>
        <v>0</v>
      </c>
      <c r="CL30" s="95"/>
      <c r="CM30" s="99"/>
      <c r="CN30" s="99"/>
      <c r="CO30" s="110"/>
      <c r="CP30" s="99"/>
      <c r="CQ30" s="99"/>
      <c r="CR30" s="99"/>
      <c r="CS30" s="95"/>
      <c r="CT30" s="95"/>
      <c r="CU30" s="96"/>
      <c r="CV30" s="96"/>
      <c r="CW30" s="96"/>
      <c r="CX30" s="96"/>
      <c r="CY30" s="96"/>
      <c r="CZ30" s="93">
        <f t="shared" si="34"/>
        <v>0</v>
      </c>
      <c r="DA30" s="93">
        <f t="shared" si="35"/>
        <v>0</v>
      </c>
      <c r="DB30" s="95">
        <f t="shared" si="46"/>
        <v>0</v>
      </c>
      <c r="DC30" s="100">
        <f t="shared" si="47"/>
        <v>0</v>
      </c>
      <c r="DD30" s="100"/>
      <c r="DE30" s="100">
        <f t="shared" si="38"/>
        <v>0</v>
      </c>
      <c r="DF30" s="13"/>
      <c r="DG30" s="2"/>
      <c r="DH30" s="46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</row>
    <row r="31" spans="1:156" s="1" customFormat="1" hidden="1" x14ac:dyDescent="0.2">
      <c r="A31" s="88">
        <f t="shared" si="3"/>
        <v>509656</v>
      </c>
      <c r="B31" s="21">
        <v>9656</v>
      </c>
      <c r="C31" s="21" t="s">
        <v>98</v>
      </c>
      <c r="D31" s="84" t="s">
        <v>113</v>
      </c>
      <c r="E31" s="115" t="s">
        <v>202</v>
      </c>
      <c r="F31" s="101">
        <v>0</v>
      </c>
      <c r="G31" s="84"/>
      <c r="H31" s="85"/>
      <c r="I31" s="86"/>
      <c r="J31" s="85"/>
      <c r="K31" s="21" t="s">
        <v>10</v>
      </c>
      <c r="L31" s="21"/>
      <c r="M31" s="87"/>
      <c r="N31" s="88"/>
      <c r="O31" s="88">
        <v>0</v>
      </c>
      <c r="P31" s="89">
        <f t="shared" si="39"/>
        <v>5700.7259999999997</v>
      </c>
      <c r="Q31" s="90">
        <f t="shared" si="40"/>
        <v>19002.419999999998</v>
      </c>
      <c r="R31" s="90">
        <f t="shared" si="41"/>
        <v>26397.963600000003</v>
      </c>
      <c r="S31" s="91"/>
      <c r="T31" s="92"/>
      <c r="U31" s="32"/>
      <c r="V31" s="32"/>
      <c r="W31" s="32"/>
      <c r="X31" s="93"/>
      <c r="Y31" s="32"/>
      <c r="Z31" s="32"/>
      <c r="AA31" s="32">
        <v>0</v>
      </c>
      <c r="AB31" s="32">
        <v>0</v>
      </c>
      <c r="AC31" s="32"/>
      <c r="AD31" s="32">
        <v>0</v>
      </c>
      <c r="AE31" s="32">
        <v>0</v>
      </c>
      <c r="AF31" s="32">
        <v>0</v>
      </c>
      <c r="AG31" s="32">
        <v>0</v>
      </c>
      <c r="AH31" s="32">
        <v>0</v>
      </c>
      <c r="AI31" s="32">
        <v>0</v>
      </c>
      <c r="AJ31" s="93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94">
        <f t="shared" si="7"/>
        <v>0</v>
      </c>
      <c r="AV31" s="95">
        <f t="shared" si="8"/>
        <v>0</v>
      </c>
      <c r="AW31" s="95">
        <f t="shared" si="9"/>
        <v>0</v>
      </c>
      <c r="AX31" s="95">
        <f t="shared" si="10"/>
        <v>0</v>
      </c>
      <c r="AY31" s="95">
        <f t="shared" si="11"/>
        <v>0</v>
      </c>
      <c r="AZ31" s="95">
        <f t="shared" si="12"/>
        <v>0</v>
      </c>
      <c r="BA31" s="95">
        <f t="shared" si="13"/>
        <v>0</v>
      </c>
      <c r="BB31" s="95">
        <f t="shared" si="42"/>
        <v>0</v>
      </c>
      <c r="BC31" s="96">
        <f t="shared" si="14"/>
        <v>0</v>
      </c>
      <c r="BD31" s="96">
        <f t="shared" si="15"/>
        <v>0</v>
      </c>
      <c r="BE31" s="96">
        <f t="shared" si="16"/>
        <v>0</v>
      </c>
      <c r="BF31" s="96">
        <f t="shared" si="17"/>
        <v>0</v>
      </c>
      <c r="BG31" s="96">
        <f t="shared" si="18"/>
        <v>0</v>
      </c>
      <c r="BH31" s="96">
        <f t="shared" si="19"/>
        <v>0</v>
      </c>
      <c r="BI31" s="96">
        <f t="shared" si="20"/>
        <v>0</v>
      </c>
      <c r="BJ31" s="96">
        <f t="shared" si="21"/>
        <v>0</v>
      </c>
      <c r="BK31" s="96">
        <f t="shared" si="22"/>
        <v>0</v>
      </c>
      <c r="BL31" s="96">
        <f t="shared" si="23"/>
        <v>0</v>
      </c>
      <c r="BM31" s="96">
        <f t="shared" si="24"/>
        <v>0</v>
      </c>
      <c r="BN31" s="96"/>
      <c r="BO31" s="95"/>
      <c r="BP31" s="95">
        <f t="shared" si="25"/>
        <v>0</v>
      </c>
      <c r="BQ31" s="95"/>
      <c r="BR31" s="95"/>
      <c r="BS31" s="95">
        <f t="shared" si="26"/>
        <v>0</v>
      </c>
      <c r="BT31" s="95">
        <f t="shared" si="27"/>
        <v>0</v>
      </c>
      <c r="BU31" s="95">
        <f t="shared" si="28"/>
        <v>0</v>
      </c>
      <c r="BV31" s="95">
        <f t="shared" si="29"/>
        <v>0</v>
      </c>
      <c r="BW31" s="95"/>
      <c r="BX31" s="95"/>
      <c r="BY31" s="95"/>
      <c r="BZ31" s="95"/>
      <c r="CA31" s="95">
        <f t="shared" si="43"/>
        <v>0</v>
      </c>
      <c r="CB31" s="97">
        <f t="shared" si="30"/>
        <v>0</v>
      </c>
      <c r="CC31" s="95"/>
      <c r="CD31" s="95"/>
      <c r="CE31" s="95">
        <f t="shared" si="31"/>
        <v>0</v>
      </c>
      <c r="CF31" s="95">
        <f t="shared" si="44"/>
        <v>0</v>
      </c>
      <c r="CG31" s="113"/>
      <c r="CH31" s="22"/>
      <c r="CI31" s="98">
        <f t="shared" si="32"/>
        <v>0</v>
      </c>
      <c r="CJ31" s="95">
        <f t="shared" si="33"/>
        <v>0</v>
      </c>
      <c r="CK31" s="95">
        <f t="shared" si="45"/>
        <v>0</v>
      </c>
      <c r="CL31" s="95"/>
      <c r="CM31" s="99"/>
      <c r="CN31" s="99"/>
      <c r="CO31" s="110"/>
      <c r="CP31" s="99"/>
      <c r="CQ31" s="99"/>
      <c r="CR31" s="99"/>
      <c r="CS31" s="95"/>
      <c r="CT31" s="95"/>
      <c r="CU31" s="96"/>
      <c r="CV31" s="96"/>
      <c r="CW31" s="96"/>
      <c r="CX31" s="96"/>
      <c r="CY31" s="96"/>
      <c r="CZ31" s="93">
        <f t="shared" si="34"/>
        <v>0</v>
      </c>
      <c r="DA31" s="93">
        <f t="shared" si="35"/>
        <v>0</v>
      </c>
      <c r="DB31" s="95">
        <f t="shared" si="46"/>
        <v>0</v>
      </c>
      <c r="DC31" s="100">
        <f t="shared" si="47"/>
        <v>0</v>
      </c>
      <c r="DD31" s="100"/>
      <c r="DE31" s="100">
        <f t="shared" si="38"/>
        <v>0</v>
      </c>
      <c r="DF31" s="13"/>
      <c r="DG31" s="2"/>
      <c r="DH31" s="46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</row>
    <row r="32" spans="1:156" s="1" customFormat="1" x14ac:dyDescent="0.2">
      <c r="A32" s="88">
        <f t="shared" si="3"/>
        <v>509645</v>
      </c>
      <c r="B32" s="21">
        <v>9645</v>
      </c>
      <c r="C32" s="21" t="s">
        <v>98</v>
      </c>
      <c r="D32" s="84" t="s">
        <v>106</v>
      </c>
      <c r="E32" s="115" t="s">
        <v>202</v>
      </c>
      <c r="F32" s="85">
        <v>3</v>
      </c>
      <c r="G32" s="84"/>
      <c r="H32" s="85"/>
      <c r="I32" s="86"/>
      <c r="J32" s="85"/>
      <c r="K32" s="21" t="s">
        <v>10</v>
      </c>
      <c r="L32" s="21"/>
      <c r="M32" s="87"/>
      <c r="N32" s="88"/>
      <c r="O32" s="88">
        <v>10</v>
      </c>
      <c r="P32" s="89">
        <f t="shared" si="39"/>
        <v>5700.7259999999997</v>
      </c>
      <c r="Q32" s="90">
        <f t="shared" si="40"/>
        <v>19002.419999999998</v>
      </c>
      <c r="R32" s="90">
        <f t="shared" si="41"/>
        <v>26397.963600000003</v>
      </c>
      <c r="S32" s="91"/>
      <c r="T32" s="92"/>
      <c r="U32" s="32"/>
      <c r="V32" s="32"/>
      <c r="W32" s="32"/>
      <c r="X32" s="93"/>
      <c r="Y32" s="32"/>
      <c r="Z32" s="32"/>
      <c r="AA32" s="32">
        <v>15</v>
      </c>
      <c r="AB32" s="32">
        <v>0</v>
      </c>
      <c r="AC32" s="32"/>
      <c r="AD32" s="32">
        <v>0</v>
      </c>
      <c r="AE32" s="32">
        <v>0</v>
      </c>
      <c r="AF32" s="32">
        <v>0</v>
      </c>
      <c r="AG32" s="32">
        <v>0</v>
      </c>
      <c r="AH32" s="32">
        <v>0</v>
      </c>
      <c r="AI32" s="32">
        <v>1.875</v>
      </c>
      <c r="AJ32" s="93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94">
        <f t="shared" si="7"/>
        <v>0</v>
      </c>
      <c r="AV32" s="95">
        <f t="shared" si="8"/>
        <v>0</v>
      </c>
      <c r="AW32" s="95">
        <f t="shared" si="9"/>
        <v>0</v>
      </c>
      <c r="AX32" s="95">
        <f t="shared" si="10"/>
        <v>0</v>
      </c>
      <c r="AY32" s="95">
        <f t="shared" si="11"/>
        <v>0</v>
      </c>
      <c r="AZ32" s="95">
        <f t="shared" si="12"/>
        <v>0</v>
      </c>
      <c r="BA32" s="95">
        <f t="shared" si="13"/>
        <v>0</v>
      </c>
      <c r="BB32" s="95">
        <f t="shared" si="42"/>
        <v>35629.537499999999</v>
      </c>
      <c r="BC32" s="96">
        <f t="shared" si="14"/>
        <v>0</v>
      </c>
      <c r="BD32" s="96">
        <f t="shared" si="15"/>
        <v>0</v>
      </c>
      <c r="BE32" s="96">
        <f t="shared" si="16"/>
        <v>0</v>
      </c>
      <c r="BF32" s="96">
        <f t="shared" si="17"/>
        <v>0</v>
      </c>
      <c r="BG32" s="96">
        <f t="shared" si="18"/>
        <v>0</v>
      </c>
      <c r="BH32" s="96">
        <f t="shared" si="19"/>
        <v>0</v>
      </c>
      <c r="BI32" s="96">
        <f t="shared" si="20"/>
        <v>35629.537499999999</v>
      </c>
      <c r="BJ32" s="96">
        <f t="shared" si="21"/>
        <v>0</v>
      </c>
      <c r="BK32" s="96">
        <f t="shared" si="22"/>
        <v>0</v>
      </c>
      <c r="BL32" s="96">
        <f t="shared" si="23"/>
        <v>0</v>
      </c>
      <c r="BM32" s="96">
        <f t="shared" si="24"/>
        <v>0</v>
      </c>
      <c r="BN32" s="96"/>
      <c r="BO32" s="95"/>
      <c r="BP32" s="95">
        <f t="shared" si="25"/>
        <v>0</v>
      </c>
      <c r="BQ32" s="95"/>
      <c r="BR32" s="95"/>
      <c r="BS32" s="95">
        <f t="shared" si="26"/>
        <v>0</v>
      </c>
      <c r="BT32" s="95">
        <f t="shared" si="27"/>
        <v>0</v>
      </c>
      <c r="BU32" s="95">
        <f t="shared" si="28"/>
        <v>0</v>
      </c>
      <c r="BV32" s="95">
        <f t="shared" si="29"/>
        <v>0</v>
      </c>
      <c r="BW32" s="95"/>
      <c r="BX32" s="95"/>
      <c r="BY32" s="95"/>
      <c r="BZ32" s="95"/>
      <c r="CA32" s="95">
        <f t="shared" si="43"/>
        <v>0</v>
      </c>
      <c r="CB32" s="97">
        <f t="shared" si="30"/>
        <v>71259.074999999997</v>
      </c>
      <c r="CC32" s="95"/>
      <c r="CD32" s="95"/>
      <c r="CE32" s="95">
        <f t="shared" si="31"/>
        <v>-2137.77225</v>
      </c>
      <c r="CF32" s="95">
        <f t="shared" si="44"/>
        <v>-1068.886125</v>
      </c>
      <c r="CG32" s="113"/>
      <c r="CH32" s="22"/>
      <c r="CI32" s="98">
        <f t="shared" si="32"/>
        <v>98993.106989999986</v>
      </c>
      <c r="CJ32" s="95">
        <f t="shared" si="33"/>
        <v>-2969.7932096999994</v>
      </c>
      <c r="CK32" s="95">
        <f t="shared" si="45"/>
        <v>-1484.8966048499997</v>
      </c>
      <c r="CL32" s="95"/>
      <c r="CM32" s="99"/>
      <c r="CN32" s="99"/>
      <c r="CO32" s="110"/>
      <c r="CP32" s="99"/>
      <c r="CQ32" s="99"/>
      <c r="CR32" s="99"/>
      <c r="CS32" s="95"/>
      <c r="CT32" s="95"/>
      <c r="CU32" s="96"/>
      <c r="CV32" s="96"/>
      <c r="CW32" s="96"/>
      <c r="CX32" s="96"/>
      <c r="CY32" s="96"/>
      <c r="CZ32" s="93">
        <f t="shared" si="34"/>
        <v>0</v>
      </c>
      <c r="DA32" s="93">
        <f t="shared" si="35"/>
        <v>0</v>
      </c>
      <c r="DB32" s="95">
        <f t="shared" si="46"/>
        <v>162590.83380045</v>
      </c>
      <c r="DC32" s="100">
        <f t="shared" si="47"/>
        <v>162591</v>
      </c>
      <c r="DD32" s="100"/>
      <c r="DE32" s="100">
        <f t="shared" si="38"/>
        <v>-162591</v>
      </c>
      <c r="DF32" s="13"/>
      <c r="DG32" s="2"/>
      <c r="DH32" s="46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</row>
    <row r="33" spans="1:156" s="1" customFormat="1" hidden="1" x14ac:dyDescent="0.2">
      <c r="A33" s="88">
        <f t="shared" si="3"/>
        <v>509658</v>
      </c>
      <c r="B33" s="21">
        <v>9658</v>
      </c>
      <c r="C33" s="21" t="s">
        <v>98</v>
      </c>
      <c r="D33" s="84" t="s">
        <v>114</v>
      </c>
      <c r="E33" s="115" t="s">
        <v>202</v>
      </c>
      <c r="F33" s="85">
        <v>3</v>
      </c>
      <c r="G33" s="84"/>
      <c r="H33" s="85"/>
      <c r="I33" s="86"/>
      <c r="J33" s="85"/>
      <c r="K33" s="21" t="s">
        <v>10</v>
      </c>
      <c r="L33" s="21"/>
      <c r="M33" s="87"/>
      <c r="N33" s="88"/>
      <c r="O33" s="88">
        <v>5</v>
      </c>
      <c r="P33" s="89">
        <f t="shared" si="39"/>
        <v>5700.7259999999997</v>
      </c>
      <c r="Q33" s="90">
        <f t="shared" si="40"/>
        <v>19002.419999999998</v>
      </c>
      <c r="R33" s="90">
        <f t="shared" si="41"/>
        <v>26397.963600000003</v>
      </c>
      <c r="S33" s="91"/>
      <c r="T33" s="92"/>
      <c r="U33" s="32"/>
      <c r="V33" s="32"/>
      <c r="W33" s="32"/>
      <c r="X33" s="93"/>
      <c r="Y33" s="32"/>
      <c r="Z33" s="32"/>
      <c r="AA33" s="32">
        <v>0</v>
      </c>
      <c r="AB33" s="32">
        <v>0</v>
      </c>
      <c r="AC33" s="32"/>
      <c r="AD33" s="32">
        <v>0</v>
      </c>
      <c r="AE33" s="32">
        <v>0</v>
      </c>
      <c r="AF33" s="32">
        <v>0</v>
      </c>
      <c r="AG33" s="32">
        <v>0</v>
      </c>
      <c r="AH33" s="32">
        <v>0</v>
      </c>
      <c r="AI33" s="32">
        <v>0</v>
      </c>
      <c r="AJ33" s="93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94">
        <f t="shared" si="7"/>
        <v>0</v>
      </c>
      <c r="AV33" s="95">
        <f t="shared" si="8"/>
        <v>0</v>
      </c>
      <c r="AW33" s="95">
        <f t="shared" si="9"/>
        <v>0</v>
      </c>
      <c r="AX33" s="95">
        <f t="shared" si="10"/>
        <v>0</v>
      </c>
      <c r="AY33" s="95">
        <f t="shared" si="11"/>
        <v>0</v>
      </c>
      <c r="AZ33" s="95">
        <f t="shared" si="12"/>
        <v>0</v>
      </c>
      <c r="BA33" s="95">
        <f t="shared" si="13"/>
        <v>0</v>
      </c>
      <c r="BB33" s="95">
        <f t="shared" si="42"/>
        <v>0</v>
      </c>
      <c r="BC33" s="96">
        <f t="shared" si="14"/>
        <v>0</v>
      </c>
      <c r="BD33" s="96">
        <f t="shared" si="15"/>
        <v>0</v>
      </c>
      <c r="BE33" s="96">
        <f t="shared" si="16"/>
        <v>0</v>
      </c>
      <c r="BF33" s="96">
        <f t="shared" si="17"/>
        <v>0</v>
      </c>
      <c r="BG33" s="96">
        <f t="shared" si="18"/>
        <v>0</v>
      </c>
      <c r="BH33" s="96">
        <f t="shared" si="19"/>
        <v>0</v>
      </c>
      <c r="BI33" s="96">
        <f t="shared" si="20"/>
        <v>0</v>
      </c>
      <c r="BJ33" s="96">
        <f t="shared" si="21"/>
        <v>0</v>
      </c>
      <c r="BK33" s="96">
        <f t="shared" si="22"/>
        <v>0</v>
      </c>
      <c r="BL33" s="96">
        <f t="shared" si="23"/>
        <v>0</v>
      </c>
      <c r="BM33" s="96">
        <f t="shared" si="24"/>
        <v>0</v>
      </c>
      <c r="BN33" s="96"/>
      <c r="BO33" s="95"/>
      <c r="BP33" s="95">
        <f t="shared" si="25"/>
        <v>0</v>
      </c>
      <c r="BQ33" s="95"/>
      <c r="BR33" s="95"/>
      <c r="BS33" s="95">
        <f t="shared" si="26"/>
        <v>0</v>
      </c>
      <c r="BT33" s="95">
        <f t="shared" si="27"/>
        <v>0</v>
      </c>
      <c r="BU33" s="95">
        <f t="shared" si="28"/>
        <v>0</v>
      </c>
      <c r="BV33" s="95">
        <f t="shared" si="29"/>
        <v>0</v>
      </c>
      <c r="BW33" s="95"/>
      <c r="BX33" s="95"/>
      <c r="BY33" s="95"/>
      <c r="BZ33" s="95"/>
      <c r="CA33" s="95">
        <f t="shared" si="43"/>
        <v>0</v>
      </c>
      <c r="CB33" s="97">
        <f t="shared" si="30"/>
        <v>0</v>
      </c>
      <c r="CC33" s="95"/>
      <c r="CD33" s="95"/>
      <c r="CE33" s="95">
        <f t="shared" si="31"/>
        <v>0</v>
      </c>
      <c r="CF33" s="95">
        <f t="shared" si="44"/>
        <v>0</v>
      </c>
      <c r="CG33" s="113"/>
      <c r="CH33" s="22"/>
      <c r="CI33" s="98">
        <f t="shared" si="32"/>
        <v>0</v>
      </c>
      <c r="CJ33" s="95">
        <f t="shared" si="33"/>
        <v>0</v>
      </c>
      <c r="CK33" s="95">
        <f t="shared" si="45"/>
        <v>0</v>
      </c>
      <c r="CL33" s="95"/>
      <c r="CM33" s="99"/>
      <c r="CN33" s="99"/>
      <c r="CO33" s="110"/>
      <c r="CP33" s="99"/>
      <c r="CQ33" s="99"/>
      <c r="CR33" s="99"/>
      <c r="CS33" s="95"/>
      <c r="CT33" s="95"/>
      <c r="CU33" s="96"/>
      <c r="CV33" s="96"/>
      <c r="CW33" s="96"/>
      <c r="CX33" s="96"/>
      <c r="CY33" s="96"/>
      <c r="CZ33" s="93">
        <f t="shared" si="34"/>
        <v>0</v>
      </c>
      <c r="DA33" s="93">
        <f t="shared" si="35"/>
        <v>0</v>
      </c>
      <c r="DB33" s="95">
        <f t="shared" si="46"/>
        <v>0</v>
      </c>
      <c r="DC33" s="100">
        <f t="shared" si="47"/>
        <v>0</v>
      </c>
      <c r="DD33" s="100"/>
      <c r="DE33" s="100">
        <f t="shared" si="38"/>
        <v>0</v>
      </c>
      <c r="DF33" s="13"/>
      <c r="DG33" s="2"/>
      <c r="DH33" s="46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</row>
    <row r="34" spans="1:156" s="1" customFormat="1" hidden="1" x14ac:dyDescent="0.2">
      <c r="A34" s="88">
        <f t="shared" si="3"/>
        <v>509659</v>
      </c>
      <c r="B34" s="21">
        <v>9659</v>
      </c>
      <c r="C34" s="21" t="s">
        <v>98</v>
      </c>
      <c r="D34" s="84" t="s">
        <v>115</v>
      </c>
      <c r="E34" s="115" t="s">
        <v>202</v>
      </c>
      <c r="F34" s="85">
        <v>3</v>
      </c>
      <c r="G34" s="84"/>
      <c r="H34" s="85"/>
      <c r="I34" s="86"/>
      <c r="J34" s="85"/>
      <c r="K34" s="21" t="s">
        <v>10</v>
      </c>
      <c r="L34" s="21"/>
      <c r="M34" s="87"/>
      <c r="N34" s="88"/>
      <c r="O34" s="88">
        <v>7</v>
      </c>
      <c r="P34" s="89">
        <f t="shared" si="39"/>
        <v>5700.7259999999997</v>
      </c>
      <c r="Q34" s="90">
        <f t="shared" si="40"/>
        <v>19002.419999999998</v>
      </c>
      <c r="R34" s="90">
        <f t="shared" si="41"/>
        <v>26397.963600000003</v>
      </c>
      <c r="S34" s="91"/>
      <c r="T34" s="92"/>
      <c r="U34" s="32"/>
      <c r="V34" s="32"/>
      <c r="W34" s="32"/>
      <c r="X34" s="93"/>
      <c r="Y34" s="32"/>
      <c r="Z34" s="32"/>
      <c r="AA34" s="32">
        <v>0</v>
      </c>
      <c r="AB34" s="32">
        <v>0</v>
      </c>
      <c r="AC34" s="32"/>
      <c r="AD34" s="32">
        <v>0</v>
      </c>
      <c r="AE34" s="32">
        <v>0</v>
      </c>
      <c r="AF34" s="32">
        <v>0</v>
      </c>
      <c r="AG34" s="32">
        <v>0</v>
      </c>
      <c r="AH34" s="32">
        <v>0</v>
      </c>
      <c r="AI34" s="32">
        <v>0</v>
      </c>
      <c r="AJ34" s="93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94">
        <f t="shared" si="7"/>
        <v>0</v>
      </c>
      <c r="AV34" s="95">
        <f t="shared" si="8"/>
        <v>0</v>
      </c>
      <c r="AW34" s="95">
        <f t="shared" si="9"/>
        <v>0</v>
      </c>
      <c r="AX34" s="95">
        <f t="shared" si="10"/>
        <v>0</v>
      </c>
      <c r="AY34" s="95">
        <f t="shared" si="11"/>
        <v>0</v>
      </c>
      <c r="AZ34" s="95">
        <f t="shared" si="12"/>
        <v>0</v>
      </c>
      <c r="BA34" s="95">
        <f t="shared" si="13"/>
        <v>0</v>
      </c>
      <c r="BB34" s="95">
        <f t="shared" si="42"/>
        <v>0</v>
      </c>
      <c r="BC34" s="96">
        <f t="shared" si="14"/>
        <v>0</v>
      </c>
      <c r="BD34" s="96">
        <f t="shared" si="15"/>
        <v>0</v>
      </c>
      <c r="BE34" s="96">
        <f t="shared" si="16"/>
        <v>0</v>
      </c>
      <c r="BF34" s="96">
        <f t="shared" si="17"/>
        <v>0</v>
      </c>
      <c r="BG34" s="96">
        <f t="shared" si="18"/>
        <v>0</v>
      </c>
      <c r="BH34" s="96">
        <f t="shared" si="19"/>
        <v>0</v>
      </c>
      <c r="BI34" s="96">
        <f t="shared" si="20"/>
        <v>0</v>
      </c>
      <c r="BJ34" s="96">
        <f t="shared" si="21"/>
        <v>0</v>
      </c>
      <c r="BK34" s="96">
        <f t="shared" si="22"/>
        <v>0</v>
      </c>
      <c r="BL34" s="96">
        <f t="shared" si="23"/>
        <v>0</v>
      </c>
      <c r="BM34" s="96">
        <f t="shared" si="24"/>
        <v>0</v>
      </c>
      <c r="BN34" s="96"/>
      <c r="BO34" s="95"/>
      <c r="BP34" s="95">
        <f t="shared" si="25"/>
        <v>0</v>
      </c>
      <c r="BQ34" s="95"/>
      <c r="BR34" s="95"/>
      <c r="BS34" s="95">
        <f t="shared" si="26"/>
        <v>0</v>
      </c>
      <c r="BT34" s="95">
        <f t="shared" si="27"/>
        <v>0</v>
      </c>
      <c r="BU34" s="95">
        <f t="shared" si="28"/>
        <v>0</v>
      </c>
      <c r="BV34" s="95">
        <f t="shared" si="29"/>
        <v>0</v>
      </c>
      <c r="BW34" s="95"/>
      <c r="BX34" s="95"/>
      <c r="BY34" s="95"/>
      <c r="BZ34" s="95"/>
      <c r="CA34" s="95">
        <f t="shared" si="43"/>
        <v>0</v>
      </c>
      <c r="CB34" s="97">
        <f t="shared" si="30"/>
        <v>0</v>
      </c>
      <c r="CC34" s="95"/>
      <c r="CD34" s="95"/>
      <c r="CE34" s="95">
        <f t="shared" si="31"/>
        <v>0</v>
      </c>
      <c r="CF34" s="95">
        <f t="shared" si="44"/>
        <v>0</v>
      </c>
      <c r="CG34" s="113"/>
      <c r="CH34" s="22"/>
      <c r="CI34" s="98">
        <f t="shared" si="32"/>
        <v>0</v>
      </c>
      <c r="CJ34" s="95">
        <f t="shared" si="33"/>
        <v>0</v>
      </c>
      <c r="CK34" s="95">
        <f t="shared" si="45"/>
        <v>0</v>
      </c>
      <c r="CL34" s="95"/>
      <c r="CM34" s="99"/>
      <c r="CN34" s="99"/>
      <c r="CO34" s="110"/>
      <c r="CP34" s="99"/>
      <c r="CQ34" s="99"/>
      <c r="CR34" s="99"/>
      <c r="CS34" s="95"/>
      <c r="CT34" s="95"/>
      <c r="CU34" s="96"/>
      <c r="CV34" s="96"/>
      <c r="CW34" s="96"/>
      <c r="CX34" s="96"/>
      <c r="CY34" s="96"/>
      <c r="CZ34" s="93">
        <f t="shared" si="34"/>
        <v>0</v>
      </c>
      <c r="DA34" s="93">
        <f t="shared" si="35"/>
        <v>0</v>
      </c>
      <c r="DB34" s="95">
        <f t="shared" si="46"/>
        <v>0</v>
      </c>
      <c r="DC34" s="100">
        <f t="shared" si="47"/>
        <v>0</v>
      </c>
      <c r="DD34" s="100"/>
      <c r="DE34" s="100">
        <f t="shared" si="38"/>
        <v>0</v>
      </c>
      <c r="DF34" s="13"/>
      <c r="DG34" s="2"/>
      <c r="DH34" s="46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</row>
    <row r="35" spans="1:156" s="1" customFormat="1" x14ac:dyDescent="0.2">
      <c r="A35" s="88">
        <f t="shared" si="3"/>
        <v>509856</v>
      </c>
      <c r="B35" s="21">
        <v>9856</v>
      </c>
      <c r="C35" s="21" t="s">
        <v>98</v>
      </c>
      <c r="D35" s="84" t="s">
        <v>188</v>
      </c>
      <c r="E35" s="115" t="s">
        <v>202</v>
      </c>
      <c r="F35" s="85">
        <v>0</v>
      </c>
      <c r="G35" s="84"/>
      <c r="H35" s="85"/>
      <c r="I35" s="86"/>
      <c r="J35" s="85"/>
      <c r="K35" s="21" t="s">
        <v>10</v>
      </c>
      <c r="L35" s="21"/>
      <c r="M35" s="87"/>
      <c r="N35" s="88"/>
      <c r="O35" s="88">
        <v>0</v>
      </c>
      <c r="P35" s="89">
        <f t="shared" si="39"/>
        <v>5700.7259999999997</v>
      </c>
      <c r="Q35" s="90">
        <f t="shared" si="40"/>
        <v>19002.419999999998</v>
      </c>
      <c r="R35" s="90">
        <f t="shared" si="41"/>
        <v>26397.963600000003</v>
      </c>
      <c r="S35" s="91"/>
      <c r="T35" s="92"/>
      <c r="U35" s="32"/>
      <c r="V35" s="32"/>
      <c r="W35" s="32"/>
      <c r="X35" s="93"/>
      <c r="Y35" s="32"/>
      <c r="Z35" s="32"/>
      <c r="AA35" s="32">
        <v>15</v>
      </c>
      <c r="AB35" s="32">
        <v>0</v>
      </c>
      <c r="AC35" s="32"/>
      <c r="AD35" s="32">
        <v>0</v>
      </c>
      <c r="AE35" s="32">
        <v>0</v>
      </c>
      <c r="AF35" s="32">
        <v>0</v>
      </c>
      <c r="AG35" s="32">
        <v>0</v>
      </c>
      <c r="AH35" s="32">
        <v>0</v>
      </c>
      <c r="AI35" s="32">
        <v>3.125</v>
      </c>
      <c r="AJ35" s="93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94">
        <f t="shared" si="7"/>
        <v>0</v>
      </c>
      <c r="AV35" s="95">
        <f t="shared" si="8"/>
        <v>0</v>
      </c>
      <c r="AW35" s="95">
        <f t="shared" si="9"/>
        <v>0</v>
      </c>
      <c r="AX35" s="95">
        <f t="shared" si="10"/>
        <v>0</v>
      </c>
      <c r="AY35" s="95">
        <f t="shared" si="11"/>
        <v>0</v>
      </c>
      <c r="AZ35" s="95">
        <f t="shared" si="12"/>
        <v>0</v>
      </c>
      <c r="BA35" s="95">
        <f t="shared" si="13"/>
        <v>0</v>
      </c>
      <c r="BB35" s="95">
        <f t="shared" si="42"/>
        <v>35629.537499999999</v>
      </c>
      <c r="BC35" s="96">
        <f t="shared" si="14"/>
        <v>0</v>
      </c>
      <c r="BD35" s="96">
        <f t="shared" si="15"/>
        <v>0</v>
      </c>
      <c r="BE35" s="96">
        <f t="shared" si="16"/>
        <v>0</v>
      </c>
      <c r="BF35" s="96">
        <f t="shared" si="17"/>
        <v>0</v>
      </c>
      <c r="BG35" s="96">
        <f t="shared" si="18"/>
        <v>0</v>
      </c>
      <c r="BH35" s="96">
        <f t="shared" si="19"/>
        <v>0</v>
      </c>
      <c r="BI35" s="96">
        <f t="shared" si="20"/>
        <v>59382.562499999993</v>
      </c>
      <c r="BJ35" s="96">
        <f t="shared" si="21"/>
        <v>0</v>
      </c>
      <c r="BK35" s="96">
        <f t="shared" si="22"/>
        <v>0</v>
      </c>
      <c r="BL35" s="96">
        <f t="shared" si="23"/>
        <v>0</v>
      </c>
      <c r="BM35" s="96">
        <f t="shared" si="24"/>
        <v>0</v>
      </c>
      <c r="BN35" s="96"/>
      <c r="BO35" s="95"/>
      <c r="BP35" s="95">
        <f t="shared" si="25"/>
        <v>0</v>
      </c>
      <c r="BQ35" s="95"/>
      <c r="BR35" s="95"/>
      <c r="BS35" s="95">
        <f t="shared" si="26"/>
        <v>0</v>
      </c>
      <c r="BT35" s="95">
        <f t="shared" si="27"/>
        <v>0</v>
      </c>
      <c r="BU35" s="95">
        <f t="shared" si="28"/>
        <v>0</v>
      </c>
      <c r="BV35" s="95">
        <f t="shared" si="29"/>
        <v>0</v>
      </c>
      <c r="BW35" s="95"/>
      <c r="BX35" s="95"/>
      <c r="BY35" s="95"/>
      <c r="BZ35" s="95"/>
      <c r="CA35" s="95">
        <f t="shared" si="43"/>
        <v>0</v>
      </c>
      <c r="CB35" s="97">
        <f t="shared" si="30"/>
        <v>95012.099999999991</v>
      </c>
      <c r="CC35" s="95"/>
      <c r="CD35" s="95"/>
      <c r="CE35" s="95">
        <f t="shared" si="31"/>
        <v>-2850.3629999999998</v>
      </c>
      <c r="CF35" s="95">
        <f t="shared" si="44"/>
        <v>-1425.1814999999999</v>
      </c>
      <c r="CG35" s="113"/>
      <c r="CH35" s="22"/>
      <c r="CI35" s="98">
        <f t="shared" si="32"/>
        <v>131990.80931999997</v>
      </c>
      <c r="CJ35" s="95">
        <f t="shared" si="33"/>
        <v>-3959.7242795999991</v>
      </c>
      <c r="CK35" s="95">
        <f t="shared" si="45"/>
        <v>-1979.8621397999996</v>
      </c>
      <c r="CL35" s="95"/>
      <c r="CM35" s="99"/>
      <c r="CN35" s="99"/>
      <c r="CO35" s="110"/>
      <c r="CP35" s="99"/>
      <c r="CQ35" s="99"/>
      <c r="CR35" s="99"/>
      <c r="CS35" s="95"/>
      <c r="CT35" s="95"/>
      <c r="CU35" s="96"/>
      <c r="CV35" s="96"/>
      <c r="CW35" s="96"/>
      <c r="CX35" s="96"/>
      <c r="CY35" s="96"/>
      <c r="CZ35" s="93">
        <f t="shared" si="34"/>
        <v>0</v>
      </c>
      <c r="DA35" s="93">
        <f t="shared" si="35"/>
        <v>0</v>
      </c>
      <c r="DB35" s="95">
        <f t="shared" si="46"/>
        <v>216787.77840059996</v>
      </c>
      <c r="DC35" s="100">
        <f t="shared" si="47"/>
        <v>216788</v>
      </c>
      <c r="DD35" s="100"/>
      <c r="DE35" s="100">
        <f t="shared" si="38"/>
        <v>-216788</v>
      </c>
      <c r="DF35" s="13"/>
      <c r="DG35" s="2"/>
      <c r="DH35" s="46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</row>
    <row r="36" spans="1:156" s="1" customFormat="1" hidden="1" x14ac:dyDescent="0.2">
      <c r="A36" s="88">
        <f t="shared" si="3"/>
        <v>509661</v>
      </c>
      <c r="B36" s="21">
        <v>9661</v>
      </c>
      <c r="C36" s="21" t="s">
        <v>98</v>
      </c>
      <c r="D36" s="84" t="s">
        <v>116</v>
      </c>
      <c r="E36" s="115" t="s">
        <v>202</v>
      </c>
      <c r="F36" s="85">
        <v>3</v>
      </c>
      <c r="G36" s="84"/>
      <c r="H36" s="85">
        <v>61</v>
      </c>
      <c r="I36" s="86"/>
      <c r="J36" s="85"/>
      <c r="K36" s="21" t="s">
        <v>10</v>
      </c>
      <c r="L36" s="21"/>
      <c r="M36" s="87"/>
      <c r="N36" s="88"/>
      <c r="O36" s="88">
        <v>24</v>
      </c>
      <c r="P36" s="89">
        <f t="shared" si="39"/>
        <v>5700.7259999999997</v>
      </c>
      <c r="Q36" s="90">
        <f t="shared" si="40"/>
        <v>19002.419999999998</v>
      </c>
      <c r="R36" s="90">
        <f t="shared" si="41"/>
        <v>26397.963600000003</v>
      </c>
      <c r="S36" s="91"/>
      <c r="T36" s="92"/>
      <c r="U36" s="32"/>
      <c r="V36" s="32"/>
      <c r="W36" s="32"/>
      <c r="X36" s="93"/>
      <c r="Y36" s="32"/>
      <c r="Z36" s="32"/>
      <c r="AA36" s="32">
        <v>0</v>
      </c>
      <c r="AB36" s="32">
        <v>0</v>
      </c>
      <c r="AC36" s="32"/>
      <c r="AD36" s="32">
        <v>0</v>
      </c>
      <c r="AE36" s="32">
        <v>0</v>
      </c>
      <c r="AF36" s="32">
        <v>0</v>
      </c>
      <c r="AG36" s="32">
        <v>0</v>
      </c>
      <c r="AH36" s="32">
        <v>0</v>
      </c>
      <c r="AI36" s="32">
        <v>0</v>
      </c>
      <c r="AJ36" s="93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94">
        <f t="shared" si="7"/>
        <v>0</v>
      </c>
      <c r="AV36" s="95">
        <f t="shared" si="8"/>
        <v>0</v>
      </c>
      <c r="AW36" s="95">
        <f t="shared" si="9"/>
        <v>0</v>
      </c>
      <c r="AX36" s="95">
        <f t="shared" si="10"/>
        <v>0</v>
      </c>
      <c r="AY36" s="95">
        <f t="shared" si="11"/>
        <v>0</v>
      </c>
      <c r="AZ36" s="95">
        <f t="shared" si="12"/>
        <v>0</v>
      </c>
      <c r="BA36" s="95">
        <f t="shared" si="13"/>
        <v>0</v>
      </c>
      <c r="BB36" s="95">
        <f t="shared" si="42"/>
        <v>0</v>
      </c>
      <c r="BC36" s="96">
        <f t="shared" si="14"/>
        <v>0</v>
      </c>
      <c r="BD36" s="96">
        <f t="shared" si="15"/>
        <v>0</v>
      </c>
      <c r="BE36" s="96">
        <f t="shared" si="16"/>
        <v>0</v>
      </c>
      <c r="BF36" s="96">
        <f t="shared" si="17"/>
        <v>0</v>
      </c>
      <c r="BG36" s="96">
        <f t="shared" si="18"/>
        <v>0</v>
      </c>
      <c r="BH36" s="96">
        <f t="shared" si="19"/>
        <v>0</v>
      </c>
      <c r="BI36" s="96">
        <f t="shared" si="20"/>
        <v>0</v>
      </c>
      <c r="BJ36" s="96">
        <f t="shared" si="21"/>
        <v>0</v>
      </c>
      <c r="BK36" s="96">
        <f t="shared" si="22"/>
        <v>0</v>
      </c>
      <c r="BL36" s="96">
        <f t="shared" si="23"/>
        <v>0</v>
      </c>
      <c r="BM36" s="96">
        <f t="shared" si="24"/>
        <v>0</v>
      </c>
      <c r="BN36" s="96"/>
      <c r="BO36" s="95"/>
      <c r="BP36" s="95">
        <f t="shared" si="25"/>
        <v>0</v>
      </c>
      <c r="BQ36" s="95"/>
      <c r="BR36" s="95"/>
      <c r="BS36" s="95">
        <f t="shared" si="26"/>
        <v>0</v>
      </c>
      <c r="BT36" s="95">
        <f t="shared" si="27"/>
        <v>0</v>
      </c>
      <c r="BU36" s="95">
        <f t="shared" si="28"/>
        <v>0</v>
      </c>
      <c r="BV36" s="95">
        <f t="shared" si="29"/>
        <v>0</v>
      </c>
      <c r="BW36" s="95"/>
      <c r="BX36" s="95"/>
      <c r="BY36" s="95"/>
      <c r="BZ36" s="95"/>
      <c r="CA36" s="95">
        <f t="shared" si="43"/>
        <v>0</v>
      </c>
      <c r="CB36" s="97">
        <f t="shared" si="30"/>
        <v>0</v>
      </c>
      <c r="CC36" s="95"/>
      <c r="CD36" s="95"/>
      <c r="CE36" s="95">
        <f t="shared" si="31"/>
        <v>0</v>
      </c>
      <c r="CF36" s="95">
        <f t="shared" si="44"/>
        <v>0</v>
      </c>
      <c r="CG36" s="113"/>
      <c r="CH36" s="22"/>
      <c r="CI36" s="98">
        <f t="shared" si="32"/>
        <v>0</v>
      </c>
      <c r="CJ36" s="95">
        <f t="shared" si="33"/>
        <v>0</v>
      </c>
      <c r="CK36" s="95">
        <f t="shared" si="45"/>
        <v>0</v>
      </c>
      <c r="CL36" s="95"/>
      <c r="CM36" s="99"/>
      <c r="CN36" s="99"/>
      <c r="CO36" s="110"/>
      <c r="CP36" s="99"/>
      <c r="CQ36" s="99"/>
      <c r="CR36" s="99"/>
      <c r="CS36" s="95"/>
      <c r="CT36" s="95"/>
      <c r="CU36" s="96"/>
      <c r="CV36" s="96"/>
      <c r="CW36" s="96"/>
      <c r="CX36" s="96"/>
      <c r="CY36" s="96"/>
      <c r="CZ36" s="93">
        <f t="shared" si="34"/>
        <v>0</v>
      </c>
      <c r="DA36" s="93">
        <f t="shared" si="35"/>
        <v>0</v>
      </c>
      <c r="DB36" s="95">
        <f t="shared" si="46"/>
        <v>0</v>
      </c>
      <c r="DC36" s="100">
        <f t="shared" si="47"/>
        <v>0</v>
      </c>
      <c r="DD36" s="100"/>
      <c r="DE36" s="100">
        <f t="shared" si="38"/>
        <v>0</v>
      </c>
      <c r="DF36" s="13"/>
      <c r="DG36" s="2"/>
      <c r="DH36" s="46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</row>
    <row r="37" spans="1:156" s="1" customFormat="1" hidden="1" x14ac:dyDescent="0.2">
      <c r="A37" s="88">
        <f t="shared" si="3"/>
        <v>509662</v>
      </c>
      <c r="B37" s="21">
        <v>9662</v>
      </c>
      <c r="C37" s="21" t="s">
        <v>98</v>
      </c>
      <c r="D37" s="84" t="s">
        <v>117</v>
      </c>
      <c r="E37" s="114" t="s">
        <v>201</v>
      </c>
      <c r="F37" s="101">
        <v>1</v>
      </c>
      <c r="G37" s="84"/>
      <c r="H37" s="85"/>
      <c r="I37" s="86"/>
      <c r="J37" s="85"/>
      <c r="K37" s="21" t="s">
        <v>8</v>
      </c>
      <c r="L37" s="21"/>
      <c r="M37" s="87"/>
      <c r="N37" s="88"/>
      <c r="O37" s="88">
        <v>21</v>
      </c>
      <c r="P37" s="89">
        <f t="shared" si="39"/>
        <v>5401.2359999999999</v>
      </c>
      <c r="Q37" s="90">
        <f t="shared" si="40"/>
        <v>18004.12</v>
      </c>
      <c r="R37" s="90">
        <f t="shared" si="41"/>
        <v>25011.1211</v>
      </c>
      <c r="S37" s="91"/>
      <c r="T37" s="92"/>
      <c r="U37" s="32"/>
      <c r="V37" s="32"/>
      <c r="W37" s="32"/>
      <c r="X37" s="93"/>
      <c r="Y37" s="32"/>
      <c r="Z37" s="32"/>
      <c r="AA37" s="32">
        <v>0</v>
      </c>
      <c r="AB37" s="32">
        <v>0</v>
      </c>
      <c r="AC37" s="32"/>
      <c r="AD37" s="32">
        <v>0</v>
      </c>
      <c r="AE37" s="32">
        <v>0</v>
      </c>
      <c r="AF37" s="32">
        <v>0</v>
      </c>
      <c r="AG37" s="32">
        <v>0</v>
      </c>
      <c r="AH37" s="32">
        <v>0</v>
      </c>
      <c r="AI37" s="32">
        <v>0</v>
      </c>
      <c r="AJ37" s="93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94">
        <f t="shared" si="7"/>
        <v>0</v>
      </c>
      <c r="AV37" s="95">
        <f t="shared" si="8"/>
        <v>0</v>
      </c>
      <c r="AW37" s="95">
        <f t="shared" si="9"/>
        <v>0</v>
      </c>
      <c r="AX37" s="95">
        <f t="shared" si="10"/>
        <v>0</v>
      </c>
      <c r="AY37" s="95">
        <f t="shared" si="11"/>
        <v>0</v>
      </c>
      <c r="AZ37" s="95">
        <f t="shared" si="12"/>
        <v>0</v>
      </c>
      <c r="BA37" s="95">
        <f t="shared" si="13"/>
        <v>0</v>
      </c>
      <c r="BB37" s="95">
        <f t="shared" si="42"/>
        <v>0</v>
      </c>
      <c r="BC37" s="96">
        <f t="shared" si="14"/>
        <v>0</v>
      </c>
      <c r="BD37" s="96">
        <f t="shared" si="15"/>
        <v>0</v>
      </c>
      <c r="BE37" s="96">
        <f t="shared" si="16"/>
        <v>0</v>
      </c>
      <c r="BF37" s="96">
        <f t="shared" si="17"/>
        <v>0</v>
      </c>
      <c r="BG37" s="96">
        <f t="shared" si="18"/>
        <v>0</v>
      </c>
      <c r="BH37" s="96">
        <f t="shared" si="19"/>
        <v>0</v>
      </c>
      <c r="BI37" s="96">
        <f t="shared" si="20"/>
        <v>0</v>
      </c>
      <c r="BJ37" s="96">
        <f t="shared" si="21"/>
        <v>0</v>
      </c>
      <c r="BK37" s="96">
        <f t="shared" si="22"/>
        <v>0</v>
      </c>
      <c r="BL37" s="96">
        <f t="shared" si="23"/>
        <v>0</v>
      </c>
      <c r="BM37" s="96">
        <f t="shared" si="24"/>
        <v>0</v>
      </c>
      <c r="BN37" s="96"/>
      <c r="BO37" s="95"/>
      <c r="BP37" s="95">
        <f t="shared" si="25"/>
        <v>0</v>
      </c>
      <c r="BQ37" s="95"/>
      <c r="BR37" s="95"/>
      <c r="BS37" s="95">
        <f t="shared" si="26"/>
        <v>0</v>
      </c>
      <c r="BT37" s="95">
        <f t="shared" si="27"/>
        <v>0</v>
      </c>
      <c r="BU37" s="95">
        <f t="shared" si="28"/>
        <v>0</v>
      </c>
      <c r="BV37" s="95">
        <f t="shared" si="29"/>
        <v>0</v>
      </c>
      <c r="BW37" s="95"/>
      <c r="BX37" s="95"/>
      <c r="BY37" s="95"/>
      <c r="BZ37" s="95"/>
      <c r="CA37" s="95">
        <f t="shared" si="43"/>
        <v>0</v>
      </c>
      <c r="CB37" s="97">
        <f t="shared" si="30"/>
        <v>0</v>
      </c>
      <c r="CC37" s="95"/>
      <c r="CD37" s="95"/>
      <c r="CE37" s="95">
        <f t="shared" si="31"/>
        <v>0</v>
      </c>
      <c r="CF37" s="95">
        <f t="shared" si="44"/>
        <v>0</v>
      </c>
      <c r="CG37" s="113"/>
      <c r="CH37" s="22"/>
      <c r="CI37" s="98">
        <f t="shared" si="32"/>
        <v>0</v>
      </c>
      <c r="CJ37" s="95">
        <f t="shared" si="33"/>
        <v>0</v>
      </c>
      <c r="CK37" s="95">
        <f t="shared" si="45"/>
        <v>0</v>
      </c>
      <c r="CL37" s="95"/>
      <c r="CM37" s="99"/>
      <c r="CN37" s="99"/>
      <c r="CO37" s="110"/>
      <c r="CP37" s="99"/>
      <c r="CQ37" s="99"/>
      <c r="CR37" s="99"/>
      <c r="CS37" s="95"/>
      <c r="CT37" s="95"/>
      <c r="CU37" s="96"/>
      <c r="CV37" s="96"/>
      <c r="CW37" s="96"/>
      <c r="CX37" s="96"/>
      <c r="CY37" s="96"/>
      <c r="CZ37" s="93">
        <f t="shared" si="34"/>
        <v>0</v>
      </c>
      <c r="DA37" s="93">
        <f t="shared" si="35"/>
        <v>0</v>
      </c>
      <c r="DB37" s="95">
        <f t="shared" si="46"/>
        <v>0</v>
      </c>
      <c r="DC37" s="100">
        <f t="shared" si="47"/>
        <v>0</v>
      </c>
      <c r="DD37" s="100"/>
      <c r="DE37" s="100">
        <f t="shared" si="38"/>
        <v>0</v>
      </c>
      <c r="DF37" s="13"/>
      <c r="DG37" s="2"/>
      <c r="DH37" s="46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</row>
    <row r="38" spans="1:156" s="1" customFormat="1" hidden="1" x14ac:dyDescent="0.2">
      <c r="A38" s="88">
        <f t="shared" si="3"/>
        <v>509663</v>
      </c>
      <c r="B38" s="21">
        <v>9663</v>
      </c>
      <c r="C38" s="21" t="s">
        <v>98</v>
      </c>
      <c r="D38" s="84" t="s">
        <v>118</v>
      </c>
      <c r="E38" s="115" t="s">
        <v>202</v>
      </c>
      <c r="F38" s="85">
        <v>0</v>
      </c>
      <c r="G38" s="84"/>
      <c r="H38" s="85">
        <v>65</v>
      </c>
      <c r="I38" s="86"/>
      <c r="J38" s="85"/>
      <c r="K38" s="21" t="s">
        <v>8</v>
      </c>
      <c r="L38" s="21"/>
      <c r="M38" s="87"/>
      <c r="N38" s="88"/>
      <c r="O38" s="88">
        <v>19</v>
      </c>
      <c r="P38" s="89">
        <f t="shared" si="39"/>
        <v>5401.2359999999999</v>
      </c>
      <c r="Q38" s="90">
        <f t="shared" si="40"/>
        <v>18004.12</v>
      </c>
      <c r="R38" s="90">
        <f t="shared" si="41"/>
        <v>25011.1211</v>
      </c>
      <c r="S38" s="91"/>
      <c r="T38" s="92"/>
      <c r="U38" s="32"/>
      <c r="V38" s="32"/>
      <c r="W38" s="32"/>
      <c r="X38" s="93"/>
      <c r="Y38" s="32"/>
      <c r="Z38" s="32"/>
      <c r="AA38" s="32">
        <v>0</v>
      </c>
      <c r="AB38" s="32">
        <v>0</v>
      </c>
      <c r="AC38" s="32"/>
      <c r="AD38" s="32">
        <v>0</v>
      </c>
      <c r="AE38" s="32">
        <v>0</v>
      </c>
      <c r="AF38" s="32">
        <v>0</v>
      </c>
      <c r="AG38" s="32">
        <v>0</v>
      </c>
      <c r="AH38" s="32">
        <v>0</v>
      </c>
      <c r="AI38" s="32">
        <v>0</v>
      </c>
      <c r="AJ38" s="93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94">
        <f t="shared" si="7"/>
        <v>0</v>
      </c>
      <c r="AV38" s="95">
        <f t="shared" si="8"/>
        <v>0</v>
      </c>
      <c r="AW38" s="95">
        <f t="shared" si="9"/>
        <v>0</v>
      </c>
      <c r="AX38" s="95">
        <f t="shared" si="10"/>
        <v>0</v>
      </c>
      <c r="AY38" s="95">
        <f t="shared" si="11"/>
        <v>0</v>
      </c>
      <c r="AZ38" s="95">
        <f t="shared" si="12"/>
        <v>0</v>
      </c>
      <c r="BA38" s="95">
        <f t="shared" si="13"/>
        <v>0</v>
      </c>
      <c r="BB38" s="95">
        <f t="shared" si="42"/>
        <v>0</v>
      </c>
      <c r="BC38" s="96">
        <f t="shared" si="14"/>
        <v>0</v>
      </c>
      <c r="BD38" s="96">
        <f t="shared" si="15"/>
        <v>0</v>
      </c>
      <c r="BE38" s="96">
        <f t="shared" si="16"/>
        <v>0</v>
      </c>
      <c r="BF38" s="96">
        <f t="shared" si="17"/>
        <v>0</v>
      </c>
      <c r="BG38" s="96">
        <f t="shared" si="18"/>
        <v>0</v>
      </c>
      <c r="BH38" s="96">
        <f t="shared" si="19"/>
        <v>0</v>
      </c>
      <c r="BI38" s="96">
        <f t="shared" si="20"/>
        <v>0</v>
      </c>
      <c r="BJ38" s="96">
        <f t="shared" si="21"/>
        <v>0</v>
      </c>
      <c r="BK38" s="96">
        <f t="shared" si="22"/>
        <v>0</v>
      </c>
      <c r="BL38" s="96">
        <f t="shared" si="23"/>
        <v>0</v>
      </c>
      <c r="BM38" s="96">
        <f t="shared" si="24"/>
        <v>0</v>
      </c>
      <c r="BN38" s="96"/>
      <c r="BO38" s="95"/>
      <c r="BP38" s="95">
        <f t="shared" si="25"/>
        <v>0</v>
      </c>
      <c r="BQ38" s="95"/>
      <c r="BR38" s="95"/>
      <c r="BS38" s="95">
        <f t="shared" si="26"/>
        <v>0</v>
      </c>
      <c r="BT38" s="95">
        <f t="shared" si="27"/>
        <v>0</v>
      </c>
      <c r="BU38" s="95">
        <f t="shared" si="28"/>
        <v>0</v>
      </c>
      <c r="BV38" s="95">
        <f t="shared" si="29"/>
        <v>0</v>
      </c>
      <c r="BW38" s="95"/>
      <c r="BX38" s="95"/>
      <c r="BY38" s="95"/>
      <c r="BZ38" s="95"/>
      <c r="CA38" s="95">
        <f t="shared" si="43"/>
        <v>0</v>
      </c>
      <c r="CB38" s="97">
        <f t="shared" si="30"/>
        <v>0</v>
      </c>
      <c r="CC38" s="95"/>
      <c r="CD38" s="95"/>
      <c r="CE38" s="95">
        <f t="shared" si="31"/>
        <v>0</v>
      </c>
      <c r="CF38" s="95">
        <f t="shared" si="44"/>
        <v>0</v>
      </c>
      <c r="CG38" s="113"/>
      <c r="CH38" s="22"/>
      <c r="CI38" s="98">
        <f t="shared" si="32"/>
        <v>0</v>
      </c>
      <c r="CJ38" s="95">
        <f t="shared" si="33"/>
        <v>0</v>
      </c>
      <c r="CK38" s="95">
        <f t="shared" si="45"/>
        <v>0</v>
      </c>
      <c r="CL38" s="95"/>
      <c r="CM38" s="99"/>
      <c r="CN38" s="99"/>
      <c r="CO38" s="110"/>
      <c r="CP38" s="99"/>
      <c r="CQ38" s="99"/>
      <c r="CR38" s="99"/>
      <c r="CS38" s="95"/>
      <c r="CT38" s="95"/>
      <c r="CU38" s="96"/>
      <c r="CV38" s="96"/>
      <c r="CW38" s="96"/>
      <c r="CX38" s="96"/>
      <c r="CY38" s="96"/>
      <c r="CZ38" s="93">
        <f t="shared" si="34"/>
        <v>0</v>
      </c>
      <c r="DA38" s="93">
        <f t="shared" si="35"/>
        <v>0</v>
      </c>
      <c r="DB38" s="95">
        <f t="shared" si="46"/>
        <v>0</v>
      </c>
      <c r="DC38" s="100">
        <f t="shared" si="47"/>
        <v>0</v>
      </c>
      <c r="DD38" s="100"/>
      <c r="DE38" s="100">
        <f t="shared" si="38"/>
        <v>0</v>
      </c>
      <c r="DF38" s="13"/>
      <c r="DG38" s="2"/>
      <c r="DH38" s="46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</row>
    <row r="39" spans="1:156" s="1" customFormat="1" hidden="1" x14ac:dyDescent="0.2">
      <c r="A39" s="88">
        <f t="shared" si="3"/>
        <v>509857</v>
      </c>
      <c r="B39" s="21">
        <v>9857</v>
      </c>
      <c r="C39" s="21" t="s">
        <v>98</v>
      </c>
      <c r="D39" s="84" t="s">
        <v>189</v>
      </c>
      <c r="E39" s="115" t="s">
        <v>202</v>
      </c>
      <c r="F39" s="85">
        <v>0</v>
      </c>
      <c r="G39" s="84"/>
      <c r="H39" s="85"/>
      <c r="I39" s="86"/>
      <c r="J39" s="85"/>
      <c r="K39" s="21" t="s">
        <v>10</v>
      </c>
      <c r="L39" s="21"/>
      <c r="M39" s="87"/>
      <c r="N39" s="88"/>
      <c r="O39" s="88">
        <v>0</v>
      </c>
      <c r="P39" s="89">
        <f t="shared" si="39"/>
        <v>5700.7259999999997</v>
      </c>
      <c r="Q39" s="90">
        <f t="shared" si="40"/>
        <v>19002.419999999998</v>
      </c>
      <c r="R39" s="90">
        <f t="shared" si="41"/>
        <v>26397.963600000003</v>
      </c>
      <c r="S39" s="91"/>
      <c r="T39" s="92"/>
      <c r="U39" s="32"/>
      <c r="V39" s="32"/>
      <c r="W39" s="32"/>
      <c r="X39" s="93"/>
      <c r="Y39" s="32"/>
      <c r="Z39" s="32"/>
      <c r="AA39" s="32">
        <v>0</v>
      </c>
      <c r="AB39" s="32">
        <v>0</v>
      </c>
      <c r="AC39" s="32"/>
      <c r="AD39" s="32">
        <v>0</v>
      </c>
      <c r="AE39" s="32">
        <v>0</v>
      </c>
      <c r="AF39" s="32">
        <v>0</v>
      </c>
      <c r="AG39" s="32">
        <v>0</v>
      </c>
      <c r="AH39" s="32">
        <v>0</v>
      </c>
      <c r="AI39" s="32">
        <v>0</v>
      </c>
      <c r="AJ39" s="93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94">
        <f t="shared" si="7"/>
        <v>0</v>
      </c>
      <c r="AV39" s="95">
        <f t="shared" si="8"/>
        <v>0</v>
      </c>
      <c r="AW39" s="95">
        <f t="shared" si="9"/>
        <v>0</v>
      </c>
      <c r="AX39" s="95">
        <f t="shared" si="10"/>
        <v>0</v>
      </c>
      <c r="AY39" s="95">
        <f t="shared" si="11"/>
        <v>0</v>
      </c>
      <c r="AZ39" s="95">
        <f t="shared" si="12"/>
        <v>0</v>
      </c>
      <c r="BA39" s="95">
        <f t="shared" si="13"/>
        <v>0</v>
      </c>
      <c r="BB39" s="95">
        <f t="shared" si="42"/>
        <v>0</v>
      </c>
      <c r="BC39" s="96">
        <f t="shared" si="14"/>
        <v>0</v>
      </c>
      <c r="BD39" s="96">
        <f t="shared" si="15"/>
        <v>0</v>
      </c>
      <c r="BE39" s="96">
        <f t="shared" si="16"/>
        <v>0</v>
      </c>
      <c r="BF39" s="96">
        <f t="shared" si="17"/>
        <v>0</v>
      </c>
      <c r="BG39" s="96">
        <f t="shared" si="18"/>
        <v>0</v>
      </c>
      <c r="BH39" s="96">
        <f t="shared" si="19"/>
        <v>0</v>
      </c>
      <c r="BI39" s="96">
        <f t="shared" si="20"/>
        <v>0</v>
      </c>
      <c r="BJ39" s="96">
        <f t="shared" si="21"/>
        <v>0</v>
      </c>
      <c r="BK39" s="96">
        <f t="shared" si="22"/>
        <v>0</v>
      </c>
      <c r="BL39" s="96">
        <f t="shared" si="23"/>
        <v>0</v>
      </c>
      <c r="BM39" s="96">
        <f t="shared" si="24"/>
        <v>0</v>
      </c>
      <c r="BN39" s="96"/>
      <c r="BO39" s="95"/>
      <c r="BP39" s="95">
        <f t="shared" si="25"/>
        <v>0</v>
      </c>
      <c r="BQ39" s="95"/>
      <c r="BR39" s="95"/>
      <c r="BS39" s="95">
        <f t="shared" si="26"/>
        <v>0</v>
      </c>
      <c r="BT39" s="95">
        <f t="shared" si="27"/>
        <v>0</v>
      </c>
      <c r="BU39" s="95">
        <f t="shared" si="28"/>
        <v>0</v>
      </c>
      <c r="BV39" s="95">
        <f t="shared" si="29"/>
        <v>0</v>
      </c>
      <c r="BW39" s="95"/>
      <c r="BX39" s="95"/>
      <c r="BY39" s="95"/>
      <c r="BZ39" s="95"/>
      <c r="CA39" s="95">
        <f t="shared" si="43"/>
        <v>0</v>
      </c>
      <c r="CB39" s="97">
        <f t="shared" si="30"/>
        <v>0</v>
      </c>
      <c r="CC39" s="95"/>
      <c r="CD39" s="95"/>
      <c r="CE39" s="95">
        <f t="shared" si="31"/>
        <v>0</v>
      </c>
      <c r="CF39" s="95">
        <f t="shared" si="44"/>
        <v>0</v>
      </c>
      <c r="CG39" s="113"/>
      <c r="CH39" s="22"/>
      <c r="CI39" s="98">
        <f t="shared" si="32"/>
        <v>0</v>
      </c>
      <c r="CJ39" s="95">
        <f t="shared" si="33"/>
        <v>0</v>
      </c>
      <c r="CK39" s="95">
        <f t="shared" si="45"/>
        <v>0</v>
      </c>
      <c r="CL39" s="95"/>
      <c r="CM39" s="99"/>
      <c r="CN39" s="99"/>
      <c r="CO39" s="110"/>
      <c r="CP39" s="99"/>
      <c r="CQ39" s="99"/>
      <c r="CR39" s="99"/>
      <c r="CS39" s="95"/>
      <c r="CT39" s="95"/>
      <c r="CU39" s="96"/>
      <c r="CV39" s="96"/>
      <c r="CW39" s="96"/>
      <c r="CX39" s="96"/>
      <c r="CY39" s="96"/>
      <c r="CZ39" s="93">
        <f t="shared" si="34"/>
        <v>0</v>
      </c>
      <c r="DA39" s="93">
        <f t="shared" si="35"/>
        <v>0</v>
      </c>
      <c r="DB39" s="95">
        <f t="shared" si="46"/>
        <v>0</v>
      </c>
      <c r="DC39" s="100">
        <f t="shared" si="47"/>
        <v>0</v>
      </c>
      <c r="DD39" s="100"/>
      <c r="DE39" s="100">
        <f t="shared" si="38"/>
        <v>0</v>
      </c>
      <c r="DF39" s="13"/>
      <c r="DG39" s="2"/>
      <c r="DH39" s="46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</row>
    <row r="40" spans="1:156" s="1" customFormat="1" hidden="1" x14ac:dyDescent="0.2">
      <c r="A40" s="88">
        <f t="shared" si="3"/>
        <v>509665</v>
      </c>
      <c r="B40" s="21">
        <v>9665</v>
      </c>
      <c r="C40" s="21" t="s">
        <v>98</v>
      </c>
      <c r="D40" s="84" t="s">
        <v>119</v>
      </c>
      <c r="E40" s="115" t="s">
        <v>202</v>
      </c>
      <c r="F40" s="85">
        <v>3</v>
      </c>
      <c r="G40" s="84"/>
      <c r="H40" s="85"/>
      <c r="I40" s="86"/>
      <c r="J40" s="85"/>
      <c r="K40" s="21" t="s">
        <v>10</v>
      </c>
      <c r="L40" s="21"/>
      <c r="M40" s="87"/>
      <c r="N40" s="88"/>
      <c r="O40" s="88">
        <v>7</v>
      </c>
      <c r="P40" s="89">
        <f t="shared" si="39"/>
        <v>5700.7259999999997</v>
      </c>
      <c r="Q40" s="90">
        <f t="shared" si="40"/>
        <v>19002.419999999998</v>
      </c>
      <c r="R40" s="90">
        <f t="shared" si="41"/>
        <v>26397.963600000003</v>
      </c>
      <c r="S40" s="91"/>
      <c r="T40" s="92"/>
      <c r="U40" s="32"/>
      <c r="V40" s="32"/>
      <c r="W40" s="32"/>
      <c r="X40" s="93"/>
      <c r="Y40" s="32"/>
      <c r="Z40" s="32"/>
      <c r="AA40" s="32">
        <v>0</v>
      </c>
      <c r="AB40" s="32">
        <v>0</v>
      </c>
      <c r="AC40" s="32"/>
      <c r="AD40" s="32">
        <v>0</v>
      </c>
      <c r="AE40" s="32">
        <v>0</v>
      </c>
      <c r="AF40" s="32">
        <v>0</v>
      </c>
      <c r="AG40" s="32">
        <v>0</v>
      </c>
      <c r="AH40" s="32">
        <v>0</v>
      </c>
      <c r="AI40" s="32">
        <v>0</v>
      </c>
      <c r="AJ40" s="93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94">
        <f t="shared" si="7"/>
        <v>0</v>
      </c>
      <c r="AV40" s="95">
        <f t="shared" si="8"/>
        <v>0</v>
      </c>
      <c r="AW40" s="95">
        <f t="shared" si="9"/>
        <v>0</v>
      </c>
      <c r="AX40" s="95">
        <f t="shared" si="10"/>
        <v>0</v>
      </c>
      <c r="AY40" s="95">
        <f t="shared" si="11"/>
        <v>0</v>
      </c>
      <c r="AZ40" s="95">
        <f t="shared" si="12"/>
        <v>0</v>
      </c>
      <c r="BA40" s="95">
        <f t="shared" si="13"/>
        <v>0</v>
      </c>
      <c r="BB40" s="95">
        <f t="shared" si="42"/>
        <v>0</v>
      </c>
      <c r="BC40" s="96">
        <f t="shared" si="14"/>
        <v>0</v>
      </c>
      <c r="BD40" s="96">
        <f t="shared" si="15"/>
        <v>0</v>
      </c>
      <c r="BE40" s="96">
        <f t="shared" si="16"/>
        <v>0</v>
      </c>
      <c r="BF40" s="96">
        <f t="shared" si="17"/>
        <v>0</v>
      </c>
      <c r="BG40" s="96">
        <f t="shared" si="18"/>
        <v>0</v>
      </c>
      <c r="BH40" s="96">
        <f t="shared" si="19"/>
        <v>0</v>
      </c>
      <c r="BI40" s="96">
        <f t="shared" si="20"/>
        <v>0</v>
      </c>
      <c r="BJ40" s="96">
        <f t="shared" si="21"/>
        <v>0</v>
      </c>
      <c r="BK40" s="96">
        <f t="shared" si="22"/>
        <v>0</v>
      </c>
      <c r="BL40" s="96">
        <f t="shared" si="23"/>
        <v>0</v>
      </c>
      <c r="BM40" s="96">
        <f t="shared" si="24"/>
        <v>0</v>
      </c>
      <c r="BN40" s="96"/>
      <c r="BO40" s="95"/>
      <c r="BP40" s="95">
        <f t="shared" si="25"/>
        <v>0</v>
      </c>
      <c r="BQ40" s="95"/>
      <c r="BR40" s="95"/>
      <c r="BS40" s="95">
        <f t="shared" si="26"/>
        <v>0</v>
      </c>
      <c r="BT40" s="95">
        <f t="shared" si="27"/>
        <v>0</v>
      </c>
      <c r="BU40" s="95">
        <f t="shared" si="28"/>
        <v>0</v>
      </c>
      <c r="BV40" s="95">
        <f t="shared" si="29"/>
        <v>0</v>
      </c>
      <c r="BW40" s="95"/>
      <c r="BX40" s="95"/>
      <c r="BY40" s="95"/>
      <c r="BZ40" s="95"/>
      <c r="CA40" s="95">
        <f t="shared" si="43"/>
        <v>0</v>
      </c>
      <c r="CB40" s="97">
        <f t="shared" si="30"/>
        <v>0</v>
      </c>
      <c r="CC40" s="95"/>
      <c r="CD40" s="95"/>
      <c r="CE40" s="95">
        <f t="shared" si="31"/>
        <v>0</v>
      </c>
      <c r="CF40" s="95">
        <f t="shared" si="44"/>
        <v>0</v>
      </c>
      <c r="CG40" s="113"/>
      <c r="CH40" s="22"/>
      <c r="CI40" s="98">
        <f t="shared" si="32"/>
        <v>0</v>
      </c>
      <c r="CJ40" s="95">
        <f t="shared" si="33"/>
        <v>0</v>
      </c>
      <c r="CK40" s="95">
        <f t="shared" si="45"/>
        <v>0</v>
      </c>
      <c r="CL40" s="95"/>
      <c r="CM40" s="99"/>
      <c r="CN40" s="99"/>
      <c r="CO40" s="110"/>
      <c r="CP40" s="99"/>
      <c r="CQ40" s="99"/>
      <c r="CR40" s="99"/>
      <c r="CS40" s="95"/>
      <c r="CT40" s="95"/>
      <c r="CU40" s="96"/>
      <c r="CV40" s="96"/>
      <c r="CW40" s="96"/>
      <c r="CX40" s="96"/>
      <c r="CY40" s="96"/>
      <c r="CZ40" s="93">
        <f t="shared" si="34"/>
        <v>0</v>
      </c>
      <c r="DA40" s="93">
        <f t="shared" si="35"/>
        <v>0</v>
      </c>
      <c r="DB40" s="95">
        <f t="shared" si="46"/>
        <v>0</v>
      </c>
      <c r="DC40" s="100">
        <f t="shared" si="47"/>
        <v>0</v>
      </c>
      <c r="DD40" s="100"/>
      <c r="DE40" s="100">
        <f t="shared" si="38"/>
        <v>0</v>
      </c>
      <c r="DF40" s="13"/>
      <c r="DG40" s="2"/>
      <c r="DH40" s="46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</row>
    <row r="41" spans="1:156" s="1" customFormat="1" hidden="1" x14ac:dyDescent="0.2">
      <c r="A41" s="88">
        <f t="shared" si="3"/>
        <v>509649</v>
      </c>
      <c r="B41" s="21">
        <v>9649</v>
      </c>
      <c r="C41" s="21" t="s">
        <v>98</v>
      </c>
      <c r="D41" s="84" t="s">
        <v>109</v>
      </c>
      <c r="E41" s="114" t="s">
        <v>201</v>
      </c>
      <c r="F41" s="85">
        <v>3</v>
      </c>
      <c r="G41" s="84"/>
      <c r="H41" s="85"/>
      <c r="I41" s="86"/>
      <c r="J41" s="85"/>
      <c r="K41" s="21" t="s">
        <v>10</v>
      </c>
      <c r="L41" s="21"/>
      <c r="M41" s="87"/>
      <c r="N41" s="88"/>
      <c r="O41" s="88">
        <v>8</v>
      </c>
      <c r="P41" s="89">
        <f t="shared" si="39"/>
        <v>5700.7259999999997</v>
      </c>
      <c r="Q41" s="90">
        <f t="shared" si="40"/>
        <v>19002.419999999998</v>
      </c>
      <c r="R41" s="90">
        <f t="shared" si="41"/>
        <v>26397.963600000003</v>
      </c>
      <c r="S41" s="91"/>
      <c r="T41" s="92"/>
      <c r="U41" s="32"/>
      <c r="V41" s="32"/>
      <c r="W41" s="32"/>
      <c r="X41" s="93"/>
      <c r="Y41" s="32"/>
      <c r="Z41" s="32"/>
      <c r="AA41" s="32">
        <v>0</v>
      </c>
      <c r="AB41" s="32">
        <v>0</v>
      </c>
      <c r="AC41" s="32"/>
      <c r="AD41" s="32">
        <v>0</v>
      </c>
      <c r="AE41" s="32">
        <v>0</v>
      </c>
      <c r="AF41" s="32">
        <v>0</v>
      </c>
      <c r="AG41" s="32">
        <v>0</v>
      </c>
      <c r="AH41" s="32">
        <v>0</v>
      </c>
      <c r="AI41" s="32">
        <v>0</v>
      </c>
      <c r="AJ41" s="93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94">
        <f t="shared" si="7"/>
        <v>0</v>
      </c>
      <c r="AV41" s="95">
        <f t="shared" si="8"/>
        <v>0</v>
      </c>
      <c r="AW41" s="95">
        <f t="shared" si="9"/>
        <v>0</v>
      </c>
      <c r="AX41" s="95">
        <f t="shared" si="10"/>
        <v>0</v>
      </c>
      <c r="AY41" s="95">
        <f t="shared" si="11"/>
        <v>0</v>
      </c>
      <c r="AZ41" s="95">
        <f t="shared" si="12"/>
        <v>0</v>
      </c>
      <c r="BA41" s="95">
        <f t="shared" si="13"/>
        <v>0</v>
      </c>
      <c r="BB41" s="95">
        <f t="shared" si="42"/>
        <v>0</v>
      </c>
      <c r="BC41" s="96">
        <f t="shared" si="14"/>
        <v>0</v>
      </c>
      <c r="BD41" s="96">
        <f t="shared" si="15"/>
        <v>0</v>
      </c>
      <c r="BE41" s="96">
        <f t="shared" si="16"/>
        <v>0</v>
      </c>
      <c r="BF41" s="96">
        <f t="shared" si="17"/>
        <v>0</v>
      </c>
      <c r="BG41" s="96">
        <f t="shared" si="18"/>
        <v>0</v>
      </c>
      <c r="BH41" s="96">
        <f t="shared" si="19"/>
        <v>0</v>
      </c>
      <c r="BI41" s="96">
        <f t="shared" si="20"/>
        <v>0</v>
      </c>
      <c r="BJ41" s="96">
        <f t="shared" si="21"/>
        <v>0</v>
      </c>
      <c r="BK41" s="96">
        <f t="shared" si="22"/>
        <v>0</v>
      </c>
      <c r="BL41" s="96">
        <f t="shared" si="23"/>
        <v>0</v>
      </c>
      <c r="BM41" s="96">
        <f t="shared" si="24"/>
        <v>0</v>
      </c>
      <c r="BN41" s="96"/>
      <c r="BO41" s="95"/>
      <c r="BP41" s="95">
        <f t="shared" si="25"/>
        <v>0</v>
      </c>
      <c r="BQ41" s="95"/>
      <c r="BR41" s="95"/>
      <c r="BS41" s="95">
        <f t="shared" si="26"/>
        <v>0</v>
      </c>
      <c r="BT41" s="95">
        <f t="shared" si="27"/>
        <v>0</v>
      </c>
      <c r="BU41" s="95">
        <f t="shared" si="28"/>
        <v>0</v>
      </c>
      <c r="BV41" s="95">
        <f t="shared" si="29"/>
        <v>0</v>
      </c>
      <c r="BW41" s="95"/>
      <c r="BX41" s="95"/>
      <c r="BY41" s="95"/>
      <c r="BZ41" s="95"/>
      <c r="CA41" s="95">
        <f t="shared" si="43"/>
        <v>0</v>
      </c>
      <c r="CB41" s="97">
        <f t="shared" si="30"/>
        <v>0</v>
      </c>
      <c r="CC41" s="95"/>
      <c r="CD41" s="95"/>
      <c r="CE41" s="95">
        <f t="shared" si="31"/>
        <v>0</v>
      </c>
      <c r="CF41" s="95">
        <f t="shared" si="44"/>
        <v>0</v>
      </c>
      <c r="CG41" s="113"/>
      <c r="CH41" s="22"/>
      <c r="CI41" s="98">
        <f t="shared" si="32"/>
        <v>0</v>
      </c>
      <c r="CJ41" s="95">
        <f t="shared" si="33"/>
        <v>0</v>
      </c>
      <c r="CK41" s="95">
        <f t="shared" si="45"/>
        <v>0</v>
      </c>
      <c r="CL41" s="95"/>
      <c r="CM41" s="99"/>
      <c r="CN41" s="99"/>
      <c r="CO41" s="110"/>
      <c r="CP41" s="99"/>
      <c r="CQ41" s="99"/>
      <c r="CR41" s="99"/>
      <c r="CS41" s="95"/>
      <c r="CT41" s="95"/>
      <c r="CU41" s="96"/>
      <c r="CV41" s="96"/>
      <c r="CW41" s="96"/>
      <c r="CX41" s="96"/>
      <c r="CY41" s="96"/>
      <c r="CZ41" s="93">
        <f t="shared" si="34"/>
        <v>0</v>
      </c>
      <c r="DA41" s="93">
        <f t="shared" si="35"/>
        <v>0</v>
      </c>
      <c r="DB41" s="95">
        <f t="shared" si="46"/>
        <v>0</v>
      </c>
      <c r="DC41" s="100">
        <f t="shared" si="47"/>
        <v>0</v>
      </c>
      <c r="DD41" s="100"/>
      <c r="DE41" s="100">
        <f t="shared" si="38"/>
        <v>0</v>
      </c>
      <c r="DF41" s="13"/>
      <c r="DG41" s="2"/>
      <c r="DH41" s="46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</row>
    <row r="42" spans="1:156" s="1" customFormat="1" x14ac:dyDescent="0.2">
      <c r="A42" s="88">
        <f t="shared" si="3"/>
        <v>509748</v>
      </c>
      <c r="B42" s="21">
        <v>9748</v>
      </c>
      <c r="C42" s="21" t="s">
        <v>98</v>
      </c>
      <c r="D42" s="84" t="s">
        <v>163</v>
      </c>
      <c r="E42" s="114" t="s">
        <v>201</v>
      </c>
      <c r="F42" s="85">
        <v>0</v>
      </c>
      <c r="G42" s="84"/>
      <c r="H42" s="85"/>
      <c r="I42" s="86"/>
      <c r="J42" s="85"/>
      <c r="K42" s="21" t="s">
        <v>10</v>
      </c>
      <c r="L42" s="21"/>
      <c r="M42" s="87"/>
      <c r="N42" s="88"/>
      <c r="O42" s="88">
        <v>2</v>
      </c>
      <c r="P42" s="89">
        <f t="shared" si="39"/>
        <v>5700.7259999999997</v>
      </c>
      <c r="Q42" s="90">
        <f t="shared" si="40"/>
        <v>19002.419999999998</v>
      </c>
      <c r="R42" s="90">
        <f t="shared" si="41"/>
        <v>26397.963600000003</v>
      </c>
      <c r="S42" s="91"/>
      <c r="T42" s="92"/>
      <c r="U42" s="32"/>
      <c r="V42" s="32"/>
      <c r="W42" s="32"/>
      <c r="X42" s="93"/>
      <c r="Y42" s="32"/>
      <c r="Z42" s="32"/>
      <c r="AA42" s="32">
        <v>15</v>
      </c>
      <c r="AB42" s="32">
        <v>0</v>
      </c>
      <c r="AC42" s="32"/>
      <c r="AD42" s="32">
        <v>0</v>
      </c>
      <c r="AE42" s="32">
        <v>0</v>
      </c>
      <c r="AF42" s="32">
        <v>0</v>
      </c>
      <c r="AG42" s="32">
        <v>0</v>
      </c>
      <c r="AH42" s="32">
        <v>0</v>
      </c>
      <c r="AI42" s="32">
        <v>4.25</v>
      </c>
      <c r="AJ42" s="93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94">
        <f t="shared" si="7"/>
        <v>0</v>
      </c>
      <c r="AV42" s="95">
        <f t="shared" si="8"/>
        <v>0</v>
      </c>
      <c r="AW42" s="95">
        <f t="shared" si="9"/>
        <v>0</v>
      </c>
      <c r="AX42" s="95">
        <f t="shared" si="10"/>
        <v>0</v>
      </c>
      <c r="AY42" s="95">
        <f t="shared" si="11"/>
        <v>0</v>
      </c>
      <c r="AZ42" s="95">
        <f t="shared" si="12"/>
        <v>0</v>
      </c>
      <c r="BA42" s="95">
        <f t="shared" si="13"/>
        <v>0</v>
      </c>
      <c r="BB42" s="95">
        <f t="shared" si="42"/>
        <v>35629.537499999999</v>
      </c>
      <c r="BC42" s="96">
        <f t="shared" si="14"/>
        <v>0</v>
      </c>
      <c r="BD42" s="96">
        <f t="shared" si="15"/>
        <v>0</v>
      </c>
      <c r="BE42" s="96">
        <f t="shared" si="16"/>
        <v>0</v>
      </c>
      <c r="BF42" s="96">
        <f t="shared" si="17"/>
        <v>0</v>
      </c>
      <c r="BG42" s="96">
        <f t="shared" si="18"/>
        <v>0</v>
      </c>
      <c r="BH42" s="96">
        <f t="shared" si="19"/>
        <v>0</v>
      </c>
      <c r="BI42" s="96">
        <f t="shared" si="20"/>
        <v>80760.284999999989</v>
      </c>
      <c r="BJ42" s="96">
        <f t="shared" si="21"/>
        <v>0</v>
      </c>
      <c r="BK42" s="96">
        <f t="shared" si="22"/>
        <v>0</v>
      </c>
      <c r="BL42" s="96">
        <f t="shared" si="23"/>
        <v>0</v>
      </c>
      <c r="BM42" s="96">
        <f t="shared" si="24"/>
        <v>0</v>
      </c>
      <c r="BN42" s="96"/>
      <c r="BO42" s="95"/>
      <c r="BP42" s="95">
        <f t="shared" si="25"/>
        <v>0</v>
      </c>
      <c r="BQ42" s="95"/>
      <c r="BR42" s="95"/>
      <c r="BS42" s="95">
        <f t="shared" si="26"/>
        <v>0</v>
      </c>
      <c r="BT42" s="95">
        <f t="shared" si="27"/>
        <v>0</v>
      </c>
      <c r="BU42" s="95">
        <f t="shared" si="28"/>
        <v>0</v>
      </c>
      <c r="BV42" s="95">
        <f t="shared" si="29"/>
        <v>0</v>
      </c>
      <c r="BW42" s="95"/>
      <c r="BX42" s="95"/>
      <c r="BY42" s="95"/>
      <c r="BZ42" s="95"/>
      <c r="CA42" s="95">
        <f t="shared" si="43"/>
        <v>0</v>
      </c>
      <c r="CB42" s="97">
        <f t="shared" si="30"/>
        <v>116389.82249999998</v>
      </c>
      <c r="CC42" s="95"/>
      <c r="CD42" s="95"/>
      <c r="CE42" s="95">
        <f t="shared" si="31"/>
        <v>-3491.6946749999993</v>
      </c>
      <c r="CF42" s="95">
        <f t="shared" si="44"/>
        <v>-1163.8982249999999</v>
      </c>
      <c r="CG42" s="113"/>
      <c r="CH42" s="22"/>
      <c r="CI42" s="98">
        <f t="shared" si="32"/>
        <v>161688.74141699995</v>
      </c>
      <c r="CJ42" s="95">
        <f t="shared" si="33"/>
        <v>-4850.6622425099986</v>
      </c>
      <c r="CK42" s="95">
        <f t="shared" si="45"/>
        <v>-1616.8874141699996</v>
      </c>
      <c r="CL42" s="95"/>
      <c r="CM42" s="99"/>
      <c r="CN42" s="99"/>
      <c r="CO42" s="110"/>
      <c r="CP42" s="99"/>
      <c r="CQ42" s="99"/>
      <c r="CR42" s="99"/>
      <c r="CS42" s="95"/>
      <c r="CT42" s="95"/>
      <c r="CU42" s="96"/>
      <c r="CV42" s="96"/>
      <c r="CW42" s="96"/>
      <c r="CX42" s="96"/>
      <c r="CY42" s="96"/>
      <c r="CZ42" s="93">
        <f t="shared" si="34"/>
        <v>0</v>
      </c>
      <c r="DA42" s="93">
        <f t="shared" si="35"/>
        <v>0</v>
      </c>
      <c r="DB42" s="95">
        <f t="shared" si="46"/>
        <v>266955.42136031989</v>
      </c>
      <c r="DC42" s="100">
        <f t="shared" si="47"/>
        <v>266955</v>
      </c>
      <c r="DD42" s="100"/>
      <c r="DE42" s="100">
        <f t="shared" si="38"/>
        <v>-266955</v>
      </c>
      <c r="DF42" s="13"/>
      <c r="DG42" s="2"/>
      <c r="DH42" s="46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</row>
    <row r="43" spans="1:156" s="1" customFormat="1" x14ac:dyDescent="0.2">
      <c r="A43" s="88">
        <f t="shared" si="3"/>
        <v>509749</v>
      </c>
      <c r="B43" s="21">
        <v>9749</v>
      </c>
      <c r="C43" s="21" t="s">
        <v>98</v>
      </c>
      <c r="D43" s="84" t="s">
        <v>164</v>
      </c>
      <c r="E43" s="114" t="s">
        <v>201</v>
      </c>
      <c r="F43" s="85">
        <v>0</v>
      </c>
      <c r="G43" s="84"/>
      <c r="H43" s="85"/>
      <c r="I43" s="86"/>
      <c r="J43" s="85"/>
      <c r="K43" s="21" t="s">
        <v>10</v>
      </c>
      <c r="L43" s="21"/>
      <c r="M43" s="87"/>
      <c r="N43" s="88"/>
      <c r="O43" s="88">
        <v>0</v>
      </c>
      <c r="P43" s="89">
        <f t="shared" si="39"/>
        <v>5700.7259999999997</v>
      </c>
      <c r="Q43" s="90">
        <f t="shared" si="40"/>
        <v>19002.419999999998</v>
      </c>
      <c r="R43" s="90">
        <f t="shared" si="41"/>
        <v>26397.963600000003</v>
      </c>
      <c r="S43" s="91"/>
      <c r="T43" s="92"/>
      <c r="U43" s="32"/>
      <c r="V43" s="32"/>
      <c r="W43" s="32"/>
      <c r="X43" s="93"/>
      <c r="Y43" s="32"/>
      <c r="Z43" s="32"/>
      <c r="AA43" s="32">
        <v>15</v>
      </c>
      <c r="AB43" s="32">
        <v>0</v>
      </c>
      <c r="AC43" s="32"/>
      <c r="AD43" s="32">
        <v>0</v>
      </c>
      <c r="AE43" s="32">
        <v>0</v>
      </c>
      <c r="AF43" s="32">
        <v>0</v>
      </c>
      <c r="AG43" s="32">
        <v>0</v>
      </c>
      <c r="AH43" s="32">
        <v>0</v>
      </c>
      <c r="AI43" s="32">
        <v>4.25</v>
      </c>
      <c r="AJ43" s="93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94">
        <f t="shared" si="7"/>
        <v>0</v>
      </c>
      <c r="AV43" s="95">
        <f t="shared" si="8"/>
        <v>0</v>
      </c>
      <c r="AW43" s="95">
        <f t="shared" si="9"/>
        <v>0</v>
      </c>
      <c r="AX43" s="95">
        <f t="shared" si="10"/>
        <v>0</v>
      </c>
      <c r="AY43" s="95">
        <f t="shared" si="11"/>
        <v>0</v>
      </c>
      <c r="AZ43" s="95">
        <f t="shared" si="12"/>
        <v>0</v>
      </c>
      <c r="BA43" s="95">
        <f t="shared" si="13"/>
        <v>0</v>
      </c>
      <c r="BB43" s="95">
        <f t="shared" si="42"/>
        <v>35629.537499999999</v>
      </c>
      <c r="BC43" s="96">
        <f t="shared" si="14"/>
        <v>0</v>
      </c>
      <c r="BD43" s="96">
        <f t="shared" si="15"/>
        <v>0</v>
      </c>
      <c r="BE43" s="96">
        <f t="shared" si="16"/>
        <v>0</v>
      </c>
      <c r="BF43" s="96">
        <f t="shared" si="17"/>
        <v>0</v>
      </c>
      <c r="BG43" s="96">
        <f t="shared" si="18"/>
        <v>0</v>
      </c>
      <c r="BH43" s="96">
        <f t="shared" si="19"/>
        <v>0</v>
      </c>
      <c r="BI43" s="96">
        <f t="shared" si="20"/>
        <v>80760.284999999989</v>
      </c>
      <c r="BJ43" s="96">
        <f t="shared" si="21"/>
        <v>0</v>
      </c>
      <c r="BK43" s="96">
        <f t="shared" si="22"/>
        <v>0</v>
      </c>
      <c r="BL43" s="96">
        <f t="shared" si="23"/>
        <v>0</v>
      </c>
      <c r="BM43" s="96">
        <f t="shared" si="24"/>
        <v>0</v>
      </c>
      <c r="BN43" s="96"/>
      <c r="BO43" s="95"/>
      <c r="BP43" s="95">
        <f t="shared" si="25"/>
        <v>0</v>
      </c>
      <c r="BQ43" s="95"/>
      <c r="BR43" s="95"/>
      <c r="BS43" s="95">
        <f t="shared" si="26"/>
        <v>0</v>
      </c>
      <c r="BT43" s="95">
        <f t="shared" si="27"/>
        <v>0</v>
      </c>
      <c r="BU43" s="95">
        <f t="shared" si="28"/>
        <v>0</v>
      </c>
      <c r="BV43" s="95">
        <f t="shared" si="29"/>
        <v>0</v>
      </c>
      <c r="BW43" s="95"/>
      <c r="BX43" s="95"/>
      <c r="BY43" s="95"/>
      <c r="BZ43" s="95"/>
      <c r="CA43" s="95">
        <f t="shared" si="43"/>
        <v>0</v>
      </c>
      <c r="CB43" s="97">
        <f t="shared" si="30"/>
        <v>116389.82249999998</v>
      </c>
      <c r="CC43" s="95"/>
      <c r="CD43" s="95"/>
      <c r="CE43" s="95">
        <f t="shared" si="31"/>
        <v>-3491.6946749999993</v>
      </c>
      <c r="CF43" s="95">
        <f t="shared" si="44"/>
        <v>-1163.8982249999999</v>
      </c>
      <c r="CG43" s="113"/>
      <c r="CH43" s="22"/>
      <c r="CI43" s="98">
        <f t="shared" si="32"/>
        <v>161688.74141699995</v>
      </c>
      <c r="CJ43" s="95">
        <f t="shared" si="33"/>
        <v>-4850.6622425099986</v>
      </c>
      <c r="CK43" s="95">
        <f t="shared" si="45"/>
        <v>-1616.8874141699996</v>
      </c>
      <c r="CL43" s="95"/>
      <c r="CM43" s="99"/>
      <c r="CN43" s="99"/>
      <c r="CO43" s="110"/>
      <c r="CP43" s="99"/>
      <c r="CQ43" s="99"/>
      <c r="CR43" s="99"/>
      <c r="CS43" s="95"/>
      <c r="CT43" s="95"/>
      <c r="CU43" s="96"/>
      <c r="CV43" s="96"/>
      <c r="CW43" s="96"/>
      <c r="CX43" s="96"/>
      <c r="CY43" s="96"/>
      <c r="CZ43" s="93">
        <f t="shared" si="34"/>
        <v>0</v>
      </c>
      <c r="DA43" s="93">
        <f t="shared" si="35"/>
        <v>0</v>
      </c>
      <c r="DB43" s="95">
        <f t="shared" si="46"/>
        <v>266955.42136031989</v>
      </c>
      <c r="DC43" s="100">
        <f t="shared" si="47"/>
        <v>266955</v>
      </c>
      <c r="DD43" s="100"/>
      <c r="DE43" s="100">
        <f t="shared" si="38"/>
        <v>-266955</v>
      </c>
      <c r="DF43" s="13"/>
      <c r="DG43" s="2"/>
      <c r="DH43" s="46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</row>
    <row r="44" spans="1:156" s="1" customFormat="1" hidden="1" x14ac:dyDescent="0.2">
      <c r="A44" s="88">
        <f t="shared" si="3"/>
        <v>509669</v>
      </c>
      <c r="B44" s="21">
        <v>9669</v>
      </c>
      <c r="C44" s="21" t="s">
        <v>98</v>
      </c>
      <c r="D44" s="84" t="s">
        <v>120</v>
      </c>
      <c r="E44" s="115" t="s">
        <v>202</v>
      </c>
      <c r="F44" s="85">
        <v>0</v>
      </c>
      <c r="G44" s="84"/>
      <c r="H44" s="85"/>
      <c r="I44" s="86"/>
      <c r="J44" s="85"/>
      <c r="K44" s="21" t="s">
        <v>10</v>
      </c>
      <c r="L44" s="21"/>
      <c r="M44" s="87"/>
      <c r="N44" s="88"/>
      <c r="O44" s="88">
        <v>15</v>
      </c>
      <c r="P44" s="89">
        <f t="shared" si="39"/>
        <v>5700.7259999999997</v>
      </c>
      <c r="Q44" s="90">
        <f t="shared" si="40"/>
        <v>19002.419999999998</v>
      </c>
      <c r="R44" s="90">
        <f t="shared" si="41"/>
        <v>26397.963600000003</v>
      </c>
      <c r="S44" s="91"/>
      <c r="T44" s="92"/>
      <c r="U44" s="32"/>
      <c r="V44" s="32"/>
      <c r="W44" s="32"/>
      <c r="X44" s="93"/>
      <c r="Y44" s="32"/>
      <c r="Z44" s="32"/>
      <c r="AA44" s="32">
        <v>0</v>
      </c>
      <c r="AB44" s="32">
        <v>0</v>
      </c>
      <c r="AC44" s="32"/>
      <c r="AD44" s="32">
        <v>0</v>
      </c>
      <c r="AE44" s="32">
        <v>0</v>
      </c>
      <c r="AF44" s="32">
        <v>0</v>
      </c>
      <c r="AG44" s="32">
        <v>0</v>
      </c>
      <c r="AH44" s="32">
        <v>0</v>
      </c>
      <c r="AI44" s="32">
        <v>0</v>
      </c>
      <c r="AJ44" s="93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94">
        <f t="shared" si="7"/>
        <v>0</v>
      </c>
      <c r="AV44" s="95">
        <f t="shared" si="8"/>
        <v>0</v>
      </c>
      <c r="AW44" s="95">
        <f t="shared" si="9"/>
        <v>0</v>
      </c>
      <c r="AX44" s="95">
        <f t="shared" si="10"/>
        <v>0</v>
      </c>
      <c r="AY44" s="95">
        <f t="shared" si="11"/>
        <v>0</v>
      </c>
      <c r="AZ44" s="95">
        <f t="shared" si="12"/>
        <v>0</v>
      </c>
      <c r="BA44" s="95">
        <f t="shared" si="13"/>
        <v>0</v>
      </c>
      <c r="BB44" s="95">
        <f t="shared" si="42"/>
        <v>0</v>
      </c>
      <c r="BC44" s="96">
        <f t="shared" si="14"/>
        <v>0</v>
      </c>
      <c r="BD44" s="96">
        <f t="shared" si="15"/>
        <v>0</v>
      </c>
      <c r="BE44" s="96">
        <f t="shared" si="16"/>
        <v>0</v>
      </c>
      <c r="BF44" s="96">
        <f t="shared" si="17"/>
        <v>0</v>
      </c>
      <c r="BG44" s="96">
        <f t="shared" si="18"/>
        <v>0</v>
      </c>
      <c r="BH44" s="96">
        <f t="shared" si="19"/>
        <v>0</v>
      </c>
      <c r="BI44" s="96">
        <f t="shared" si="20"/>
        <v>0</v>
      </c>
      <c r="BJ44" s="96">
        <f t="shared" si="21"/>
        <v>0</v>
      </c>
      <c r="BK44" s="96">
        <f t="shared" si="22"/>
        <v>0</v>
      </c>
      <c r="BL44" s="96">
        <f t="shared" si="23"/>
        <v>0</v>
      </c>
      <c r="BM44" s="96">
        <f t="shared" si="24"/>
        <v>0</v>
      </c>
      <c r="BN44" s="96"/>
      <c r="BO44" s="95"/>
      <c r="BP44" s="95">
        <f t="shared" si="25"/>
        <v>0</v>
      </c>
      <c r="BQ44" s="95"/>
      <c r="BR44" s="95"/>
      <c r="BS44" s="95">
        <f t="shared" si="26"/>
        <v>0</v>
      </c>
      <c r="BT44" s="95">
        <f t="shared" si="27"/>
        <v>0</v>
      </c>
      <c r="BU44" s="95">
        <f t="shared" si="28"/>
        <v>0</v>
      </c>
      <c r="BV44" s="95">
        <f t="shared" si="29"/>
        <v>0</v>
      </c>
      <c r="BW44" s="95"/>
      <c r="BX44" s="95"/>
      <c r="BY44" s="95"/>
      <c r="BZ44" s="95"/>
      <c r="CA44" s="95">
        <f t="shared" si="43"/>
        <v>0</v>
      </c>
      <c r="CB44" s="97">
        <f t="shared" si="30"/>
        <v>0</v>
      </c>
      <c r="CC44" s="95"/>
      <c r="CD44" s="95"/>
      <c r="CE44" s="95">
        <f t="shared" si="31"/>
        <v>0</v>
      </c>
      <c r="CF44" s="95">
        <f t="shared" si="44"/>
        <v>0</v>
      </c>
      <c r="CG44" s="113"/>
      <c r="CH44" s="22"/>
      <c r="CI44" s="98">
        <f t="shared" si="32"/>
        <v>0</v>
      </c>
      <c r="CJ44" s="95">
        <f t="shared" si="33"/>
        <v>0</v>
      </c>
      <c r="CK44" s="95">
        <f t="shared" si="45"/>
        <v>0</v>
      </c>
      <c r="CL44" s="95"/>
      <c r="CM44" s="99"/>
      <c r="CN44" s="99"/>
      <c r="CO44" s="110"/>
      <c r="CP44" s="99"/>
      <c r="CQ44" s="99"/>
      <c r="CR44" s="99"/>
      <c r="CS44" s="95"/>
      <c r="CT44" s="95"/>
      <c r="CU44" s="96"/>
      <c r="CV44" s="96"/>
      <c r="CW44" s="96"/>
      <c r="CX44" s="96"/>
      <c r="CY44" s="96"/>
      <c r="CZ44" s="93">
        <f t="shared" si="34"/>
        <v>0</v>
      </c>
      <c r="DA44" s="93">
        <f t="shared" si="35"/>
        <v>0</v>
      </c>
      <c r="DB44" s="95">
        <f t="shared" si="46"/>
        <v>0</v>
      </c>
      <c r="DC44" s="100">
        <f t="shared" si="47"/>
        <v>0</v>
      </c>
      <c r="DD44" s="100"/>
      <c r="DE44" s="100">
        <f t="shared" si="38"/>
        <v>0</v>
      </c>
      <c r="DF44" s="13"/>
      <c r="DG44" s="2"/>
      <c r="DH44" s="46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</row>
    <row r="45" spans="1:156" s="1" customFormat="1" hidden="1" x14ac:dyDescent="0.2">
      <c r="A45" s="88">
        <f t="shared" si="3"/>
        <v>509861</v>
      </c>
      <c r="B45" s="140">
        <v>9861</v>
      </c>
      <c r="C45" s="140" t="s">
        <v>98</v>
      </c>
      <c r="D45" s="141" t="s">
        <v>193</v>
      </c>
      <c r="E45" s="115" t="s">
        <v>202</v>
      </c>
      <c r="F45" s="85">
        <v>0</v>
      </c>
      <c r="G45" s="84"/>
      <c r="H45" s="85"/>
      <c r="I45" s="86"/>
      <c r="J45" s="85"/>
      <c r="K45" s="21" t="s">
        <v>10</v>
      </c>
      <c r="L45" s="21"/>
      <c r="M45" s="87"/>
      <c r="N45" s="88"/>
      <c r="O45" s="88">
        <v>0</v>
      </c>
      <c r="P45" s="89">
        <f t="shared" si="39"/>
        <v>5700.7259999999997</v>
      </c>
      <c r="Q45" s="90">
        <f t="shared" si="40"/>
        <v>19002.419999999998</v>
      </c>
      <c r="R45" s="90">
        <f t="shared" si="41"/>
        <v>26397.963600000003</v>
      </c>
      <c r="S45" s="91"/>
      <c r="T45" s="92"/>
      <c r="U45" s="32"/>
      <c r="V45" s="32"/>
      <c r="W45" s="32"/>
      <c r="X45" s="93"/>
      <c r="Y45" s="32"/>
      <c r="Z45" s="32"/>
      <c r="AA45" s="32">
        <v>0</v>
      </c>
      <c r="AB45" s="32">
        <v>0</v>
      </c>
      <c r="AC45" s="32"/>
      <c r="AD45" s="32">
        <v>0</v>
      </c>
      <c r="AE45" s="32">
        <v>0</v>
      </c>
      <c r="AF45" s="32">
        <v>0</v>
      </c>
      <c r="AG45" s="32">
        <v>0</v>
      </c>
      <c r="AH45" s="32">
        <v>0</v>
      </c>
      <c r="AI45" s="32">
        <v>0</v>
      </c>
      <c r="AJ45" s="93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94">
        <f t="shared" si="7"/>
        <v>0</v>
      </c>
      <c r="AV45" s="95">
        <f t="shared" si="8"/>
        <v>0</v>
      </c>
      <c r="AW45" s="95">
        <f t="shared" si="9"/>
        <v>0</v>
      </c>
      <c r="AX45" s="95">
        <f t="shared" si="10"/>
        <v>0</v>
      </c>
      <c r="AY45" s="95">
        <f t="shared" si="11"/>
        <v>0</v>
      </c>
      <c r="AZ45" s="95">
        <f t="shared" si="12"/>
        <v>0</v>
      </c>
      <c r="BA45" s="95">
        <f t="shared" si="13"/>
        <v>0</v>
      </c>
      <c r="BB45" s="95">
        <f t="shared" si="42"/>
        <v>0</v>
      </c>
      <c r="BC45" s="96">
        <f t="shared" si="14"/>
        <v>0</v>
      </c>
      <c r="BD45" s="96">
        <f t="shared" si="15"/>
        <v>0</v>
      </c>
      <c r="BE45" s="96">
        <f t="shared" si="16"/>
        <v>0</v>
      </c>
      <c r="BF45" s="96">
        <f t="shared" si="17"/>
        <v>0</v>
      </c>
      <c r="BG45" s="96">
        <f t="shared" si="18"/>
        <v>0</v>
      </c>
      <c r="BH45" s="96">
        <f t="shared" si="19"/>
        <v>0</v>
      </c>
      <c r="BI45" s="96">
        <f t="shared" si="20"/>
        <v>0</v>
      </c>
      <c r="BJ45" s="96">
        <f t="shared" si="21"/>
        <v>0</v>
      </c>
      <c r="BK45" s="96">
        <f t="shared" si="22"/>
        <v>0</v>
      </c>
      <c r="BL45" s="96">
        <f t="shared" si="23"/>
        <v>0</v>
      </c>
      <c r="BM45" s="96">
        <f t="shared" si="24"/>
        <v>0</v>
      </c>
      <c r="BN45" s="96"/>
      <c r="BO45" s="95"/>
      <c r="BP45" s="95">
        <f t="shared" si="25"/>
        <v>0</v>
      </c>
      <c r="BQ45" s="95"/>
      <c r="BR45" s="95"/>
      <c r="BS45" s="95">
        <f t="shared" si="26"/>
        <v>0</v>
      </c>
      <c r="BT45" s="95">
        <f t="shared" si="27"/>
        <v>0</v>
      </c>
      <c r="BU45" s="95">
        <f t="shared" si="28"/>
        <v>0</v>
      </c>
      <c r="BV45" s="95">
        <f t="shared" si="29"/>
        <v>0</v>
      </c>
      <c r="BW45" s="95"/>
      <c r="BX45" s="95"/>
      <c r="BY45" s="95"/>
      <c r="BZ45" s="95"/>
      <c r="CA45" s="95">
        <f t="shared" si="43"/>
        <v>0</v>
      </c>
      <c r="CB45" s="97">
        <f t="shared" si="30"/>
        <v>0</v>
      </c>
      <c r="CC45" s="95"/>
      <c r="CD45" s="95"/>
      <c r="CE45" s="95">
        <f t="shared" si="31"/>
        <v>0</v>
      </c>
      <c r="CF45" s="95">
        <f t="shared" si="44"/>
        <v>0</v>
      </c>
      <c r="CG45" s="113"/>
      <c r="CH45" s="22"/>
      <c r="CI45" s="98">
        <f t="shared" si="32"/>
        <v>0</v>
      </c>
      <c r="CJ45" s="95">
        <f t="shared" si="33"/>
        <v>0</v>
      </c>
      <c r="CK45" s="95">
        <f t="shared" si="45"/>
        <v>0</v>
      </c>
      <c r="CL45" s="95"/>
      <c r="CM45" s="99"/>
      <c r="CN45" s="99"/>
      <c r="CO45" s="110"/>
      <c r="CP45" s="99"/>
      <c r="CQ45" s="99"/>
      <c r="CR45" s="99"/>
      <c r="CS45" s="95"/>
      <c r="CT45" s="95"/>
      <c r="CU45" s="96"/>
      <c r="CV45" s="96"/>
      <c r="CW45" s="96"/>
      <c r="CX45" s="96"/>
      <c r="CY45" s="96"/>
      <c r="CZ45" s="93">
        <f t="shared" si="34"/>
        <v>0</v>
      </c>
      <c r="DA45" s="93">
        <f t="shared" si="35"/>
        <v>0</v>
      </c>
      <c r="DB45" s="95">
        <f t="shared" si="46"/>
        <v>0</v>
      </c>
      <c r="DC45" s="100">
        <f t="shared" si="47"/>
        <v>0</v>
      </c>
      <c r="DD45" s="100"/>
      <c r="DE45" s="100">
        <f t="shared" si="38"/>
        <v>0</v>
      </c>
      <c r="DF45" s="13"/>
      <c r="DG45" s="2"/>
      <c r="DH45" s="46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</row>
    <row r="46" spans="1:156" s="1" customFormat="1" hidden="1" x14ac:dyDescent="0.2">
      <c r="A46" s="88">
        <f t="shared" si="3"/>
        <v>509670</v>
      </c>
      <c r="B46" s="21">
        <v>9670</v>
      </c>
      <c r="C46" s="21" t="s">
        <v>98</v>
      </c>
      <c r="D46" s="84" t="s">
        <v>121</v>
      </c>
      <c r="E46" s="115" t="s">
        <v>202</v>
      </c>
      <c r="F46" s="85">
        <v>3</v>
      </c>
      <c r="G46" s="84"/>
      <c r="H46" s="85"/>
      <c r="I46" s="86"/>
      <c r="J46" s="85"/>
      <c r="K46" s="21" t="s">
        <v>10</v>
      </c>
      <c r="L46" s="21"/>
      <c r="M46" s="87"/>
      <c r="N46" s="88"/>
      <c r="O46" s="88">
        <v>8</v>
      </c>
      <c r="P46" s="89">
        <f t="shared" si="39"/>
        <v>5700.7259999999997</v>
      </c>
      <c r="Q46" s="90">
        <f t="shared" si="40"/>
        <v>19002.419999999998</v>
      </c>
      <c r="R46" s="90">
        <f t="shared" si="41"/>
        <v>26397.963600000003</v>
      </c>
      <c r="S46" s="91"/>
      <c r="T46" s="92"/>
      <c r="U46" s="32"/>
      <c r="V46" s="32"/>
      <c r="W46" s="32"/>
      <c r="X46" s="93"/>
      <c r="Y46" s="32"/>
      <c r="Z46" s="32"/>
      <c r="AA46" s="32">
        <v>0</v>
      </c>
      <c r="AB46" s="32">
        <v>0</v>
      </c>
      <c r="AC46" s="32"/>
      <c r="AD46" s="32">
        <v>0</v>
      </c>
      <c r="AE46" s="32">
        <v>0</v>
      </c>
      <c r="AF46" s="32">
        <v>0</v>
      </c>
      <c r="AG46" s="32">
        <v>0</v>
      </c>
      <c r="AH46" s="32">
        <v>0</v>
      </c>
      <c r="AI46" s="32">
        <v>0</v>
      </c>
      <c r="AJ46" s="93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94">
        <f t="shared" si="7"/>
        <v>0</v>
      </c>
      <c r="AV46" s="95">
        <f t="shared" si="8"/>
        <v>0</v>
      </c>
      <c r="AW46" s="95">
        <f t="shared" si="9"/>
        <v>0</v>
      </c>
      <c r="AX46" s="95">
        <f t="shared" si="10"/>
        <v>0</v>
      </c>
      <c r="AY46" s="95">
        <f t="shared" si="11"/>
        <v>0</v>
      </c>
      <c r="AZ46" s="95">
        <f t="shared" si="12"/>
        <v>0</v>
      </c>
      <c r="BA46" s="95">
        <f t="shared" si="13"/>
        <v>0</v>
      </c>
      <c r="BB46" s="95">
        <f t="shared" si="42"/>
        <v>0</v>
      </c>
      <c r="BC46" s="96">
        <f t="shared" si="14"/>
        <v>0</v>
      </c>
      <c r="BD46" s="96">
        <f t="shared" si="15"/>
        <v>0</v>
      </c>
      <c r="BE46" s="96">
        <f t="shared" si="16"/>
        <v>0</v>
      </c>
      <c r="BF46" s="96">
        <f t="shared" si="17"/>
        <v>0</v>
      </c>
      <c r="BG46" s="96">
        <f t="shared" si="18"/>
        <v>0</v>
      </c>
      <c r="BH46" s="96">
        <f t="shared" si="19"/>
        <v>0</v>
      </c>
      <c r="BI46" s="96">
        <f t="shared" si="20"/>
        <v>0</v>
      </c>
      <c r="BJ46" s="96">
        <f t="shared" si="21"/>
        <v>0</v>
      </c>
      <c r="BK46" s="96">
        <f t="shared" si="22"/>
        <v>0</v>
      </c>
      <c r="BL46" s="96">
        <f t="shared" si="23"/>
        <v>0</v>
      </c>
      <c r="BM46" s="96">
        <f t="shared" si="24"/>
        <v>0</v>
      </c>
      <c r="BN46" s="96"/>
      <c r="BO46" s="95"/>
      <c r="BP46" s="95">
        <f t="shared" si="25"/>
        <v>0</v>
      </c>
      <c r="BQ46" s="95"/>
      <c r="BR46" s="95"/>
      <c r="BS46" s="95">
        <f t="shared" si="26"/>
        <v>0</v>
      </c>
      <c r="BT46" s="95">
        <f t="shared" si="27"/>
        <v>0</v>
      </c>
      <c r="BU46" s="95">
        <f t="shared" si="28"/>
        <v>0</v>
      </c>
      <c r="BV46" s="95">
        <f t="shared" si="29"/>
        <v>0</v>
      </c>
      <c r="BW46" s="95"/>
      <c r="BX46" s="95"/>
      <c r="BY46" s="95"/>
      <c r="BZ46" s="95"/>
      <c r="CA46" s="95">
        <f t="shared" si="43"/>
        <v>0</v>
      </c>
      <c r="CB46" s="97">
        <f t="shared" si="30"/>
        <v>0</v>
      </c>
      <c r="CC46" s="95"/>
      <c r="CD46" s="95"/>
      <c r="CE46" s="95">
        <f t="shared" si="31"/>
        <v>0</v>
      </c>
      <c r="CF46" s="95">
        <f t="shared" si="44"/>
        <v>0</v>
      </c>
      <c r="CG46" s="113"/>
      <c r="CH46" s="22"/>
      <c r="CI46" s="98">
        <f t="shared" si="32"/>
        <v>0</v>
      </c>
      <c r="CJ46" s="95">
        <f t="shared" si="33"/>
        <v>0</v>
      </c>
      <c r="CK46" s="95">
        <f t="shared" si="45"/>
        <v>0</v>
      </c>
      <c r="CL46" s="95"/>
      <c r="CM46" s="99"/>
      <c r="CN46" s="99"/>
      <c r="CO46" s="110"/>
      <c r="CP46" s="99"/>
      <c r="CQ46" s="99"/>
      <c r="CR46" s="99"/>
      <c r="CS46" s="95"/>
      <c r="CT46" s="95"/>
      <c r="CU46" s="96"/>
      <c r="CV46" s="96"/>
      <c r="CW46" s="96"/>
      <c r="CX46" s="96"/>
      <c r="CY46" s="96"/>
      <c r="CZ46" s="93">
        <f t="shared" si="34"/>
        <v>0</v>
      </c>
      <c r="DA46" s="93">
        <f t="shared" si="35"/>
        <v>0</v>
      </c>
      <c r="DB46" s="95">
        <f t="shared" si="46"/>
        <v>0</v>
      </c>
      <c r="DC46" s="100">
        <f t="shared" si="47"/>
        <v>0</v>
      </c>
      <c r="DD46" s="100"/>
      <c r="DE46" s="100">
        <f t="shared" si="38"/>
        <v>0</v>
      </c>
      <c r="DF46" s="13"/>
      <c r="DG46" s="2"/>
      <c r="DH46" s="46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</row>
    <row r="47" spans="1:156" s="1" customFormat="1" hidden="1" x14ac:dyDescent="0.2">
      <c r="A47" s="88">
        <f t="shared" si="3"/>
        <v>509671</v>
      </c>
      <c r="B47" s="21">
        <v>9671</v>
      </c>
      <c r="C47" s="21" t="s">
        <v>98</v>
      </c>
      <c r="D47" s="84" t="s">
        <v>122</v>
      </c>
      <c r="E47" s="115" t="s">
        <v>202</v>
      </c>
      <c r="F47" s="85">
        <v>3</v>
      </c>
      <c r="G47" s="84"/>
      <c r="H47" s="85"/>
      <c r="I47" s="86"/>
      <c r="J47" s="85"/>
      <c r="K47" s="21" t="s">
        <v>8</v>
      </c>
      <c r="L47" s="21"/>
      <c r="M47" s="87"/>
      <c r="N47" s="88"/>
      <c r="O47" s="88">
        <v>19</v>
      </c>
      <c r="P47" s="89">
        <f t="shared" si="39"/>
        <v>5401.2359999999999</v>
      </c>
      <c r="Q47" s="90">
        <f t="shared" si="40"/>
        <v>18004.12</v>
      </c>
      <c r="R47" s="90">
        <f t="shared" si="41"/>
        <v>25011.1211</v>
      </c>
      <c r="S47" s="91"/>
      <c r="T47" s="92"/>
      <c r="U47" s="32"/>
      <c r="V47" s="32"/>
      <c r="W47" s="32"/>
      <c r="X47" s="93"/>
      <c r="Y47" s="32"/>
      <c r="Z47" s="32"/>
      <c r="AA47" s="32">
        <v>0</v>
      </c>
      <c r="AB47" s="32">
        <v>0</v>
      </c>
      <c r="AC47" s="32"/>
      <c r="AD47" s="32">
        <v>0</v>
      </c>
      <c r="AE47" s="32">
        <v>0</v>
      </c>
      <c r="AF47" s="32">
        <v>0</v>
      </c>
      <c r="AG47" s="32">
        <v>0</v>
      </c>
      <c r="AH47" s="32">
        <v>0</v>
      </c>
      <c r="AI47" s="32">
        <v>0</v>
      </c>
      <c r="AJ47" s="93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94">
        <f t="shared" si="7"/>
        <v>0</v>
      </c>
      <c r="AV47" s="95">
        <f t="shared" si="8"/>
        <v>0</v>
      </c>
      <c r="AW47" s="95">
        <f t="shared" si="9"/>
        <v>0</v>
      </c>
      <c r="AX47" s="95">
        <f t="shared" si="10"/>
        <v>0</v>
      </c>
      <c r="AY47" s="95">
        <f t="shared" si="11"/>
        <v>0</v>
      </c>
      <c r="AZ47" s="95">
        <f t="shared" si="12"/>
        <v>0</v>
      </c>
      <c r="BA47" s="95">
        <f t="shared" si="13"/>
        <v>0</v>
      </c>
      <c r="BB47" s="95">
        <f t="shared" si="42"/>
        <v>0</v>
      </c>
      <c r="BC47" s="96">
        <f t="shared" si="14"/>
        <v>0</v>
      </c>
      <c r="BD47" s="96">
        <f t="shared" si="15"/>
        <v>0</v>
      </c>
      <c r="BE47" s="96">
        <f t="shared" si="16"/>
        <v>0</v>
      </c>
      <c r="BF47" s="96">
        <f t="shared" si="17"/>
        <v>0</v>
      </c>
      <c r="BG47" s="96">
        <f t="shared" si="18"/>
        <v>0</v>
      </c>
      <c r="BH47" s="96">
        <f t="shared" si="19"/>
        <v>0</v>
      </c>
      <c r="BI47" s="96">
        <f t="shared" si="20"/>
        <v>0</v>
      </c>
      <c r="BJ47" s="96">
        <f t="shared" si="21"/>
        <v>0</v>
      </c>
      <c r="BK47" s="96">
        <f t="shared" si="22"/>
        <v>0</v>
      </c>
      <c r="BL47" s="96">
        <f t="shared" si="23"/>
        <v>0</v>
      </c>
      <c r="BM47" s="96">
        <f t="shared" si="24"/>
        <v>0</v>
      </c>
      <c r="BN47" s="96"/>
      <c r="BO47" s="95"/>
      <c r="BP47" s="95">
        <f t="shared" si="25"/>
        <v>0</v>
      </c>
      <c r="BQ47" s="95"/>
      <c r="BR47" s="95"/>
      <c r="BS47" s="95">
        <f t="shared" si="26"/>
        <v>0</v>
      </c>
      <c r="BT47" s="95">
        <f t="shared" si="27"/>
        <v>0</v>
      </c>
      <c r="BU47" s="95">
        <f t="shared" si="28"/>
        <v>0</v>
      </c>
      <c r="BV47" s="95">
        <f t="shared" si="29"/>
        <v>0</v>
      </c>
      <c r="BW47" s="95"/>
      <c r="BX47" s="95"/>
      <c r="BY47" s="95"/>
      <c r="BZ47" s="95"/>
      <c r="CA47" s="95">
        <f t="shared" si="43"/>
        <v>0</v>
      </c>
      <c r="CB47" s="97">
        <f t="shared" si="30"/>
        <v>0</v>
      </c>
      <c r="CC47" s="95"/>
      <c r="CD47" s="95"/>
      <c r="CE47" s="95">
        <f t="shared" si="31"/>
        <v>0</v>
      </c>
      <c r="CF47" s="95">
        <f t="shared" si="44"/>
        <v>0</v>
      </c>
      <c r="CG47" s="113"/>
      <c r="CH47" s="22"/>
      <c r="CI47" s="98">
        <f t="shared" si="32"/>
        <v>0</v>
      </c>
      <c r="CJ47" s="95">
        <f t="shared" si="33"/>
        <v>0</v>
      </c>
      <c r="CK47" s="95">
        <f t="shared" si="45"/>
        <v>0</v>
      </c>
      <c r="CL47" s="95"/>
      <c r="CM47" s="99"/>
      <c r="CN47" s="99"/>
      <c r="CO47" s="110"/>
      <c r="CP47" s="99"/>
      <c r="CQ47" s="99"/>
      <c r="CR47" s="99"/>
      <c r="CS47" s="95"/>
      <c r="CT47" s="95"/>
      <c r="CU47" s="96"/>
      <c r="CV47" s="96"/>
      <c r="CW47" s="96"/>
      <c r="CX47" s="96"/>
      <c r="CY47" s="96"/>
      <c r="CZ47" s="93">
        <f t="shared" si="34"/>
        <v>0</v>
      </c>
      <c r="DA47" s="93">
        <f t="shared" si="35"/>
        <v>0</v>
      </c>
      <c r="DB47" s="95">
        <f t="shared" si="46"/>
        <v>0</v>
      </c>
      <c r="DC47" s="100">
        <f t="shared" si="47"/>
        <v>0</v>
      </c>
      <c r="DD47" s="100"/>
      <c r="DE47" s="100">
        <f t="shared" si="38"/>
        <v>0</v>
      </c>
      <c r="DF47" s="13"/>
      <c r="DG47" s="2"/>
      <c r="DH47" s="46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</row>
    <row r="48" spans="1:156" s="1" customFormat="1" x14ac:dyDescent="0.2">
      <c r="A48" s="88">
        <f t="shared" si="3"/>
        <v>509750</v>
      </c>
      <c r="B48" s="21">
        <v>9750</v>
      </c>
      <c r="C48" s="21" t="s">
        <v>98</v>
      </c>
      <c r="D48" s="84" t="s">
        <v>165</v>
      </c>
      <c r="E48" s="114" t="s">
        <v>201</v>
      </c>
      <c r="F48" s="85">
        <v>0</v>
      </c>
      <c r="G48" s="84"/>
      <c r="H48" s="85"/>
      <c r="I48" s="86"/>
      <c r="J48" s="85"/>
      <c r="K48" s="21" t="s">
        <v>10</v>
      </c>
      <c r="L48" s="21"/>
      <c r="M48" s="87"/>
      <c r="N48" s="88"/>
      <c r="O48" s="88">
        <v>3</v>
      </c>
      <c r="P48" s="89">
        <f t="shared" si="39"/>
        <v>5700.7259999999997</v>
      </c>
      <c r="Q48" s="90">
        <f t="shared" si="40"/>
        <v>19002.419999999998</v>
      </c>
      <c r="R48" s="90">
        <f t="shared" si="41"/>
        <v>26397.963600000003</v>
      </c>
      <c r="S48" s="91"/>
      <c r="T48" s="92"/>
      <c r="U48" s="32"/>
      <c r="V48" s="32"/>
      <c r="W48" s="32"/>
      <c r="X48" s="93"/>
      <c r="Y48" s="32"/>
      <c r="Z48" s="32"/>
      <c r="AA48" s="32">
        <v>15</v>
      </c>
      <c r="AB48" s="32">
        <v>0</v>
      </c>
      <c r="AC48" s="32"/>
      <c r="AD48" s="32">
        <v>0</v>
      </c>
      <c r="AE48" s="32">
        <v>0</v>
      </c>
      <c r="AF48" s="32">
        <v>0</v>
      </c>
      <c r="AG48" s="32">
        <v>0</v>
      </c>
      <c r="AH48" s="32">
        <v>0</v>
      </c>
      <c r="AI48" s="32">
        <v>5.25</v>
      </c>
      <c r="AJ48" s="93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94">
        <f t="shared" si="7"/>
        <v>0</v>
      </c>
      <c r="AV48" s="95">
        <f t="shared" si="8"/>
        <v>0</v>
      </c>
      <c r="AW48" s="95">
        <f t="shared" si="9"/>
        <v>0</v>
      </c>
      <c r="AX48" s="95">
        <f t="shared" si="10"/>
        <v>0</v>
      </c>
      <c r="AY48" s="95">
        <f t="shared" si="11"/>
        <v>0</v>
      </c>
      <c r="AZ48" s="95">
        <f t="shared" si="12"/>
        <v>0</v>
      </c>
      <c r="BA48" s="95">
        <f t="shared" si="13"/>
        <v>0</v>
      </c>
      <c r="BB48" s="95">
        <f t="shared" si="42"/>
        <v>35629.537499999999</v>
      </c>
      <c r="BC48" s="96">
        <f t="shared" si="14"/>
        <v>0</v>
      </c>
      <c r="BD48" s="96">
        <f t="shared" si="15"/>
        <v>0</v>
      </c>
      <c r="BE48" s="96">
        <f t="shared" si="16"/>
        <v>0</v>
      </c>
      <c r="BF48" s="96">
        <f t="shared" si="17"/>
        <v>0</v>
      </c>
      <c r="BG48" s="96">
        <f t="shared" si="18"/>
        <v>0</v>
      </c>
      <c r="BH48" s="96">
        <f t="shared" si="19"/>
        <v>0</v>
      </c>
      <c r="BI48" s="96">
        <f t="shared" si="20"/>
        <v>99762.704999999987</v>
      </c>
      <c r="BJ48" s="96">
        <f t="shared" si="21"/>
        <v>0</v>
      </c>
      <c r="BK48" s="96">
        <f t="shared" si="22"/>
        <v>0</v>
      </c>
      <c r="BL48" s="96">
        <f t="shared" si="23"/>
        <v>0</v>
      </c>
      <c r="BM48" s="96">
        <f t="shared" si="24"/>
        <v>0</v>
      </c>
      <c r="BN48" s="96"/>
      <c r="BO48" s="95"/>
      <c r="BP48" s="95">
        <f t="shared" si="25"/>
        <v>0</v>
      </c>
      <c r="BQ48" s="95"/>
      <c r="BR48" s="95"/>
      <c r="BS48" s="95">
        <f t="shared" si="26"/>
        <v>0</v>
      </c>
      <c r="BT48" s="95">
        <f t="shared" si="27"/>
        <v>0</v>
      </c>
      <c r="BU48" s="95">
        <f t="shared" si="28"/>
        <v>0</v>
      </c>
      <c r="BV48" s="95">
        <f t="shared" si="29"/>
        <v>0</v>
      </c>
      <c r="BW48" s="95"/>
      <c r="BX48" s="95"/>
      <c r="BY48" s="95"/>
      <c r="BZ48" s="95"/>
      <c r="CA48" s="95">
        <f t="shared" si="43"/>
        <v>0</v>
      </c>
      <c r="CB48" s="97">
        <f t="shared" si="30"/>
        <v>135392.24249999999</v>
      </c>
      <c r="CC48" s="95"/>
      <c r="CD48" s="95"/>
      <c r="CE48" s="95">
        <f t="shared" si="31"/>
        <v>-4061.7672749999997</v>
      </c>
      <c r="CF48" s="95">
        <f t="shared" si="44"/>
        <v>-1353.922425</v>
      </c>
      <c r="CG48" s="113"/>
      <c r="CH48" s="22"/>
      <c r="CI48" s="98">
        <f t="shared" si="32"/>
        <v>188086.90328099995</v>
      </c>
      <c r="CJ48" s="95">
        <f t="shared" si="33"/>
        <v>-5642.6070984299986</v>
      </c>
      <c r="CK48" s="95">
        <f t="shared" si="45"/>
        <v>-1880.8690328099995</v>
      </c>
      <c r="CL48" s="95"/>
      <c r="CM48" s="99"/>
      <c r="CN48" s="99"/>
      <c r="CO48" s="110"/>
      <c r="CP48" s="99"/>
      <c r="CQ48" s="99"/>
      <c r="CR48" s="99"/>
      <c r="CS48" s="95"/>
      <c r="CT48" s="95"/>
      <c r="CU48" s="96"/>
      <c r="CV48" s="96"/>
      <c r="CW48" s="96"/>
      <c r="CX48" s="96"/>
      <c r="CY48" s="96"/>
      <c r="CZ48" s="93">
        <f t="shared" si="34"/>
        <v>0</v>
      </c>
      <c r="DA48" s="93">
        <f t="shared" si="35"/>
        <v>0</v>
      </c>
      <c r="DB48" s="95">
        <f t="shared" si="46"/>
        <v>310539.97994975996</v>
      </c>
      <c r="DC48" s="100">
        <f t="shared" si="47"/>
        <v>310540</v>
      </c>
      <c r="DD48" s="100"/>
      <c r="DE48" s="100">
        <f t="shared" si="38"/>
        <v>-310540</v>
      </c>
      <c r="DF48" s="13"/>
      <c r="DG48" s="2"/>
      <c r="DH48" s="46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</row>
    <row r="49" spans="1:156" s="1" customFormat="1" x14ac:dyDescent="0.2">
      <c r="A49" s="88">
        <f t="shared" si="3"/>
        <v>509829</v>
      </c>
      <c r="B49" s="21">
        <v>9829</v>
      </c>
      <c r="C49" s="21" t="s">
        <v>98</v>
      </c>
      <c r="D49" s="84" t="s">
        <v>178</v>
      </c>
      <c r="E49" s="114" t="s">
        <v>201</v>
      </c>
      <c r="F49" s="85">
        <v>0</v>
      </c>
      <c r="G49" s="84"/>
      <c r="H49" s="85"/>
      <c r="I49" s="86"/>
      <c r="J49" s="85"/>
      <c r="K49" s="21" t="s">
        <v>8</v>
      </c>
      <c r="L49" s="21"/>
      <c r="M49" s="87"/>
      <c r="N49" s="88"/>
      <c r="O49" s="88">
        <v>0</v>
      </c>
      <c r="P49" s="89">
        <f t="shared" si="39"/>
        <v>5401.2359999999999</v>
      </c>
      <c r="Q49" s="90">
        <f t="shared" si="40"/>
        <v>18004.12</v>
      </c>
      <c r="R49" s="90">
        <f t="shared" si="41"/>
        <v>25011.1211</v>
      </c>
      <c r="S49" s="91"/>
      <c r="T49" s="92"/>
      <c r="U49" s="32"/>
      <c r="V49" s="32"/>
      <c r="W49" s="32"/>
      <c r="X49" s="93"/>
      <c r="Y49" s="32"/>
      <c r="Z49" s="32"/>
      <c r="AA49" s="32">
        <v>3</v>
      </c>
      <c r="AB49" s="32">
        <v>0</v>
      </c>
      <c r="AC49" s="32"/>
      <c r="AD49" s="32">
        <v>0</v>
      </c>
      <c r="AE49" s="32">
        <v>0</v>
      </c>
      <c r="AF49" s="32">
        <v>0</v>
      </c>
      <c r="AG49" s="32">
        <v>0</v>
      </c>
      <c r="AH49" s="32">
        <v>0</v>
      </c>
      <c r="AI49" s="32">
        <v>0</v>
      </c>
      <c r="AJ49" s="93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94">
        <f t="shared" si="7"/>
        <v>0</v>
      </c>
      <c r="AV49" s="95">
        <f t="shared" si="8"/>
        <v>0</v>
      </c>
      <c r="AW49" s="95">
        <f t="shared" si="9"/>
        <v>0</v>
      </c>
      <c r="AX49" s="95">
        <f t="shared" si="10"/>
        <v>0</v>
      </c>
      <c r="AY49" s="95">
        <f t="shared" si="11"/>
        <v>0</v>
      </c>
      <c r="AZ49" s="95">
        <f t="shared" si="12"/>
        <v>0</v>
      </c>
      <c r="BA49" s="95">
        <f t="shared" si="13"/>
        <v>0</v>
      </c>
      <c r="BB49" s="95">
        <f t="shared" si="42"/>
        <v>6751.5450000000001</v>
      </c>
      <c r="BC49" s="96">
        <f t="shared" si="14"/>
        <v>0</v>
      </c>
      <c r="BD49" s="96">
        <f t="shared" si="15"/>
        <v>0</v>
      </c>
      <c r="BE49" s="96">
        <f t="shared" si="16"/>
        <v>0</v>
      </c>
      <c r="BF49" s="96">
        <f t="shared" si="17"/>
        <v>0</v>
      </c>
      <c r="BG49" s="96">
        <f t="shared" si="18"/>
        <v>0</v>
      </c>
      <c r="BH49" s="96">
        <f t="shared" si="19"/>
        <v>0</v>
      </c>
      <c r="BI49" s="96">
        <f t="shared" si="20"/>
        <v>0</v>
      </c>
      <c r="BJ49" s="96">
        <f t="shared" si="21"/>
        <v>0</v>
      </c>
      <c r="BK49" s="96">
        <f t="shared" si="22"/>
        <v>0</v>
      </c>
      <c r="BL49" s="96">
        <f t="shared" si="23"/>
        <v>0</v>
      </c>
      <c r="BM49" s="96">
        <f t="shared" si="24"/>
        <v>0</v>
      </c>
      <c r="BN49" s="96"/>
      <c r="BO49" s="95"/>
      <c r="BP49" s="95">
        <f t="shared" si="25"/>
        <v>0</v>
      </c>
      <c r="BQ49" s="95"/>
      <c r="BR49" s="95"/>
      <c r="BS49" s="95">
        <f t="shared" si="26"/>
        <v>0</v>
      </c>
      <c r="BT49" s="95">
        <f t="shared" si="27"/>
        <v>0</v>
      </c>
      <c r="BU49" s="95">
        <f t="shared" si="28"/>
        <v>0</v>
      </c>
      <c r="BV49" s="95">
        <f t="shared" si="29"/>
        <v>0</v>
      </c>
      <c r="BW49" s="95"/>
      <c r="BX49" s="95"/>
      <c r="BY49" s="95"/>
      <c r="BZ49" s="95"/>
      <c r="CA49" s="95">
        <f t="shared" si="43"/>
        <v>0</v>
      </c>
      <c r="CB49" s="97">
        <f t="shared" si="30"/>
        <v>6751.5450000000001</v>
      </c>
      <c r="CC49" s="95"/>
      <c r="CD49" s="95"/>
      <c r="CE49" s="95">
        <f t="shared" si="31"/>
        <v>-202.54634999999999</v>
      </c>
      <c r="CF49" s="95">
        <f t="shared" si="44"/>
        <v>-67.515450000000001</v>
      </c>
      <c r="CG49" s="113"/>
      <c r="CH49" s="22"/>
      <c r="CI49" s="98">
        <f t="shared" si="32"/>
        <v>9379.2463139999982</v>
      </c>
      <c r="CJ49" s="95">
        <f t="shared" si="33"/>
        <v>-281.37738941999993</v>
      </c>
      <c r="CK49" s="95">
        <f t="shared" si="45"/>
        <v>-93.792463139999981</v>
      </c>
      <c r="CL49" s="95"/>
      <c r="CM49" s="99"/>
      <c r="CN49" s="99"/>
      <c r="CO49" s="110"/>
      <c r="CP49" s="99"/>
      <c r="CQ49" s="99"/>
      <c r="CR49" s="99"/>
      <c r="CS49" s="95"/>
      <c r="CT49" s="95"/>
      <c r="CU49" s="96"/>
      <c r="CV49" s="96"/>
      <c r="CW49" s="96"/>
      <c r="CX49" s="96"/>
      <c r="CY49" s="96"/>
      <c r="CZ49" s="93">
        <f t="shared" si="34"/>
        <v>0</v>
      </c>
      <c r="DA49" s="93">
        <f t="shared" si="35"/>
        <v>0</v>
      </c>
      <c r="DB49" s="95">
        <f t="shared" si="46"/>
        <v>15485.559661439998</v>
      </c>
      <c r="DC49" s="100">
        <f t="shared" si="47"/>
        <v>15486</v>
      </c>
      <c r="DD49" s="100"/>
      <c r="DE49" s="100">
        <f t="shared" si="38"/>
        <v>-15486</v>
      </c>
      <c r="DF49" s="13"/>
      <c r="DG49" s="2"/>
      <c r="DH49" s="46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</row>
    <row r="50" spans="1:156" s="1" customFormat="1" x14ac:dyDescent="0.2">
      <c r="A50" s="88">
        <f t="shared" si="3"/>
        <v>509648</v>
      </c>
      <c r="B50" s="21">
        <v>9648</v>
      </c>
      <c r="C50" s="21" t="s">
        <v>98</v>
      </c>
      <c r="D50" s="84" t="s">
        <v>108</v>
      </c>
      <c r="E50" s="115" t="s">
        <v>202</v>
      </c>
      <c r="F50" s="85">
        <v>3</v>
      </c>
      <c r="G50" s="84"/>
      <c r="H50" s="85"/>
      <c r="I50" s="86"/>
      <c r="J50" s="85"/>
      <c r="K50" s="21" t="s">
        <v>10</v>
      </c>
      <c r="L50" s="21"/>
      <c r="M50" s="87"/>
      <c r="N50" s="88"/>
      <c r="O50" s="88">
        <v>7</v>
      </c>
      <c r="P50" s="89">
        <f t="shared" si="39"/>
        <v>5700.7259999999997</v>
      </c>
      <c r="Q50" s="90">
        <f t="shared" si="40"/>
        <v>19002.419999999998</v>
      </c>
      <c r="R50" s="90">
        <f t="shared" si="41"/>
        <v>26397.963600000003</v>
      </c>
      <c r="S50" s="91"/>
      <c r="T50" s="92"/>
      <c r="U50" s="32"/>
      <c r="V50" s="32"/>
      <c r="W50" s="32"/>
      <c r="X50" s="93"/>
      <c r="Y50" s="32"/>
      <c r="Z50" s="32"/>
      <c r="AA50" s="32">
        <v>4</v>
      </c>
      <c r="AB50" s="32">
        <v>0</v>
      </c>
      <c r="AC50" s="32"/>
      <c r="AD50" s="32">
        <v>0</v>
      </c>
      <c r="AE50" s="32">
        <v>0</v>
      </c>
      <c r="AF50" s="32">
        <v>0</v>
      </c>
      <c r="AG50" s="32">
        <v>0</v>
      </c>
      <c r="AH50" s="32">
        <v>0</v>
      </c>
      <c r="AI50" s="32">
        <v>0</v>
      </c>
      <c r="AJ50" s="93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94">
        <f t="shared" si="7"/>
        <v>0</v>
      </c>
      <c r="AV50" s="95">
        <f t="shared" si="8"/>
        <v>0</v>
      </c>
      <c r="AW50" s="95">
        <f t="shared" si="9"/>
        <v>0</v>
      </c>
      <c r="AX50" s="95">
        <f t="shared" si="10"/>
        <v>0</v>
      </c>
      <c r="AY50" s="95">
        <f t="shared" si="11"/>
        <v>0</v>
      </c>
      <c r="AZ50" s="95">
        <f t="shared" si="12"/>
        <v>0</v>
      </c>
      <c r="BA50" s="95">
        <f t="shared" si="13"/>
        <v>0</v>
      </c>
      <c r="BB50" s="95">
        <f t="shared" si="42"/>
        <v>9501.2099999999991</v>
      </c>
      <c r="BC50" s="96">
        <f t="shared" si="14"/>
        <v>0</v>
      </c>
      <c r="BD50" s="96">
        <f t="shared" si="15"/>
        <v>0</v>
      </c>
      <c r="BE50" s="96">
        <f t="shared" si="16"/>
        <v>0</v>
      </c>
      <c r="BF50" s="96">
        <f t="shared" si="17"/>
        <v>0</v>
      </c>
      <c r="BG50" s="96">
        <f t="shared" si="18"/>
        <v>0</v>
      </c>
      <c r="BH50" s="96">
        <f t="shared" si="19"/>
        <v>0</v>
      </c>
      <c r="BI50" s="96">
        <f t="shared" si="20"/>
        <v>0</v>
      </c>
      <c r="BJ50" s="96">
        <f t="shared" si="21"/>
        <v>0</v>
      </c>
      <c r="BK50" s="96">
        <f t="shared" si="22"/>
        <v>0</v>
      </c>
      <c r="BL50" s="96">
        <f t="shared" si="23"/>
        <v>0</v>
      </c>
      <c r="BM50" s="96">
        <f t="shared" si="24"/>
        <v>0</v>
      </c>
      <c r="BN50" s="96"/>
      <c r="BO50" s="95"/>
      <c r="BP50" s="95">
        <f t="shared" si="25"/>
        <v>0</v>
      </c>
      <c r="BQ50" s="95"/>
      <c r="BR50" s="95"/>
      <c r="BS50" s="95">
        <f t="shared" si="26"/>
        <v>0</v>
      </c>
      <c r="BT50" s="95">
        <f t="shared" si="27"/>
        <v>0</v>
      </c>
      <c r="BU50" s="95">
        <f t="shared" si="28"/>
        <v>0</v>
      </c>
      <c r="BV50" s="95">
        <f t="shared" si="29"/>
        <v>0</v>
      </c>
      <c r="BW50" s="95"/>
      <c r="BX50" s="95"/>
      <c r="BY50" s="95"/>
      <c r="BZ50" s="95"/>
      <c r="CA50" s="95">
        <f t="shared" si="43"/>
        <v>0</v>
      </c>
      <c r="CB50" s="97">
        <f t="shared" ref="CB50:CB113" si="48">SUM(AV50:CA50)</f>
        <v>9501.2099999999991</v>
      </c>
      <c r="CC50" s="95"/>
      <c r="CD50" s="95"/>
      <c r="CE50" s="95">
        <f t="shared" si="31"/>
        <v>-285.03629999999998</v>
      </c>
      <c r="CF50" s="95">
        <f t="shared" si="44"/>
        <v>-142.51814999999999</v>
      </c>
      <c r="CG50" s="113"/>
      <c r="CH50" s="22"/>
      <c r="CI50" s="98">
        <f t="shared" si="32"/>
        <v>13199.080931999997</v>
      </c>
      <c r="CJ50" s="95">
        <f t="shared" si="33"/>
        <v>-395.97242795999989</v>
      </c>
      <c r="CK50" s="95">
        <f t="shared" si="45"/>
        <v>-197.98621397999995</v>
      </c>
      <c r="CL50" s="95"/>
      <c r="CM50" s="99"/>
      <c r="CN50" s="99"/>
      <c r="CO50" s="110"/>
      <c r="CP50" s="99"/>
      <c r="CQ50" s="99"/>
      <c r="CR50" s="99"/>
      <c r="CS50" s="95"/>
      <c r="CT50" s="95"/>
      <c r="CU50" s="96"/>
      <c r="CV50" s="96"/>
      <c r="CW50" s="96"/>
      <c r="CX50" s="96"/>
      <c r="CY50" s="96"/>
      <c r="CZ50" s="93">
        <f t="shared" ref="CZ50:CZ82" si="49">-SUM(CB50+CC50+CD50+CE50+CF50)*I50</f>
        <v>0</v>
      </c>
      <c r="DA50" s="93">
        <f t="shared" ref="DA50:DA82" si="50">-SUM(CB50+CC50+CD50+CE50+CF50+CI50+CJ50+CK50)*J50</f>
        <v>0</v>
      </c>
      <c r="DB50" s="95">
        <f t="shared" si="46"/>
        <v>21678.777840059996</v>
      </c>
      <c r="DC50" s="100">
        <f t="shared" si="47"/>
        <v>21679</v>
      </c>
      <c r="DD50" s="100"/>
      <c r="DE50" s="100">
        <f t="shared" si="38"/>
        <v>-21679</v>
      </c>
      <c r="DF50" s="13"/>
      <c r="DG50" s="2"/>
      <c r="DH50" s="46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</row>
    <row r="51" spans="1:156" s="1" customFormat="1" hidden="1" x14ac:dyDescent="0.2">
      <c r="A51" s="88">
        <f t="shared" si="3"/>
        <v>509676</v>
      </c>
      <c r="B51" s="21">
        <v>9676</v>
      </c>
      <c r="C51" s="21" t="s">
        <v>98</v>
      </c>
      <c r="D51" s="84" t="s">
        <v>123</v>
      </c>
      <c r="E51" s="115" t="s">
        <v>202</v>
      </c>
      <c r="F51" s="85">
        <v>3</v>
      </c>
      <c r="G51" s="84"/>
      <c r="H51" s="85"/>
      <c r="I51" s="86"/>
      <c r="J51" s="85"/>
      <c r="K51" s="21" t="s">
        <v>8</v>
      </c>
      <c r="L51" s="21"/>
      <c r="M51" s="87"/>
      <c r="N51" s="88"/>
      <c r="O51" s="88">
        <v>7</v>
      </c>
      <c r="P51" s="89">
        <f t="shared" si="39"/>
        <v>5401.2359999999999</v>
      </c>
      <c r="Q51" s="90">
        <f t="shared" si="40"/>
        <v>18004.12</v>
      </c>
      <c r="R51" s="90">
        <f t="shared" si="41"/>
        <v>25011.1211</v>
      </c>
      <c r="S51" s="91"/>
      <c r="T51" s="92"/>
      <c r="U51" s="32"/>
      <c r="V51" s="32"/>
      <c r="W51" s="32"/>
      <c r="X51" s="93"/>
      <c r="Y51" s="32"/>
      <c r="Z51" s="32"/>
      <c r="AA51" s="32">
        <v>0</v>
      </c>
      <c r="AB51" s="32">
        <v>0</v>
      </c>
      <c r="AC51" s="32"/>
      <c r="AD51" s="32">
        <v>0</v>
      </c>
      <c r="AE51" s="32">
        <v>0</v>
      </c>
      <c r="AF51" s="32">
        <v>0</v>
      </c>
      <c r="AG51" s="32">
        <v>0</v>
      </c>
      <c r="AH51" s="32">
        <v>0</v>
      </c>
      <c r="AI51" s="32">
        <v>0</v>
      </c>
      <c r="AJ51" s="93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94">
        <f t="shared" si="7"/>
        <v>0</v>
      </c>
      <c r="AV51" s="95">
        <f t="shared" si="8"/>
        <v>0</v>
      </c>
      <c r="AW51" s="95">
        <f t="shared" si="9"/>
        <v>0</v>
      </c>
      <c r="AX51" s="95">
        <f t="shared" si="10"/>
        <v>0</v>
      </c>
      <c r="AY51" s="95">
        <f t="shared" si="11"/>
        <v>0</v>
      </c>
      <c r="AZ51" s="95">
        <f t="shared" si="12"/>
        <v>0</v>
      </c>
      <c r="BA51" s="95">
        <f t="shared" si="13"/>
        <v>0</v>
      </c>
      <c r="BB51" s="95">
        <f t="shared" si="42"/>
        <v>0</v>
      </c>
      <c r="BC51" s="96">
        <f t="shared" si="14"/>
        <v>0</v>
      </c>
      <c r="BD51" s="96">
        <f t="shared" si="15"/>
        <v>0</v>
      </c>
      <c r="BE51" s="96">
        <f t="shared" si="16"/>
        <v>0</v>
      </c>
      <c r="BF51" s="96">
        <f t="shared" si="17"/>
        <v>0</v>
      </c>
      <c r="BG51" s="96">
        <f t="shared" si="18"/>
        <v>0</v>
      </c>
      <c r="BH51" s="96">
        <f t="shared" si="19"/>
        <v>0</v>
      </c>
      <c r="BI51" s="96">
        <f t="shared" si="20"/>
        <v>0</v>
      </c>
      <c r="BJ51" s="96">
        <f t="shared" si="21"/>
        <v>0</v>
      </c>
      <c r="BK51" s="96">
        <f t="shared" si="22"/>
        <v>0</v>
      </c>
      <c r="BL51" s="96">
        <f t="shared" si="23"/>
        <v>0</v>
      </c>
      <c r="BM51" s="96">
        <f t="shared" si="24"/>
        <v>0</v>
      </c>
      <c r="BN51" s="96"/>
      <c r="BO51" s="95"/>
      <c r="BP51" s="95">
        <f t="shared" si="25"/>
        <v>0</v>
      </c>
      <c r="BQ51" s="95"/>
      <c r="BR51" s="95"/>
      <c r="BS51" s="95">
        <f t="shared" si="26"/>
        <v>0</v>
      </c>
      <c r="BT51" s="95">
        <f t="shared" si="27"/>
        <v>0</v>
      </c>
      <c r="BU51" s="95">
        <f t="shared" si="28"/>
        <v>0</v>
      </c>
      <c r="BV51" s="95">
        <f t="shared" si="29"/>
        <v>0</v>
      </c>
      <c r="BW51" s="95"/>
      <c r="BX51" s="95"/>
      <c r="BY51" s="95"/>
      <c r="BZ51" s="95"/>
      <c r="CA51" s="95">
        <f t="shared" si="43"/>
        <v>0</v>
      </c>
      <c r="CB51" s="97">
        <f t="shared" si="48"/>
        <v>0</v>
      </c>
      <c r="CC51" s="95"/>
      <c r="CD51" s="95"/>
      <c r="CE51" s="95">
        <f t="shared" si="31"/>
        <v>0</v>
      </c>
      <c r="CF51" s="95">
        <f t="shared" si="44"/>
        <v>0</v>
      </c>
      <c r="CG51" s="113"/>
      <c r="CH51" s="22"/>
      <c r="CI51" s="98">
        <f t="shared" si="32"/>
        <v>0</v>
      </c>
      <c r="CJ51" s="95">
        <f t="shared" si="33"/>
        <v>0</v>
      </c>
      <c r="CK51" s="95">
        <f t="shared" si="45"/>
        <v>0</v>
      </c>
      <c r="CL51" s="95"/>
      <c r="CM51" s="99"/>
      <c r="CN51" s="99"/>
      <c r="CO51" s="110"/>
      <c r="CP51" s="99"/>
      <c r="CQ51" s="99"/>
      <c r="CR51" s="99"/>
      <c r="CS51" s="95"/>
      <c r="CT51" s="95"/>
      <c r="CU51" s="96"/>
      <c r="CV51" s="96"/>
      <c r="CW51" s="96"/>
      <c r="CX51" s="96"/>
      <c r="CY51" s="96"/>
      <c r="CZ51" s="93">
        <f t="shared" si="49"/>
        <v>0</v>
      </c>
      <c r="DA51" s="93">
        <f t="shared" si="50"/>
        <v>0</v>
      </c>
      <c r="DB51" s="95">
        <f t="shared" si="46"/>
        <v>0</v>
      </c>
      <c r="DC51" s="100">
        <f t="shared" si="47"/>
        <v>0</v>
      </c>
      <c r="DD51" s="100"/>
      <c r="DE51" s="100">
        <f t="shared" si="38"/>
        <v>0</v>
      </c>
      <c r="DF51" s="13"/>
      <c r="DG51" s="2"/>
      <c r="DH51" s="46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</row>
    <row r="52" spans="1:156" s="1" customFormat="1" hidden="1" x14ac:dyDescent="0.2">
      <c r="A52" s="88">
        <f t="shared" si="3"/>
        <v>509678</v>
      </c>
      <c r="B52" s="21">
        <v>9678</v>
      </c>
      <c r="C52" s="21" t="s">
        <v>98</v>
      </c>
      <c r="D52" s="84" t="s">
        <v>124</v>
      </c>
      <c r="E52" s="114" t="s">
        <v>201</v>
      </c>
      <c r="F52" s="85">
        <v>3</v>
      </c>
      <c r="G52" s="84"/>
      <c r="H52" s="85">
        <v>65</v>
      </c>
      <c r="I52" s="86"/>
      <c r="J52" s="85"/>
      <c r="K52" s="21" t="s">
        <v>8</v>
      </c>
      <c r="L52" s="21"/>
      <c r="M52" s="87"/>
      <c r="N52" s="88"/>
      <c r="O52" s="88">
        <v>22</v>
      </c>
      <c r="P52" s="89">
        <f t="shared" si="39"/>
        <v>5401.2359999999999</v>
      </c>
      <c r="Q52" s="90">
        <f t="shared" si="40"/>
        <v>18004.12</v>
      </c>
      <c r="R52" s="90">
        <f t="shared" si="41"/>
        <v>25011.1211</v>
      </c>
      <c r="S52" s="91"/>
      <c r="T52" s="92"/>
      <c r="U52" s="32"/>
      <c r="V52" s="32"/>
      <c r="W52" s="32"/>
      <c r="X52" s="93"/>
      <c r="Y52" s="32"/>
      <c r="Z52" s="32"/>
      <c r="AA52" s="32">
        <v>0</v>
      </c>
      <c r="AB52" s="32">
        <v>0</v>
      </c>
      <c r="AC52" s="32"/>
      <c r="AD52" s="32">
        <v>0</v>
      </c>
      <c r="AE52" s="32">
        <v>0</v>
      </c>
      <c r="AF52" s="32">
        <v>0</v>
      </c>
      <c r="AG52" s="32">
        <v>0</v>
      </c>
      <c r="AH52" s="32">
        <v>0</v>
      </c>
      <c r="AI52" s="32">
        <v>0</v>
      </c>
      <c r="AJ52" s="93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94">
        <f t="shared" si="7"/>
        <v>0</v>
      </c>
      <c r="AV52" s="95">
        <f t="shared" si="8"/>
        <v>0</v>
      </c>
      <c r="AW52" s="95">
        <f t="shared" si="9"/>
        <v>0</v>
      </c>
      <c r="AX52" s="95">
        <f t="shared" si="10"/>
        <v>0</v>
      </c>
      <c r="AY52" s="95">
        <f t="shared" si="11"/>
        <v>0</v>
      </c>
      <c r="AZ52" s="95">
        <f t="shared" si="12"/>
        <v>0</v>
      </c>
      <c r="BA52" s="95">
        <f t="shared" si="13"/>
        <v>0</v>
      </c>
      <c r="BB52" s="95">
        <f t="shared" si="42"/>
        <v>0</v>
      </c>
      <c r="BC52" s="96">
        <f t="shared" si="14"/>
        <v>0</v>
      </c>
      <c r="BD52" s="96">
        <f t="shared" si="15"/>
        <v>0</v>
      </c>
      <c r="BE52" s="96">
        <f t="shared" si="16"/>
        <v>0</v>
      </c>
      <c r="BF52" s="96">
        <f t="shared" si="17"/>
        <v>0</v>
      </c>
      <c r="BG52" s="96">
        <f t="shared" si="18"/>
        <v>0</v>
      </c>
      <c r="BH52" s="96">
        <f t="shared" si="19"/>
        <v>0</v>
      </c>
      <c r="BI52" s="96">
        <f t="shared" si="20"/>
        <v>0</v>
      </c>
      <c r="BJ52" s="96">
        <f t="shared" si="21"/>
        <v>0</v>
      </c>
      <c r="BK52" s="96">
        <f t="shared" si="22"/>
        <v>0</v>
      </c>
      <c r="BL52" s="96">
        <f t="shared" si="23"/>
        <v>0</v>
      </c>
      <c r="BM52" s="96">
        <f t="shared" si="24"/>
        <v>0</v>
      </c>
      <c r="BN52" s="96"/>
      <c r="BO52" s="95"/>
      <c r="BP52" s="95">
        <f t="shared" si="25"/>
        <v>0</v>
      </c>
      <c r="BQ52" s="95"/>
      <c r="BR52" s="95"/>
      <c r="BS52" s="95">
        <f t="shared" si="26"/>
        <v>0</v>
      </c>
      <c r="BT52" s="95">
        <f t="shared" si="27"/>
        <v>0</v>
      </c>
      <c r="BU52" s="95">
        <f t="shared" si="28"/>
        <v>0</v>
      </c>
      <c r="BV52" s="95">
        <f t="shared" si="29"/>
        <v>0</v>
      </c>
      <c r="BW52" s="95"/>
      <c r="BX52" s="95"/>
      <c r="BY52" s="95"/>
      <c r="BZ52" s="95"/>
      <c r="CA52" s="95">
        <f t="shared" si="43"/>
        <v>0</v>
      </c>
      <c r="CB52" s="97">
        <f t="shared" si="48"/>
        <v>0</v>
      </c>
      <c r="CC52" s="95"/>
      <c r="CD52" s="95"/>
      <c r="CE52" s="95">
        <f t="shared" si="31"/>
        <v>0</v>
      </c>
      <c r="CF52" s="95">
        <f t="shared" si="44"/>
        <v>0</v>
      </c>
      <c r="CG52" s="113"/>
      <c r="CH52" s="22"/>
      <c r="CI52" s="98">
        <f t="shared" si="32"/>
        <v>0</v>
      </c>
      <c r="CJ52" s="95">
        <f t="shared" si="33"/>
        <v>0</v>
      </c>
      <c r="CK52" s="95">
        <f t="shared" si="45"/>
        <v>0</v>
      </c>
      <c r="CL52" s="95"/>
      <c r="CM52" s="99"/>
      <c r="CN52" s="99"/>
      <c r="CO52" s="110"/>
      <c r="CP52" s="99"/>
      <c r="CQ52" s="99"/>
      <c r="CR52" s="99"/>
      <c r="CS52" s="95"/>
      <c r="CT52" s="95"/>
      <c r="CU52" s="96"/>
      <c r="CV52" s="96"/>
      <c r="CW52" s="96"/>
      <c r="CX52" s="96"/>
      <c r="CY52" s="96"/>
      <c r="CZ52" s="93">
        <f t="shared" si="49"/>
        <v>0</v>
      </c>
      <c r="DA52" s="93">
        <f t="shared" si="50"/>
        <v>0</v>
      </c>
      <c r="DB52" s="95">
        <f t="shared" si="46"/>
        <v>0</v>
      </c>
      <c r="DC52" s="100">
        <f t="shared" si="47"/>
        <v>0</v>
      </c>
      <c r="DD52" s="100"/>
      <c r="DE52" s="100">
        <f t="shared" si="38"/>
        <v>0</v>
      </c>
      <c r="DF52" s="13"/>
      <c r="DG52" s="2"/>
      <c r="DH52" s="46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</row>
    <row r="53" spans="1:156" s="1" customFormat="1" x14ac:dyDescent="0.2">
      <c r="A53" s="88">
        <f t="shared" si="3"/>
        <v>509679</v>
      </c>
      <c r="B53" s="21">
        <v>9679</v>
      </c>
      <c r="C53" s="21" t="s">
        <v>98</v>
      </c>
      <c r="D53" s="84" t="s">
        <v>125</v>
      </c>
      <c r="E53" s="115" t="s">
        <v>202</v>
      </c>
      <c r="F53" s="85">
        <v>3</v>
      </c>
      <c r="G53" s="84"/>
      <c r="H53" s="85"/>
      <c r="I53" s="86"/>
      <c r="J53" s="85"/>
      <c r="K53" s="21" t="s">
        <v>10</v>
      </c>
      <c r="L53" s="21"/>
      <c r="M53" s="87"/>
      <c r="N53" s="88"/>
      <c r="O53" s="88">
        <v>11</v>
      </c>
      <c r="P53" s="89">
        <f t="shared" si="39"/>
        <v>5700.7259999999997</v>
      </c>
      <c r="Q53" s="90">
        <f t="shared" si="40"/>
        <v>19002.419999999998</v>
      </c>
      <c r="R53" s="90">
        <f t="shared" si="41"/>
        <v>26397.963600000003</v>
      </c>
      <c r="S53" s="91"/>
      <c r="T53" s="92"/>
      <c r="U53" s="32"/>
      <c r="V53" s="32"/>
      <c r="W53" s="32"/>
      <c r="X53" s="93"/>
      <c r="Y53" s="32"/>
      <c r="Z53" s="32"/>
      <c r="AA53" s="32">
        <v>15</v>
      </c>
      <c r="AB53" s="32">
        <v>0</v>
      </c>
      <c r="AC53" s="32"/>
      <c r="AD53" s="32">
        <v>0</v>
      </c>
      <c r="AE53" s="32">
        <v>0</v>
      </c>
      <c r="AF53" s="32">
        <v>0</v>
      </c>
      <c r="AG53" s="32">
        <v>0</v>
      </c>
      <c r="AH53" s="32">
        <v>0</v>
      </c>
      <c r="AI53" s="32">
        <v>7.625</v>
      </c>
      <c r="AJ53" s="93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94">
        <f t="shared" si="7"/>
        <v>0</v>
      </c>
      <c r="AV53" s="95">
        <f t="shared" si="8"/>
        <v>0</v>
      </c>
      <c r="AW53" s="95">
        <f t="shared" si="9"/>
        <v>0</v>
      </c>
      <c r="AX53" s="95">
        <f t="shared" si="10"/>
        <v>0</v>
      </c>
      <c r="AY53" s="95">
        <f t="shared" si="11"/>
        <v>0</v>
      </c>
      <c r="AZ53" s="95">
        <f t="shared" si="12"/>
        <v>0</v>
      </c>
      <c r="BA53" s="95">
        <f t="shared" si="13"/>
        <v>0</v>
      </c>
      <c r="BB53" s="95">
        <f t="shared" si="42"/>
        <v>35629.537499999999</v>
      </c>
      <c r="BC53" s="96">
        <f t="shared" si="14"/>
        <v>0</v>
      </c>
      <c r="BD53" s="96">
        <f t="shared" si="15"/>
        <v>0</v>
      </c>
      <c r="BE53" s="96">
        <f t="shared" si="16"/>
        <v>0</v>
      </c>
      <c r="BF53" s="96">
        <f t="shared" si="17"/>
        <v>0</v>
      </c>
      <c r="BG53" s="96">
        <f t="shared" si="18"/>
        <v>0</v>
      </c>
      <c r="BH53" s="96">
        <f t="shared" si="19"/>
        <v>0</v>
      </c>
      <c r="BI53" s="96">
        <f t="shared" si="20"/>
        <v>144893.45249999998</v>
      </c>
      <c r="BJ53" s="96">
        <f t="shared" si="21"/>
        <v>0</v>
      </c>
      <c r="BK53" s="96">
        <f t="shared" si="22"/>
        <v>0</v>
      </c>
      <c r="BL53" s="96">
        <f t="shared" si="23"/>
        <v>0</v>
      </c>
      <c r="BM53" s="96">
        <f t="shared" si="24"/>
        <v>0</v>
      </c>
      <c r="BN53" s="96"/>
      <c r="BO53" s="95"/>
      <c r="BP53" s="95">
        <f t="shared" si="25"/>
        <v>0</v>
      </c>
      <c r="BQ53" s="95"/>
      <c r="BR53" s="95"/>
      <c r="BS53" s="95">
        <f t="shared" si="26"/>
        <v>0</v>
      </c>
      <c r="BT53" s="95">
        <f t="shared" si="27"/>
        <v>0</v>
      </c>
      <c r="BU53" s="95">
        <f t="shared" si="28"/>
        <v>0</v>
      </c>
      <c r="BV53" s="95">
        <f t="shared" si="29"/>
        <v>0</v>
      </c>
      <c r="BW53" s="95"/>
      <c r="BX53" s="95"/>
      <c r="BY53" s="95"/>
      <c r="BZ53" s="95"/>
      <c r="CA53" s="95">
        <f t="shared" si="43"/>
        <v>0</v>
      </c>
      <c r="CB53" s="97">
        <f t="shared" si="48"/>
        <v>180522.99</v>
      </c>
      <c r="CC53" s="95"/>
      <c r="CD53" s="95"/>
      <c r="CE53" s="95">
        <f t="shared" si="31"/>
        <v>-5415.6896999999999</v>
      </c>
      <c r="CF53" s="95">
        <f t="shared" si="44"/>
        <v>-2707.84485</v>
      </c>
      <c r="CG53" s="113"/>
      <c r="CH53" s="22"/>
      <c r="CI53" s="98">
        <f t="shared" si="32"/>
        <v>250782.53770799993</v>
      </c>
      <c r="CJ53" s="95">
        <f t="shared" si="33"/>
        <v>-7523.4761312399978</v>
      </c>
      <c r="CK53" s="95">
        <f t="shared" si="45"/>
        <v>-3761.7380656199989</v>
      </c>
      <c r="CL53" s="95"/>
      <c r="CM53" s="99"/>
      <c r="CN53" s="99"/>
      <c r="CO53" s="110"/>
      <c r="CP53" s="99"/>
      <c r="CQ53" s="99"/>
      <c r="CR53" s="99"/>
      <c r="CS53" s="95"/>
      <c r="CT53" s="95"/>
      <c r="CU53" s="96"/>
      <c r="CV53" s="96"/>
      <c r="CW53" s="96"/>
      <c r="CX53" s="96"/>
      <c r="CY53" s="96"/>
      <c r="CZ53" s="93">
        <f t="shared" si="49"/>
        <v>0</v>
      </c>
      <c r="DA53" s="93">
        <f t="shared" si="50"/>
        <v>0</v>
      </c>
      <c r="DB53" s="95">
        <f t="shared" si="46"/>
        <v>411896.77896113991</v>
      </c>
      <c r="DC53" s="100">
        <f t="shared" si="47"/>
        <v>411897</v>
      </c>
      <c r="DD53" s="100"/>
      <c r="DE53" s="100">
        <f t="shared" si="38"/>
        <v>-411897</v>
      </c>
      <c r="DF53" s="13"/>
      <c r="DG53" s="2"/>
      <c r="DH53" s="46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</row>
    <row r="54" spans="1:156" s="1" customFormat="1" hidden="1" x14ac:dyDescent="0.2">
      <c r="A54" s="88">
        <f t="shared" si="3"/>
        <v>509681</v>
      </c>
      <c r="B54" s="21">
        <v>9681</v>
      </c>
      <c r="C54" s="21" t="s">
        <v>98</v>
      </c>
      <c r="D54" s="84" t="s">
        <v>126</v>
      </c>
      <c r="E54" s="115" t="s">
        <v>202</v>
      </c>
      <c r="F54" s="85">
        <v>3</v>
      </c>
      <c r="G54" s="84"/>
      <c r="H54" s="85"/>
      <c r="I54" s="86"/>
      <c r="J54" s="85"/>
      <c r="K54" s="21" t="s">
        <v>10</v>
      </c>
      <c r="L54" s="21"/>
      <c r="M54" s="87"/>
      <c r="N54" s="88"/>
      <c r="O54" s="88">
        <v>7</v>
      </c>
      <c r="P54" s="89">
        <f t="shared" si="39"/>
        <v>5700.7259999999997</v>
      </c>
      <c r="Q54" s="90">
        <f t="shared" si="40"/>
        <v>19002.419999999998</v>
      </c>
      <c r="R54" s="90">
        <f t="shared" si="41"/>
        <v>26397.963600000003</v>
      </c>
      <c r="S54" s="91"/>
      <c r="T54" s="92"/>
      <c r="U54" s="32"/>
      <c r="V54" s="32"/>
      <c r="W54" s="32"/>
      <c r="X54" s="93"/>
      <c r="Y54" s="32"/>
      <c r="Z54" s="32"/>
      <c r="AA54" s="32">
        <v>0</v>
      </c>
      <c r="AB54" s="32">
        <v>0</v>
      </c>
      <c r="AC54" s="32"/>
      <c r="AD54" s="32">
        <v>0</v>
      </c>
      <c r="AE54" s="32">
        <v>0</v>
      </c>
      <c r="AF54" s="32">
        <v>0</v>
      </c>
      <c r="AG54" s="32">
        <v>0</v>
      </c>
      <c r="AH54" s="32">
        <v>0</v>
      </c>
      <c r="AI54" s="32">
        <v>0</v>
      </c>
      <c r="AJ54" s="93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94">
        <f t="shared" si="7"/>
        <v>0</v>
      </c>
      <c r="AV54" s="95">
        <f t="shared" si="8"/>
        <v>0</v>
      </c>
      <c r="AW54" s="95">
        <f t="shared" si="9"/>
        <v>0</v>
      </c>
      <c r="AX54" s="95">
        <f t="shared" si="10"/>
        <v>0</v>
      </c>
      <c r="AY54" s="95">
        <f t="shared" si="11"/>
        <v>0</v>
      </c>
      <c r="AZ54" s="95">
        <f t="shared" si="12"/>
        <v>0</v>
      </c>
      <c r="BA54" s="95">
        <f t="shared" si="13"/>
        <v>0</v>
      </c>
      <c r="BB54" s="95">
        <f t="shared" si="42"/>
        <v>0</v>
      </c>
      <c r="BC54" s="96">
        <f t="shared" si="14"/>
        <v>0</v>
      </c>
      <c r="BD54" s="96">
        <f t="shared" si="15"/>
        <v>0</v>
      </c>
      <c r="BE54" s="96">
        <f t="shared" si="16"/>
        <v>0</v>
      </c>
      <c r="BF54" s="96">
        <f t="shared" si="17"/>
        <v>0</v>
      </c>
      <c r="BG54" s="96">
        <f t="shared" si="18"/>
        <v>0</v>
      </c>
      <c r="BH54" s="96">
        <f t="shared" si="19"/>
        <v>0</v>
      </c>
      <c r="BI54" s="96">
        <f t="shared" si="20"/>
        <v>0</v>
      </c>
      <c r="BJ54" s="96">
        <f t="shared" si="21"/>
        <v>0</v>
      </c>
      <c r="BK54" s="96">
        <f t="shared" si="22"/>
        <v>0</v>
      </c>
      <c r="BL54" s="96">
        <f t="shared" si="23"/>
        <v>0</v>
      </c>
      <c r="BM54" s="96">
        <f t="shared" si="24"/>
        <v>0</v>
      </c>
      <c r="BN54" s="96"/>
      <c r="BO54" s="95"/>
      <c r="BP54" s="95">
        <f t="shared" si="25"/>
        <v>0</v>
      </c>
      <c r="BQ54" s="95"/>
      <c r="BR54" s="95"/>
      <c r="BS54" s="95">
        <f t="shared" si="26"/>
        <v>0</v>
      </c>
      <c r="BT54" s="95">
        <f t="shared" si="27"/>
        <v>0</v>
      </c>
      <c r="BU54" s="95">
        <f t="shared" si="28"/>
        <v>0</v>
      </c>
      <c r="BV54" s="95">
        <f t="shared" si="29"/>
        <v>0</v>
      </c>
      <c r="BW54" s="95"/>
      <c r="BX54" s="95"/>
      <c r="BY54" s="95"/>
      <c r="BZ54" s="95"/>
      <c r="CA54" s="95">
        <f t="shared" si="43"/>
        <v>0</v>
      </c>
      <c r="CB54" s="97">
        <f t="shared" si="48"/>
        <v>0</v>
      </c>
      <c r="CC54" s="95"/>
      <c r="CD54" s="95"/>
      <c r="CE54" s="95">
        <f t="shared" si="31"/>
        <v>0</v>
      </c>
      <c r="CF54" s="95">
        <f t="shared" si="44"/>
        <v>0</v>
      </c>
      <c r="CG54" s="113"/>
      <c r="CH54" s="22"/>
      <c r="CI54" s="98">
        <f t="shared" si="32"/>
        <v>0</v>
      </c>
      <c r="CJ54" s="95">
        <f t="shared" si="33"/>
        <v>0</v>
      </c>
      <c r="CK54" s="95">
        <f t="shared" si="45"/>
        <v>0</v>
      </c>
      <c r="CL54" s="95"/>
      <c r="CM54" s="99"/>
      <c r="CN54" s="99"/>
      <c r="CO54" s="110"/>
      <c r="CP54" s="99"/>
      <c r="CQ54" s="99"/>
      <c r="CR54" s="99"/>
      <c r="CS54" s="95"/>
      <c r="CT54" s="95"/>
      <c r="CU54" s="96"/>
      <c r="CV54" s="96"/>
      <c r="CW54" s="96"/>
      <c r="CX54" s="96"/>
      <c r="CY54" s="96"/>
      <c r="CZ54" s="93">
        <f t="shared" si="49"/>
        <v>0</v>
      </c>
      <c r="DA54" s="93">
        <f t="shared" si="50"/>
        <v>0</v>
      </c>
      <c r="DB54" s="95">
        <f t="shared" si="46"/>
        <v>0</v>
      </c>
      <c r="DC54" s="100">
        <f t="shared" si="47"/>
        <v>0</v>
      </c>
      <c r="DD54" s="100"/>
      <c r="DE54" s="100">
        <f t="shared" si="38"/>
        <v>0</v>
      </c>
      <c r="DF54" s="13"/>
      <c r="DG54" s="2"/>
      <c r="DH54" s="46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</row>
    <row r="55" spans="1:156" s="1" customFormat="1" x14ac:dyDescent="0.2">
      <c r="A55" s="88">
        <f t="shared" si="3"/>
        <v>509859</v>
      </c>
      <c r="B55" s="21">
        <v>9859</v>
      </c>
      <c r="C55" s="21" t="s">
        <v>98</v>
      </c>
      <c r="D55" s="84" t="s">
        <v>191</v>
      </c>
      <c r="E55" s="115" t="s">
        <v>202</v>
      </c>
      <c r="F55" s="85">
        <v>0</v>
      </c>
      <c r="G55" s="84"/>
      <c r="H55" s="85"/>
      <c r="I55" s="86"/>
      <c r="J55" s="85"/>
      <c r="K55" s="21" t="s">
        <v>10</v>
      </c>
      <c r="L55" s="21"/>
      <c r="M55" s="87"/>
      <c r="N55" s="88"/>
      <c r="O55" s="88">
        <v>0</v>
      </c>
      <c r="P55" s="89">
        <f t="shared" si="39"/>
        <v>5700.7259999999997</v>
      </c>
      <c r="Q55" s="90">
        <f t="shared" si="40"/>
        <v>19002.419999999998</v>
      </c>
      <c r="R55" s="90">
        <f t="shared" si="41"/>
        <v>26397.963600000003</v>
      </c>
      <c r="S55" s="91"/>
      <c r="T55" s="92"/>
      <c r="U55" s="32"/>
      <c r="V55" s="32"/>
      <c r="W55" s="32"/>
      <c r="X55" s="93"/>
      <c r="Y55" s="32"/>
      <c r="Z55" s="32"/>
      <c r="AA55" s="32">
        <v>15</v>
      </c>
      <c r="AB55" s="32">
        <v>0</v>
      </c>
      <c r="AC55" s="32"/>
      <c r="AD55" s="32">
        <v>0</v>
      </c>
      <c r="AE55" s="32">
        <v>0</v>
      </c>
      <c r="AF55" s="32">
        <v>0</v>
      </c>
      <c r="AG55" s="32">
        <v>0</v>
      </c>
      <c r="AH55" s="32">
        <v>0</v>
      </c>
      <c r="AI55" s="32">
        <v>4.125</v>
      </c>
      <c r="AJ55" s="93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94">
        <f t="shared" si="7"/>
        <v>0</v>
      </c>
      <c r="AV55" s="95">
        <f t="shared" si="8"/>
        <v>0</v>
      </c>
      <c r="AW55" s="95">
        <f t="shared" si="9"/>
        <v>0</v>
      </c>
      <c r="AX55" s="95">
        <f t="shared" si="10"/>
        <v>0</v>
      </c>
      <c r="AY55" s="95">
        <f t="shared" si="11"/>
        <v>0</v>
      </c>
      <c r="AZ55" s="95">
        <f t="shared" si="12"/>
        <v>0</v>
      </c>
      <c r="BA55" s="95">
        <f t="shared" si="13"/>
        <v>0</v>
      </c>
      <c r="BB55" s="95">
        <f t="shared" si="42"/>
        <v>35629.537499999999</v>
      </c>
      <c r="BC55" s="96">
        <f t="shared" si="14"/>
        <v>0</v>
      </c>
      <c r="BD55" s="96">
        <f t="shared" si="15"/>
        <v>0</v>
      </c>
      <c r="BE55" s="96">
        <f t="shared" si="16"/>
        <v>0</v>
      </c>
      <c r="BF55" s="96">
        <f t="shared" si="17"/>
        <v>0</v>
      </c>
      <c r="BG55" s="96">
        <f t="shared" si="18"/>
        <v>0</v>
      </c>
      <c r="BH55" s="96">
        <f t="shared" si="19"/>
        <v>0</v>
      </c>
      <c r="BI55" s="96">
        <f t="shared" si="20"/>
        <v>78384.982499999998</v>
      </c>
      <c r="BJ55" s="96">
        <f t="shared" si="21"/>
        <v>0</v>
      </c>
      <c r="BK55" s="96">
        <f t="shared" si="22"/>
        <v>0</v>
      </c>
      <c r="BL55" s="96">
        <f t="shared" si="23"/>
        <v>0</v>
      </c>
      <c r="BM55" s="96">
        <f t="shared" si="24"/>
        <v>0</v>
      </c>
      <c r="BN55" s="96"/>
      <c r="BO55" s="95"/>
      <c r="BP55" s="95">
        <f t="shared" si="25"/>
        <v>0</v>
      </c>
      <c r="BQ55" s="95"/>
      <c r="BR55" s="95"/>
      <c r="BS55" s="95">
        <f t="shared" si="26"/>
        <v>0</v>
      </c>
      <c r="BT55" s="95">
        <f t="shared" si="27"/>
        <v>0</v>
      </c>
      <c r="BU55" s="95">
        <f t="shared" si="28"/>
        <v>0</v>
      </c>
      <c r="BV55" s="95">
        <f t="shared" si="29"/>
        <v>0</v>
      </c>
      <c r="BW55" s="95"/>
      <c r="BX55" s="95"/>
      <c r="BY55" s="95"/>
      <c r="BZ55" s="95"/>
      <c r="CA55" s="95">
        <f t="shared" si="43"/>
        <v>0</v>
      </c>
      <c r="CB55" s="97">
        <f t="shared" si="48"/>
        <v>114014.51999999999</v>
      </c>
      <c r="CC55" s="95"/>
      <c r="CD55" s="95"/>
      <c r="CE55" s="95">
        <f t="shared" si="31"/>
        <v>-3420.4355999999993</v>
      </c>
      <c r="CF55" s="95">
        <f t="shared" si="44"/>
        <v>-1710.2177999999997</v>
      </c>
      <c r="CG55" s="113"/>
      <c r="CH55" s="22"/>
      <c r="CI55" s="98">
        <f t="shared" si="32"/>
        <v>158388.97118399997</v>
      </c>
      <c r="CJ55" s="95">
        <f t="shared" si="33"/>
        <v>-4751.6691355199991</v>
      </c>
      <c r="CK55" s="95">
        <f t="shared" si="45"/>
        <v>-2375.8345677599996</v>
      </c>
      <c r="CL55" s="95"/>
      <c r="CM55" s="99"/>
      <c r="CN55" s="99"/>
      <c r="CO55" s="110"/>
      <c r="CP55" s="99"/>
      <c r="CQ55" s="99"/>
      <c r="CR55" s="99"/>
      <c r="CS55" s="95"/>
      <c r="CT55" s="95"/>
      <c r="CU55" s="96"/>
      <c r="CV55" s="96"/>
      <c r="CW55" s="96"/>
      <c r="CX55" s="96"/>
      <c r="CY55" s="96"/>
      <c r="CZ55" s="93">
        <f t="shared" si="49"/>
        <v>0</v>
      </c>
      <c r="DA55" s="93">
        <f t="shared" si="50"/>
        <v>0</v>
      </c>
      <c r="DB55" s="95">
        <f t="shared" si="46"/>
        <v>260145.33408071997</v>
      </c>
      <c r="DC55" s="100">
        <f t="shared" si="47"/>
        <v>260145</v>
      </c>
      <c r="DD55" s="100"/>
      <c r="DE55" s="100">
        <f t="shared" si="38"/>
        <v>-260145</v>
      </c>
      <c r="DF55" s="13"/>
      <c r="DG55" s="2"/>
      <c r="DH55" s="46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</row>
    <row r="56" spans="1:156" s="1" customFormat="1" hidden="1" x14ac:dyDescent="0.2">
      <c r="A56" s="88">
        <f t="shared" si="3"/>
        <v>509683</v>
      </c>
      <c r="B56" s="21">
        <v>9683</v>
      </c>
      <c r="C56" s="21" t="s">
        <v>98</v>
      </c>
      <c r="D56" s="84" t="s">
        <v>127</v>
      </c>
      <c r="E56" s="115" t="s">
        <v>202</v>
      </c>
      <c r="F56" s="85">
        <v>3</v>
      </c>
      <c r="G56" s="84"/>
      <c r="H56" s="85"/>
      <c r="I56" s="86"/>
      <c r="J56" s="85"/>
      <c r="K56" s="21" t="s">
        <v>10</v>
      </c>
      <c r="L56" s="21"/>
      <c r="M56" s="87"/>
      <c r="N56" s="88"/>
      <c r="O56" s="88">
        <v>13</v>
      </c>
      <c r="P56" s="89">
        <f t="shared" si="39"/>
        <v>5700.7259999999997</v>
      </c>
      <c r="Q56" s="90">
        <f t="shared" si="40"/>
        <v>19002.419999999998</v>
      </c>
      <c r="R56" s="90">
        <f t="shared" si="41"/>
        <v>26397.963600000003</v>
      </c>
      <c r="S56" s="91"/>
      <c r="T56" s="92"/>
      <c r="U56" s="32"/>
      <c r="V56" s="32"/>
      <c r="W56" s="32"/>
      <c r="X56" s="93"/>
      <c r="Y56" s="32"/>
      <c r="Z56" s="32"/>
      <c r="AA56" s="32">
        <v>0</v>
      </c>
      <c r="AB56" s="32">
        <v>0</v>
      </c>
      <c r="AC56" s="32"/>
      <c r="AD56" s="32">
        <v>0</v>
      </c>
      <c r="AE56" s="32">
        <v>0</v>
      </c>
      <c r="AF56" s="32">
        <v>0</v>
      </c>
      <c r="AG56" s="32">
        <v>0</v>
      </c>
      <c r="AH56" s="32">
        <v>0</v>
      </c>
      <c r="AI56" s="32">
        <v>0</v>
      </c>
      <c r="AJ56" s="93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94">
        <f t="shared" si="7"/>
        <v>0</v>
      </c>
      <c r="AV56" s="95">
        <f t="shared" si="8"/>
        <v>0</v>
      </c>
      <c r="AW56" s="95">
        <f t="shared" si="9"/>
        <v>0</v>
      </c>
      <c r="AX56" s="95">
        <f t="shared" si="10"/>
        <v>0</v>
      </c>
      <c r="AY56" s="95">
        <f t="shared" si="11"/>
        <v>0</v>
      </c>
      <c r="AZ56" s="112">
        <f t="shared" si="12"/>
        <v>0</v>
      </c>
      <c r="BA56" s="95">
        <f t="shared" si="13"/>
        <v>0</v>
      </c>
      <c r="BB56" s="95">
        <f t="shared" si="42"/>
        <v>0</v>
      </c>
      <c r="BC56" s="96">
        <f t="shared" si="14"/>
        <v>0</v>
      </c>
      <c r="BD56" s="96">
        <f t="shared" si="15"/>
        <v>0</v>
      </c>
      <c r="BE56" s="96">
        <f t="shared" si="16"/>
        <v>0</v>
      </c>
      <c r="BF56" s="96">
        <f t="shared" si="17"/>
        <v>0</v>
      </c>
      <c r="BG56" s="96">
        <f t="shared" si="18"/>
        <v>0</v>
      </c>
      <c r="BH56" s="96">
        <f t="shared" si="19"/>
        <v>0</v>
      </c>
      <c r="BI56" s="96">
        <f t="shared" si="20"/>
        <v>0</v>
      </c>
      <c r="BJ56" s="96">
        <f t="shared" si="21"/>
        <v>0</v>
      </c>
      <c r="BK56" s="96">
        <f t="shared" si="22"/>
        <v>0</v>
      </c>
      <c r="BL56" s="96">
        <f t="shared" si="23"/>
        <v>0</v>
      </c>
      <c r="BM56" s="96">
        <f t="shared" si="24"/>
        <v>0</v>
      </c>
      <c r="BN56" s="96"/>
      <c r="BO56" s="95"/>
      <c r="BP56" s="95">
        <f t="shared" si="25"/>
        <v>0</v>
      </c>
      <c r="BQ56" s="95"/>
      <c r="BR56" s="95"/>
      <c r="BS56" s="95">
        <f t="shared" si="26"/>
        <v>0</v>
      </c>
      <c r="BT56" s="95">
        <f t="shared" si="27"/>
        <v>0</v>
      </c>
      <c r="BU56" s="95">
        <f t="shared" si="28"/>
        <v>0</v>
      </c>
      <c r="BV56" s="95">
        <f t="shared" si="29"/>
        <v>0</v>
      </c>
      <c r="BW56" s="95"/>
      <c r="BX56" s="95"/>
      <c r="BY56" s="95"/>
      <c r="BZ56" s="95"/>
      <c r="CA56" s="95">
        <f t="shared" si="43"/>
        <v>0</v>
      </c>
      <c r="CB56" s="97">
        <f t="shared" si="48"/>
        <v>0</v>
      </c>
      <c r="CC56" s="95"/>
      <c r="CD56" s="95"/>
      <c r="CE56" s="95">
        <f t="shared" si="31"/>
        <v>0</v>
      </c>
      <c r="CF56" s="95">
        <f t="shared" si="44"/>
        <v>0</v>
      </c>
      <c r="CG56" s="113"/>
      <c r="CH56" s="22"/>
      <c r="CI56" s="98">
        <f t="shared" si="32"/>
        <v>0</v>
      </c>
      <c r="CJ56" s="95">
        <f t="shared" si="33"/>
        <v>0</v>
      </c>
      <c r="CK56" s="95">
        <f t="shared" si="45"/>
        <v>0</v>
      </c>
      <c r="CL56" s="95"/>
      <c r="CM56" s="99"/>
      <c r="CN56" s="99"/>
      <c r="CO56" s="110"/>
      <c r="CP56" s="99"/>
      <c r="CQ56" s="99"/>
      <c r="CR56" s="99"/>
      <c r="CS56" s="95"/>
      <c r="CT56" s="95"/>
      <c r="CU56" s="96"/>
      <c r="CV56" s="96"/>
      <c r="CW56" s="96"/>
      <c r="CX56" s="96"/>
      <c r="CY56" s="96"/>
      <c r="CZ56" s="93">
        <f t="shared" si="49"/>
        <v>0</v>
      </c>
      <c r="DA56" s="93">
        <f t="shared" si="50"/>
        <v>0</v>
      </c>
      <c r="DB56" s="95">
        <f t="shared" si="46"/>
        <v>0</v>
      </c>
      <c r="DC56" s="100">
        <f t="shared" si="47"/>
        <v>0</v>
      </c>
      <c r="DD56" s="100"/>
      <c r="DE56" s="100">
        <f t="shared" si="38"/>
        <v>0</v>
      </c>
      <c r="DF56" s="13"/>
      <c r="DG56" s="2"/>
      <c r="DH56" s="46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</row>
    <row r="57" spans="1:156" s="1" customFormat="1" hidden="1" x14ac:dyDescent="0.2">
      <c r="A57" s="88">
        <f t="shared" si="3"/>
        <v>509684</v>
      </c>
      <c r="B57" s="21">
        <v>9684</v>
      </c>
      <c r="C57" s="21" t="s">
        <v>98</v>
      </c>
      <c r="D57" s="84" t="s">
        <v>128</v>
      </c>
      <c r="E57" s="115" t="s">
        <v>202</v>
      </c>
      <c r="F57" s="85">
        <v>0</v>
      </c>
      <c r="G57" s="84"/>
      <c r="H57" s="85"/>
      <c r="I57" s="86"/>
      <c r="J57" s="85"/>
      <c r="K57" s="21" t="s">
        <v>10</v>
      </c>
      <c r="L57" s="21"/>
      <c r="M57" s="87"/>
      <c r="N57" s="88"/>
      <c r="O57" s="88">
        <v>0</v>
      </c>
      <c r="P57" s="89">
        <f t="shared" si="39"/>
        <v>5700.7259999999997</v>
      </c>
      <c r="Q57" s="90">
        <f t="shared" si="40"/>
        <v>19002.419999999998</v>
      </c>
      <c r="R57" s="90">
        <f t="shared" si="41"/>
        <v>26397.963600000003</v>
      </c>
      <c r="S57" s="91"/>
      <c r="T57" s="92"/>
      <c r="U57" s="32"/>
      <c r="V57" s="32"/>
      <c r="W57" s="32"/>
      <c r="X57" s="93"/>
      <c r="Y57" s="32"/>
      <c r="Z57" s="32"/>
      <c r="AA57" s="32">
        <v>0</v>
      </c>
      <c r="AB57" s="32">
        <v>0</v>
      </c>
      <c r="AC57" s="32"/>
      <c r="AD57" s="32">
        <v>0</v>
      </c>
      <c r="AE57" s="32">
        <v>0</v>
      </c>
      <c r="AF57" s="32">
        <v>0</v>
      </c>
      <c r="AG57" s="32">
        <v>0</v>
      </c>
      <c r="AH57" s="32">
        <v>0</v>
      </c>
      <c r="AI57" s="32">
        <v>0</v>
      </c>
      <c r="AJ57" s="93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94">
        <f t="shared" si="7"/>
        <v>0</v>
      </c>
      <c r="AV57" s="95">
        <f t="shared" si="8"/>
        <v>0</v>
      </c>
      <c r="AW57" s="95">
        <f t="shared" si="9"/>
        <v>0</v>
      </c>
      <c r="AX57" s="95">
        <f t="shared" si="10"/>
        <v>0</v>
      </c>
      <c r="AY57" s="95">
        <f t="shared" si="11"/>
        <v>0</v>
      </c>
      <c r="AZ57" s="95">
        <f t="shared" si="12"/>
        <v>0</v>
      </c>
      <c r="BA57" s="95">
        <f t="shared" si="13"/>
        <v>0</v>
      </c>
      <c r="BB57" s="95">
        <f t="shared" si="42"/>
        <v>0</v>
      </c>
      <c r="BC57" s="96">
        <f t="shared" si="14"/>
        <v>0</v>
      </c>
      <c r="BD57" s="96">
        <f t="shared" si="15"/>
        <v>0</v>
      </c>
      <c r="BE57" s="96">
        <f t="shared" si="16"/>
        <v>0</v>
      </c>
      <c r="BF57" s="96">
        <f t="shared" si="17"/>
        <v>0</v>
      </c>
      <c r="BG57" s="96">
        <f t="shared" si="18"/>
        <v>0</v>
      </c>
      <c r="BH57" s="96">
        <f t="shared" si="19"/>
        <v>0</v>
      </c>
      <c r="BI57" s="96">
        <f t="shared" si="20"/>
        <v>0</v>
      </c>
      <c r="BJ57" s="96">
        <f t="shared" si="21"/>
        <v>0</v>
      </c>
      <c r="BK57" s="96">
        <f t="shared" si="22"/>
        <v>0</v>
      </c>
      <c r="BL57" s="96">
        <f t="shared" si="23"/>
        <v>0</v>
      </c>
      <c r="BM57" s="96">
        <f t="shared" si="24"/>
        <v>0</v>
      </c>
      <c r="BN57" s="96"/>
      <c r="BO57" s="95"/>
      <c r="BP57" s="95">
        <f t="shared" si="25"/>
        <v>0</v>
      </c>
      <c r="BQ57" s="95"/>
      <c r="BR57" s="95"/>
      <c r="BS57" s="95">
        <f t="shared" si="26"/>
        <v>0</v>
      </c>
      <c r="BT57" s="95">
        <f t="shared" si="27"/>
        <v>0</v>
      </c>
      <c r="BU57" s="95">
        <f t="shared" si="28"/>
        <v>0</v>
      </c>
      <c r="BV57" s="95">
        <f t="shared" si="29"/>
        <v>0</v>
      </c>
      <c r="BW57" s="95"/>
      <c r="BX57" s="95"/>
      <c r="BY57" s="95"/>
      <c r="BZ57" s="95"/>
      <c r="CA57" s="95">
        <f t="shared" si="43"/>
        <v>0</v>
      </c>
      <c r="CB57" s="97">
        <f t="shared" si="48"/>
        <v>0</v>
      </c>
      <c r="CC57" s="95"/>
      <c r="CD57" s="95"/>
      <c r="CE57" s="95">
        <f t="shared" si="31"/>
        <v>0</v>
      </c>
      <c r="CF57" s="95">
        <f t="shared" si="44"/>
        <v>0</v>
      </c>
      <c r="CG57" s="113"/>
      <c r="CH57" s="22"/>
      <c r="CI57" s="98">
        <f t="shared" si="32"/>
        <v>0</v>
      </c>
      <c r="CJ57" s="95">
        <f t="shared" si="33"/>
        <v>0</v>
      </c>
      <c r="CK57" s="95">
        <f t="shared" si="45"/>
        <v>0</v>
      </c>
      <c r="CL57" s="95"/>
      <c r="CM57" s="99"/>
      <c r="CN57" s="99"/>
      <c r="CO57" s="110"/>
      <c r="CP57" s="99"/>
      <c r="CQ57" s="99"/>
      <c r="CR57" s="99"/>
      <c r="CS57" s="95"/>
      <c r="CT57" s="95"/>
      <c r="CU57" s="96"/>
      <c r="CV57" s="96"/>
      <c r="CW57" s="96"/>
      <c r="CX57" s="96"/>
      <c r="CY57" s="96"/>
      <c r="CZ57" s="93">
        <f t="shared" si="49"/>
        <v>0</v>
      </c>
      <c r="DA57" s="93">
        <f t="shared" si="50"/>
        <v>0</v>
      </c>
      <c r="DB57" s="95">
        <f t="shared" si="46"/>
        <v>0</v>
      </c>
      <c r="DC57" s="100">
        <f t="shared" si="47"/>
        <v>0</v>
      </c>
      <c r="DD57" s="100"/>
      <c r="DE57" s="100">
        <f t="shared" si="38"/>
        <v>0</v>
      </c>
      <c r="DF57" s="13"/>
      <c r="DG57" s="2"/>
      <c r="DH57" s="46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</row>
    <row r="58" spans="1:156" s="1" customFormat="1" x14ac:dyDescent="0.2">
      <c r="A58" s="88">
        <f t="shared" si="3"/>
        <v>509751</v>
      </c>
      <c r="B58" s="21">
        <v>9751</v>
      </c>
      <c r="C58" s="21" t="s">
        <v>98</v>
      </c>
      <c r="D58" s="84" t="s">
        <v>166</v>
      </c>
      <c r="E58" s="114" t="s">
        <v>201</v>
      </c>
      <c r="F58" s="85">
        <v>0</v>
      </c>
      <c r="G58" s="84"/>
      <c r="H58" s="85"/>
      <c r="I58" s="86"/>
      <c r="J58" s="85"/>
      <c r="K58" s="21" t="s">
        <v>8</v>
      </c>
      <c r="L58" s="21" t="s">
        <v>12</v>
      </c>
      <c r="M58" s="87">
        <f>+X9-X5</f>
        <v>2099.9600000000028</v>
      </c>
      <c r="N58" s="88"/>
      <c r="O58" s="88">
        <v>3</v>
      </c>
      <c r="P58" s="89">
        <f t="shared" si="39"/>
        <v>5401.2359999999999</v>
      </c>
      <c r="Q58" s="90">
        <f t="shared" si="40"/>
        <v>18004.12</v>
      </c>
      <c r="R58" s="90">
        <f t="shared" si="41"/>
        <v>25011.1211</v>
      </c>
      <c r="S58" s="91"/>
      <c r="T58" s="92"/>
      <c r="U58" s="32"/>
      <c r="V58" s="32"/>
      <c r="W58" s="32"/>
      <c r="X58" s="93"/>
      <c r="Y58" s="32"/>
      <c r="Z58" s="32"/>
      <c r="AA58" s="32">
        <v>15</v>
      </c>
      <c r="AB58" s="32">
        <v>0</v>
      </c>
      <c r="AC58" s="32"/>
      <c r="AD58" s="32">
        <v>0</v>
      </c>
      <c r="AE58" s="32">
        <v>0</v>
      </c>
      <c r="AF58" s="32">
        <v>0</v>
      </c>
      <c r="AG58" s="32">
        <v>0</v>
      </c>
      <c r="AH58" s="32">
        <v>0</v>
      </c>
      <c r="AI58" s="32">
        <v>6.375</v>
      </c>
      <c r="AJ58" s="93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94">
        <f t="shared" si="7"/>
        <v>0</v>
      </c>
      <c r="AV58" s="95">
        <f t="shared" si="8"/>
        <v>0</v>
      </c>
      <c r="AW58" s="95">
        <f t="shared" si="9"/>
        <v>0</v>
      </c>
      <c r="AX58" s="95">
        <f t="shared" si="10"/>
        <v>0</v>
      </c>
      <c r="AY58" s="95">
        <f t="shared" si="11"/>
        <v>0</v>
      </c>
      <c r="AZ58" s="95">
        <f t="shared" si="12"/>
        <v>0</v>
      </c>
      <c r="BA58" s="95">
        <f t="shared" si="13"/>
        <v>0</v>
      </c>
      <c r="BB58" s="95">
        <f t="shared" si="42"/>
        <v>33757.724999999999</v>
      </c>
      <c r="BC58" s="96">
        <f t="shared" si="14"/>
        <v>0</v>
      </c>
      <c r="BD58" s="96">
        <f t="shared" si="15"/>
        <v>0</v>
      </c>
      <c r="BE58" s="96">
        <f t="shared" si="16"/>
        <v>0</v>
      </c>
      <c r="BF58" s="96">
        <f t="shared" si="17"/>
        <v>0</v>
      </c>
      <c r="BG58" s="96">
        <f t="shared" si="18"/>
        <v>0</v>
      </c>
      <c r="BH58" s="96">
        <f t="shared" si="19"/>
        <v>0</v>
      </c>
      <c r="BI58" s="96">
        <f t="shared" si="20"/>
        <v>114776.265</v>
      </c>
      <c r="BJ58" s="96">
        <f t="shared" si="21"/>
        <v>0</v>
      </c>
      <c r="BK58" s="96">
        <f t="shared" si="22"/>
        <v>0</v>
      </c>
      <c r="BL58" s="96">
        <f t="shared" si="23"/>
        <v>0</v>
      </c>
      <c r="BM58" s="96">
        <f t="shared" si="24"/>
        <v>0</v>
      </c>
      <c r="BN58" s="96"/>
      <c r="BO58" s="95"/>
      <c r="BP58" s="95">
        <f t="shared" si="25"/>
        <v>13387.245000000017</v>
      </c>
      <c r="BQ58" s="95"/>
      <c r="BR58" s="95"/>
      <c r="BS58" s="95">
        <f t="shared" si="26"/>
        <v>0</v>
      </c>
      <c r="BT58" s="95">
        <f t="shared" si="27"/>
        <v>0</v>
      </c>
      <c r="BU58" s="95">
        <f t="shared" si="28"/>
        <v>0</v>
      </c>
      <c r="BV58" s="95">
        <f t="shared" si="29"/>
        <v>0</v>
      </c>
      <c r="BW58" s="95"/>
      <c r="BX58" s="95"/>
      <c r="BY58" s="95"/>
      <c r="BZ58" s="95"/>
      <c r="CA58" s="95">
        <f t="shared" si="43"/>
        <v>0</v>
      </c>
      <c r="CB58" s="97">
        <f t="shared" si="48"/>
        <v>161921.23500000002</v>
      </c>
      <c r="CC58" s="95"/>
      <c r="CD58" s="95"/>
      <c r="CE58" s="95">
        <f t="shared" si="31"/>
        <v>-4857.6370500000003</v>
      </c>
      <c r="CF58" s="95">
        <f t="shared" si="44"/>
        <v>-1619.2123500000002</v>
      </c>
      <c r="CG58" s="113"/>
      <c r="CH58" s="22"/>
      <c r="CI58" s="98">
        <f t="shared" si="32"/>
        <v>224940.979662</v>
      </c>
      <c r="CJ58" s="95">
        <f t="shared" si="33"/>
        <v>-6748.2293898600001</v>
      </c>
      <c r="CK58" s="95">
        <f t="shared" si="45"/>
        <v>-2249.4097966200002</v>
      </c>
      <c r="CL58" s="95"/>
      <c r="CM58" s="99"/>
      <c r="CN58" s="99"/>
      <c r="CO58" s="110"/>
      <c r="CP58" s="99"/>
      <c r="CQ58" s="99"/>
      <c r="CR58" s="99"/>
      <c r="CS58" s="95"/>
      <c r="CT58" s="95"/>
      <c r="CU58" s="96"/>
      <c r="CV58" s="96"/>
      <c r="CW58" s="96"/>
      <c r="CX58" s="96"/>
      <c r="CY58" s="96"/>
      <c r="CZ58" s="93">
        <f t="shared" si="49"/>
        <v>0</v>
      </c>
      <c r="DA58" s="93">
        <f t="shared" si="50"/>
        <v>0</v>
      </c>
      <c r="DB58" s="95">
        <f t="shared" si="46"/>
        <v>371387.72607551998</v>
      </c>
      <c r="DC58" s="100">
        <f t="shared" si="47"/>
        <v>371388</v>
      </c>
      <c r="DD58" s="100"/>
      <c r="DE58" s="100">
        <f t="shared" si="38"/>
        <v>-371388</v>
      </c>
      <c r="DF58" s="13"/>
      <c r="DG58" s="2"/>
      <c r="DH58" s="46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</row>
    <row r="59" spans="1:156" s="1" customFormat="1" hidden="1" x14ac:dyDescent="0.2">
      <c r="A59" s="88">
        <f t="shared" si="3"/>
        <v>509814</v>
      </c>
      <c r="B59" s="21">
        <v>9814</v>
      </c>
      <c r="C59" s="21" t="s">
        <v>98</v>
      </c>
      <c r="D59" s="84" t="s">
        <v>176</v>
      </c>
      <c r="E59" s="114" t="s">
        <v>201</v>
      </c>
      <c r="F59" s="85">
        <v>0</v>
      </c>
      <c r="G59" s="84"/>
      <c r="H59" s="85"/>
      <c r="I59" s="86"/>
      <c r="J59" s="85"/>
      <c r="K59" s="21" t="s">
        <v>8</v>
      </c>
      <c r="L59" s="21"/>
      <c r="M59" s="87"/>
      <c r="N59" s="88"/>
      <c r="O59" s="88">
        <v>0</v>
      </c>
      <c r="P59" s="89">
        <f t="shared" si="39"/>
        <v>5401.2359999999999</v>
      </c>
      <c r="Q59" s="90">
        <f t="shared" si="40"/>
        <v>18004.12</v>
      </c>
      <c r="R59" s="90">
        <f t="shared" si="41"/>
        <v>25011.1211</v>
      </c>
      <c r="S59" s="91"/>
      <c r="T59" s="92"/>
      <c r="U59" s="32"/>
      <c r="V59" s="32"/>
      <c r="W59" s="32"/>
      <c r="X59" s="93"/>
      <c r="Y59" s="32"/>
      <c r="Z59" s="32"/>
      <c r="AA59" s="32">
        <v>0</v>
      </c>
      <c r="AB59" s="32">
        <v>0</v>
      </c>
      <c r="AC59" s="32"/>
      <c r="AD59" s="32">
        <v>0</v>
      </c>
      <c r="AE59" s="32">
        <v>0</v>
      </c>
      <c r="AF59" s="32">
        <v>0</v>
      </c>
      <c r="AG59" s="32">
        <v>0</v>
      </c>
      <c r="AH59" s="32">
        <v>0</v>
      </c>
      <c r="AI59" s="32">
        <v>0</v>
      </c>
      <c r="AJ59" s="93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94">
        <f t="shared" si="7"/>
        <v>0</v>
      </c>
      <c r="AV59" s="95">
        <f t="shared" si="8"/>
        <v>0</v>
      </c>
      <c r="AW59" s="95">
        <f t="shared" si="9"/>
        <v>0</v>
      </c>
      <c r="AX59" s="95">
        <f t="shared" si="10"/>
        <v>0</v>
      </c>
      <c r="AY59" s="95">
        <f t="shared" si="11"/>
        <v>0</v>
      </c>
      <c r="AZ59" s="95">
        <f t="shared" si="12"/>
        <v>0</v>
      </c>
      <c r="BA59" s="95">
        <f t="shared" si="13"/>
        <v>0</v>
      </c>
      <c r="BB59" s="95">
        <f t="shared" si="42"/>
        <v>0</v>
      </c>
      <c r="BC59" s="96">
        <f t="shared" si="14"/>
        <v>0</v>
      </c>
      <c r="BD59" s="96">
        <f t="shared" si="15"/>
        <v>0</v>
      </c>
      <c r="BE59" s="96">
        <f t="shared" si="16"/>
        <v>0</v>
      </c>
      <c r="BF59" s="96">
        <f t="shared" si="17"/>
        <v>0</v>
      </c>
      <c r="BG59" s="96">
        <f t="shared" si="18"/>
        <v>0</v>
      </c>
      <c r="BH59" s="96">
        <f t="shared" si="19"/>
        <v>0</v>
      </c>
      <c r="BI59" s="96">
        <f t="shared" si="20"/>
        <v>0</v>
      </c>
      <c r="BJ59" s="96">
        <f t="shared" si="21"/>
        <v>0</v>
      </c>
      <c r="BK59" s="96">
        <f t="shared" si="22"/>
        <v>0</v>
      </c>
      <c r="BL59" s="96">
        <f t="shared" si="23"/>
        <v>0</v>
      </c>
      <c r="BM59" s="96">
        <f t="shared" si="24"/>
        <v>0</v>
      </c>
      <c r="BN59" s="96"/>
      <c r="BO59" s="95"/>
      <c r="BP59" s="95">
        <f t="shared" si="25"/>
        <v>0</v>
      </c>
      <c r="BQ59" s="95"/>
      <c r="BR59" s="95"/>
      <c r="BS59" s="95">
        <f t="shared" si="26"/>
        <v>0</v>
      </c>
      <c r="BT59" s="95">
        <f t="shared" si="27"/>
        <v>0</v>
      </c>
      <c r="BU59" s="95">
        <f t="shared" si="28"/>
        <v>0</v>
      </c>
      <c r="BV59" s="95">
        <f t="shared" si="29"/>
        <v>0</v>
      </c>
      <c r="BW59" s="95"/>
      <c r="BX59" s="95"/>
      <c r="BY59" s="95"/>
      <c r="BZ59" s="95"/>
      <c r="CA59" s="95">
        <f t="shared" si="43"/>
        <v>0</v>
      </c>
      <c r="CB59" s="97">
        <f t="shared" si="48"/>
        <v>0</v>
      </c>
      <c r="CC59" s="95"/>
      <c r="CD59" s="95"/>
      <c r="CE59" s="95">
        <f t="shared" si="31"/>
        <v>0</v>
      </c>
      <c r="CF59" s="95">
        <f t="shared" si="44"/>
        <v>0</v>
      </c>
      <c r="CG59" s="113"/>
      <c r="CH59" s="22"/>
      <c r="CI59" s="98">
        <f t="shared" si="32"/>
        <v>0</v>
      </c>
      <c r="CJ59" s="95">
        <f t="shared" si="33"/>
        <v>0</v>
      </c>
      <c r="CK59" s="95">
        <f t="shared" si="45"/>
        <v>0</v>
      </c>
      <c r="CL59" s="95"/>
      <c r="CM59" s="99"/>
      <c r="CN59" s="99"/>
      <c r="CO59" s="110"/>
      <c r="CP59" s="99"/>
      <c r="CQ59" s="99"/>
      <c r="CR59" s="99"/>
      <c r="CS59" s="95"/>
      <c r="CT59" s="95"/>
      <c r="CU59" s="96"/>
      <c r="CV59" s="96"/>
      <c r="CW59" s="96"/>
      <c r="CX59" s="96"/>
      <c r="CY59" s="96"/>
      <c r="CZ59" s="93">
        <f t="shared" si="49"/>
        <v>0</v>
      </c>
      <c r="DA59" s="93">
        <f t="shared" si="50"/>
        <v>0</v>
      </c>
      <c r="DB59" s="95">
        <f t="shared" si="46"/>
        <v>0</v>
      </c>
      <c r="DC59" s="100">
        <f t="shared" si="47"/>
        <v>0</v>
      </c>
      <c r="DD59" s="100"/>
      <c r="DE59" s="100">
        <f t="shared" si="38"/>
        <v>0</v>
      </c>
      <c r="DF59" s="13"/>
      <c r="DG59" s="2"/>
      <c r="DH59" s="46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</row>
    <row r="60" spans="1:156" s="1" customFormat="1" hidden="1" x14ac:dyDescent="0.2">
      <c r="A60" s="88">
        <f t="shared" si="3"/>
        <v>509687</v>
      </c>
      <c r="B60" s="21">
        <v>9687</v>
      </c>
      <c r="C60" s="21" t="s">
        <v>98</v>
      </c>
      <c r="D60" s="84" t="s">
        <v>129</v>
      </c>
      <c r="E60" s="115" t="s">
        <v>202</v>
      </c>
      <c r="F60" s="85">
        <v>3</v>
      </c>
      <c r="G60" s="84"/>
      <c r="H60" s="85"/>
      <c r="I60" s="86"/>
      <c r="J60" s="85"/>
      <c r="K60" s="21" t="s">
        <v>10</v>
      </c>
      <c r="L60" s="21"/>
      <c r="M60" s="87"/>
      <c r="N60" s="88"/>
      <c r="O60" s="88">
        <v>6</v>
      </c>
      <c r="P60" s="89">
        <f t="shared" si="39"/>
        <v>5700.7259999999997</v>
      </c>
      <c r="Q60" s="90">
        <f t="shared" si="40"/>
        <v>19002.419999999998</v>
      </c>
      <c r="R60" s="90">
        <f t="shared" si="41"/>
        <v>26397.963600000003</v>
      </c>
      <c r="S60" s="91"/>
      <c r="T60" s="92"/>
      <c r="U60" s="32"/>
      <c r="V60" s="32"/>
      <c r="W60" s="32"/>
      <c r="X60" s="93"/>
      <c r="Y60" s="32"/>
      <c r="Z60" s="32"/>
      <c r="AA60" s="32">
        <v>0</v>
      </c>
      <c r="AB60" s="32">
        <v>0</v>
      </c>
      <c r="AC60" s="32"/>
      <c r="AD60" s="32">
        <v>0</v>
      </c>
      <c r="AE60" s="32">
        <v>0</v>
      </c>
      <c r="AF60" s="32">
        <v>0</v>
      </c>
      <c r="AG60" s="32">
        <v>0</v>
      </c>
      <c r="AH60" s="32">
        <v>0</v>
      </c>
      <c r="AI60" s="32">
        <v>0</v>
      </c>
      <c r="AJ60" s="93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94">
        <f t="shared" si="7"/>
        <v>0</v>
      </c>
      <c r="AV60" s="95">
        <f t="shared" si="8"/>
        <v>0</v>
      </c>
      <c r="AW60" s="95">
        <f t="shared" si="9"/>
        <v>0</v>
      </c>
      <c r="AX60" s="95">
        <f t="shared" si="10"/>
        <v>0</v>
      </c>
      <c r="AY60" s="95">
        <f t="shared" si="11"/>
        <v>0</v>
      </c>
      <c r="AZ60" s="95">
        <f t="shared" si="12"/>
        <v>0</v>
      </c>
      <c r="BA60" s="95">
        <f t="shared" si="13"/>
        <v>0</v>
      </c>
      <c r="BB60" s="95">
        <f t="shared" si="42"/>
        <v>0</v>
      </c>
      <c r="BC60" s="96">
        <f t="shared" si="14"/>
        <v>0</v>
      </c>
      <c r="BD60" s="96">
        <f t="shared" si="15"/>
        <v>0</v>
      </c>
      <c r="BE60" s="96">
        <f t="shared" si="16"/>
        <v>0</v>
      </c>
      <c r="BF60" s="96">
        <f t="shared" si="17"/>
        <v>0</v>
      </c>
      <c r="BG60" s="96">
        <f t="shared" si="18"/>
        <v>0</v>
      </c>
      <c r="BH60" s="96">
        <f t="shared" si="19"/>
        <v>0</v>
      </c>
      <c r="BI60" s="96">
        <f t="shared" si="20"/>
        <v>0</v>
      </c>
      <c r="BJ60" s="96">
        <f t="shared" si="21"/>
        <v>0</v>
      </c>
      <c r="BK60" s="96">
        <f t="shared" si="22"/>
        <v>0</v>
      </c>
      <c r="BL60" s="96">
        <f t="shared" si="23"/>
        <v>0</v>
      </c>
      <c r="BM60" s="96">
        <f t="shared" si="24"/>
        <v>0</v>
      </c>
      <c r="BN60" s="96"/>
      <c r="BO60" s="95"/>
      <c r="BP60" s="95">
        <f t="shared" si="25"/>
        <v>0</v>
      </c>
      <c r="BQ60" s="95"/>
      <c r="BR60" s="95"/>
      <c r="BS60" s="95">
        <f t="shared" si="26"/>
        <v>0</v>
      </c>
      <c r="BT60" s="95">
        <f t="shared" si="27"/>
        <v>0</v>
      </c>
      <c r="BU60" s="95">
        <f t="shared" si="28"/>
        <v>0</v>
      </c>
      <c r="BV60" s="95">
        <f t="shared" si="29"/>
        <v>0</v>
      </c>
      <c r="BW60" s="95"/>
      <c r="BX60" s="95"/>
      <c r="BY60" s="95"/>
      <c r="BZ60" s="95"/>
      <c r="CA60" s="95">
        <f t="shared" si="43"/>
        <v>0</v>
      </c>
      <c r="CB60" s="97">
        <f t="shared" si="48"/>
        <v>0</v>
      </c>
      <c r="CC60" s="95"/>
      <c r="CD60" s="95"/>
      <c r="CE60" s="95">
        <f t="shared" si="31"/>
        <v>0</v>
      </c>
      <c r="CF60" s="95">
        <f t="shared" si="44"/>
        <v>0</v>
      </c>
      <c r="CG60" s="113"/>
      <c r="CH60" s="22"/>
      <c r="CI60" s="98">
        <f t="shared" si="32"/>
        <v>0</v>
      </c>
      <c r="CJ60" s="95">
        <f t="shared" si="33"/>
        <v>0</v>
      </c>
      <c r="CK60" s="95">
        <f t="shared" si="45"/>
        <v>0</v>
      </c>
      <c r="CL60" s="95"/>
      <c r="CM60" s="99"/>
      <c r="CN60" s="99"/>
      <c r="CO60" s="110"/>
      <c r="CP60" s="99"/>
      <c r="CQ60" s="99"/>
      <c r="CR60" s="99"/>
      <c r="CS60" s="95"/>
      <c r="CT60" s="95"/>
      <c r="CU60" s="96"/>
      <c r="CV60" s="96"/>
      <c r="CW60" s="96"/>
      <c r="CX60" s="96"/>
      <c r="CY60" s="96"/>
      <c r="CZ60" s="93">
        <f t="shared" si="49"/>
        <v>0</v>
      </c>
      <c r="DA60" s="93">
        <f t="shared" si="50"/>
        <v>0</v>
      </c>
      <c r="DB60" s="95">
        <f t="shared" si="46"/>
        <v>0</v>
      </c>
      <c r="DC60" s="100">
        <f t="shared" si="47"/>
        <v>0</v>
      </c>
      <c r="DD60" s="100"/>
      <c r="DE60" s="100">
        <f t="shared" si="38"/>
        <v>0</v>
      </c>
      <c r="DF60" s="13"/>
      <c r="DG60" s="2"/>
      <c r="DH60" s="46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</row>
    <row r="61" spans="1:156" s="1" customFormat="1" x14ac:dyDescent="0.2">
      <c r="A61" s="88">
        <f t="shared" si="3"/>
        <v>509827</v>
      </c>
      <c r="B61" s="21">
        <v>9827</v>
      </c>
      <c r="C61" s="21" t="s">
        <v>98</v>
      </c>
      <c r="D61" s="84" t="s">
        <v>177</v>
      </c>
      <c r="E61" s="114" t="s">
        <v>201</v>
      </c>
      <c r="F61" s="85">
        <v>0</v>
      </c>
      <c r="G61" s="84"/>
      <c r="H61" s="85"/>
      <c r="I61" s="86"/>
      <c r="J61" s="85"/>
      <c r="K61" s="21" t="s">
        <v>8</v>
      </c>
      <c r="L61" s="21"/>
      <c r="M61" s="87"/>
      <c r="N61" s="88"/>
      <c r="O61" s="88">
        <v>0</v>
      </c>
      <c r="P61" s="89">
        <f t="shared" si="39"/>
        <v>5401.2359999999999</v>
      </c>
      <c r="Q61" s="90">
        <f t="shared" si="40"/>
        <v>18004.12</v>
      </c>
      <c r="R61" s="90">
        <f t="shared" si="41"/>
        <v>25011.1211</v>
      </c>
      <c r="S61" s="91"/>
      <c r="T61" s="92"/>
      <c r="U61" s="32"/>
      <c r="V61" s="32"/>
      <c r="W61" s="32"/>
      <c r="X61" s="93"/>
      <c r="Y61" s="32"/>
      <c r="Z61" s="32"/>
      <c r="AA61" s="32">
        <v>15</v>
      </c>
      <c r="AB61" s="32">
        <v>0</v>
      </c>
      <c r="AC61" s="32"/>
      <c r="AD61" s="32">
        <v>0</v>
      </c>
      <c r="AE61" s="32">
        <v>0</v>
      </c>
      <c r="AF61" s="32">
        <v>0</v>
      </c>
      <c r="AG61" s="32">
        <v>0</v>
      </c>
      <c r="AH61" s="32">
        <v>0</v>
      </c>
      <c r="AI61" s="32">
        <v>13.875</v>
      </c>
      <c r="AJ61" s="93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94">
        <f t="shared" si="7"/>
        <v>0</v>
      </c>
      <c r="AV61" s="103">
        <f t="shared" si="8"/>
        <v>0</v>
      </c>
      <c r="AW61" s="103">
        <f t="shared" si="9"/>
        <v>0</v>
      </c>
      <c r="AX61" s="103">
        <f t="shared" si="10"/>
        <v>0</v>
      </c>
      <c r="AY61" s="95">
        <f t="shared" si="11"/>
        <v>0</v>
      </c>
      <c r="AZ61" s="95">
        <f t="shared" si="12"/>
        <v>0</v>
      </c>
      <c r="BA61" s="95">
        <f t="shared" si="13"/>
        <v>0</v>
      </c>
      <c r="BB61" s="95">
        <f t="shared" si="42"/>
        <v>33757.724999999999</v>
      </c>
      <c r="BC61" s="96">
        <f t="shared" si="14"/>
        <v>0</v>
      </c>
      <c r="BD61" s="96">
        <f t="shared" si="15"/>
        <v>0</v>
      </c>
      <c r="BE61" s="96">
        <f t="shared" si="16"/>
        <v>0</v>
      </c>
      <c r="BF61" s="96">
        <f t="shared" si="17"/>
        <v>0</v>
      </c>
      <c r="BG61" s="96">
        <f t="shared" si="18"/>
        <v>0</v>
      </c>
      <c r="BH61" s="96">
        <f t="shared" si="19"/>
        <v>0</v>
      </c>
      <c r="BI61" s="96">
        <f t="shared" si="20"/>
        <v>249807.16499999998</v>
      </c>
      <c r="BJ61" s="96">
        <f t="shared" si="21"/>
        <v>0</v>
      </c>
      <c r="BK61" s="96">
        <f t="shared" si="22"/>
        <v>0</v>
      </c>
      <c r="BL61" s="96">
        <f t="shared" si="23"/>
        <v>0</v>
      </c>
      <c r="BM61" s="96">
        <f t="shared" si="24"/>
        <v>0</v>
      </c>
      <c r="BN61" s="96"/>
      <c r="BO61" s="95"/>
      <c r="BP61" s="95">
        <f t="shared" si="25"/>
        <v>0</v>
      </c>
      <c r="BQ61" s="95"/>
      <c r="BR61" s="95"/>
      <c r="BS61" s="95">
        <f t="shared" si="26"/>
        <v>0</v>
      </c>
      <c r="BT61" s="95">
        <f t="shared" si="27"/>
        <v>0</v>
      </c>
      <c r="BU61" s="95">
        <f t="shared" si="28"/>
        <v>0</v>
      </c>
      <c r="BV61" s="95">
        <f t="shared" si="29"/>
        <v>0</v>
      </c>
      <c r="BW61" s="95"/>
      <c r="BX61" s="95"/>
      <c r="BY61" s="95"/>
      <c r="BZ61" s="95"/>
      <c r="CA61" s="95">
        <f t="shared" si="43"/>
        <v>0</v>
      </c>
      <c r="CB61" s="97">
        <f t="shared" si="48"/>
        <v>283564.88999999996</v>
      </c>
      <c r="CC61" s="95"/>
      <c r="CD61" s="95"/>
      <c r="CE61" s="95">
        <f t="shared" si="31"/>
        <v>-8506.9466999999986</v>
      </c>
      <c r="CF61" s="95">
        <f t="shared" si="44"/>
        <v>-2835.6488999999997</v>
      </c>
      <c r="CG61" s="113"/>
      <c r="CH61" s="22"/>
      <c r="CI61" s="98">
        <f t="shared" si="32"/>
        <v>393928.34518799989</v>
      </c>
      <c r="CJ61" s="95">
        <f t="shared" si="33"/>
        <v>-11817.850355639996</v>
      </c>
      <c r="CK61" s="95">
        <f t="shared" si="45"/>
        <v>-3939.2834518799991</v>
      </c>
      <c r="CL61" s="95"/>
      <c r="CM61" s="99"/>
      <c r="CN61" s="99"/>
      <c r="CO61" s="110"/>
      <c r="CP61" s="99"/>
      <c r="CQ61" s="99"/>
      <c r="CR61" s="99"/>
      <c r="CS61" s="95"/>
      <c r="CT61" s="95"/>
      <c r="CU61" s="96"/>
      <c r="CV61" s="96"/>
      <c r="CW61" s="96"/>
      <c r="CX61" s="96"/>
      <c r="CY61" s="96"/>
      <c r="CZ61" s="93">
        <f t="shared" si="49"/>
        <v>0</v>
      </c>
      <c r="DA61" s="93">
        <f t="shared" si="50"/>
        <v>0</v>
      </c>
      <c r="DB61" s="95">
        <f t="shared" si="46"/>
        <v>650393.50578047999</v>
      </c>
      <c r="DC61" s="100">
        <f t="shared" si="47"/>
        <v>650394</v>
      </c>
      <c r="DD61" s="100"/>
      <c r="DE61" s="100">
        <f t="shared" si="38"/>
        <v>-650394</v>
      </c>
      <c r="DF61" s="13"/>
      <c r="DG61" s="2"/>
      <c r="DH61" s="46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</row>
    <row r="62" spans="1:156" s="1" customFormat="1" hidden="1" x14ac:dyDescent="0.2">
      <c r="A62" s="88">
        <f t="shared" si="3"/>
        <v>509688</v>
      </c>
      <c r="B62" s="21">
        <v>9688</v>
      </c>
      <c r="C62" s="21" t="s">
        <v>98</v>
      </c>
      <c r="D62" s="84" t="s">
        <v>130</v>
      </c>
      <c r="E62" s="115" t="s">
        <v>202</v>
      </c>
      <c r="F62" s="85">
        <v>3</v>
      </c>
      <c r="G62" s="84"/>
      <c r="H62" s="85"/>
      <c r="I62" s="86"/>
      <c r="J62" s="85"/>
      <c r="K62" s="21" t="s">
        <v>10</v>
      </c>
      <c r="L62" s="21"/>
      <c r="M62" s="87"/>
      <c r="N62" s="88"/>
      <c r="O62" s="88">
        <v>7</v>
      </c>
      <c r="P62" s="89">
        <f t="shared" si="39"/>
        <v>5700.7259999999997</v>
      </c>
      <c r="Q62" s="90">
        <f t="shared" si="40"/>
        <v>19002.419999999998</v>
      </c>
      <c r="R62" s="90">
        <f t="shared" si="41"/>
        <v>26397.963600000003</v>
      </c>
      <c r="S62" s="91"/>
      <c r="T62" s="92"/>
      <c r="U62" s="32"/>
      <c r="V62" s="32"/>
      <c r="W62" s="32"/>
      <c r="X62" s="93"/>
      <c r="Y62" s="32"/>
      <c r="Z62" s="32"/>
      <c r="AA62" s="32">
        <v>0</v>
      </c>
      <c r="AB62" s="32">
        <v>0</v>
      </c>
      <c r="AC62" s="32"/>
      <c r="AD62" s="32">
        <v>0</v>
      </c>
      <c r="AE62" s="32">
        <v>0</v>
      </c>
      <c r="AF62" s="32">
        <v>0</v>
      </c>
      <c r="AG62" s="32">
        <v>0</v>
      </c>
      <c r="AH62" s="32">
        <v>0</v>
      </c>
      <c r="AI62" s="32">
        <v>0</v>
      </c>
      <c r="AJ62" s="93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94">
        <f t="shared" si="7"/>
        <v>0</v>
      </c>
      <c r="AV62" s="95">
        <f t="shared" si="8"/>
        <v>0</v>
      </c>
      <c r="AW62" s="95">
        <f t="shared" si="9"/>
        <v>0</v>
      </c>
      <c r="AX62" s="95">
        <f t="shared" si="10"/>
        <v>0</v>
      </c>
      <c r="AY62" s="95">
        <f t="shared" si="11"/>
        <v>0</v>
      </c>
      <c r="AZ62" s="95">
        <f t="shared" si="12"/>
        <v>0</v>
      </c>
      <c r="BA62" s="95">
        <f t="shared" si="13"/>
        <v>0</v>
      </c>
      <c r="BB62" s="95">
        <f t="shared" si="42"/>
        <v>0</v>
      </c>
      <c r="BC62" s="96">
        <f t="shared" si="14"/>
        <v>0</v>
      </c>
      <c r="BD62" s="96">
        <f t="shared" si="15"/>
        <v>0</v>
      </c>
      <c r="BE62" s="96">
        <f t="shared" si="16"/>
        <v>0</v>
      </c>
      <c r="BF62" s="96">
        <f t="shared" si="17"/>
        <v>0</v>
      </c>
      <c r="BG62" s="96">
        <f t="shared" si="18"/>
        <v>0</v>
      </c>
      <c r="BH62" s="96">
        <f t="shared" si="19"/>
        <v>0</v>
      </c>
      <c r="BI62" s="96">
        <f t="shared" si="20"/>
        <v>0</v>
      </c>
      <c r="BJ62" s="96">
        <f t="shared" si="21"/>
        <v>0</v>
      </c>
      <c r="BK62" s="96">
        <f t="shared" si="22"/>
        <v>0</v>
      </c>
      <c r="BL62" s="96">
        <f t="shared" si="23"/>
        <v>0</v>
      </c>
      <c r="BM62" s="96">
        <f t="shared" si="24"/>
        <v>0</v>
      </c>
      <c r="BN62" s="96"/>
      <c r="BO62" s="95"/>
      <c r="BP62" s="95">
        <f t="shared" si="25"/>
        <v>0</v>
      </c>
      <c r="BQ62" s="95"/>
      <c r="BR62" s="95"/>
      <c r="BS62" s="95">
        <f t="shared" si="26"/>
        <v>0</v>
      </c>
      <c r="BT62" s="95">
        <f t="shared" si="27"/>
        <v>0</v>
      </c>
      <c r="BU62" s="95">
        <f t="shared" si="28"/>
        <v>0</v>
      </c>
      <c r="BV62" s="95">
        <f t="shared" si="29"/>
        <v>0</v>
      </c>
      <c r="BW62" s="95"/>
      <c r="BX62" s="95"/>
      <c r="BY62" s="95"/>
      <c r="BZ62" s="95"/>
      <c r="CA62" s="95">
        <f t="shared" si="43"/>
        <v>0</v>
      </c>
      <c r="CB62" s="97">
        <f t="shared" si="48"/>
        <v>0</v>
      </c>
      <c r="CC62" s="95"/>
      <c r="CD62" s="95"/>
      <c r="CE62" s="95">
        <f t="shared" si="31"/>
        <v>0</v>
      </c>
      <c r="CF62" s="95">
        <f t="shared" si="44"/>
        <v>0</v>
      </c>
      <c r="CG62" s="113"/>
      <c r="CH62" s="22"/>
      <c r="CI62" s="98">
        <f t="shared" si="32"/>
        <v>0</v>
      </c>
      <c r="CJ62" s="95">
        <f t="shared" si="33"/>
        <v>0</v>
      </c>
      <c r="CK62" s="95">
        <f t="shared" si="45"/>
        <v>0</v>
      </c>
      <c r="CL62" s="95"/>
      <c r="CM62" s="99"/>
      <c r="CN62" s="99"/>
      <c r="CO62" s="110"/>
      <c r="CP62" s="99"/>
      <c r="CQ62" s="99"/>
      <c r="CR62" s="99"/>
      <c r="CS62" s="95"/>
      <c r="CT62" s="95"/>
      <c r="CU62" s="96"/>
      <c r="CV62" s="96"/>
      <c r="CW62" s="96"/>
      <c r="CX62" s="96"/>
      <c r="CY62" s="96"/>
      <c r="CZ62" s="93">
        <f t="shared" si="49"/>
        <v>0</v>
      </c>
      <c r="DA62" s="93">
        <f t="shared" si="50"/>
        <v>0</v>
      </c>
      <c r="DB62" s="95">
        <f t="shared" si="46"/>
        <v>0</v>
      </c>
      <c r="DC62" s="100">
        <f t="shared" si="47"/>
        <v>0</v>
      </c>
      <c r="DD62" s="100"/>
      <c r="DE62" s="100">
        <f t="shared" si="38"/>
        <v>0</v>
      </c>
      <c r="DF62" s="13"/>
      <c r="DG62" s="2"/>
      <c r="DH62" s="46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</row>
    <row r="63" spans="1:156" s="1" customFormat="1" hidden="1" x14ac:dyDescent="0.2">
      <c r="A63" s="88">
        <f t="shared" si="3"/>
        <v>509744</v>
      </c>
      <c r="B63" s="21">
        <v>9744</v>
      </c>
      <c r="C63" s="21" t="s">
        <v>98</v>
      </c>
      <c r="D63" s="84" t="s">
        <v>160</v>
      </c>
      <c r="E63" s="114" t="s">
        <v>201</v>
      </c>
      <c r="F63" s="85">
        <v>0</v>
      </c>
      <c r="G63" s="84"/>
      <c r="H63" s="85">
        <v>60</v>
      </c>
      <c r="I63" s="86"/>
      <c r="J63" s="85"/>
      <c r="K63" s="21" t="s">
        <v>10</v>
      </c>
      <c r="L63" s="21"/>
      <c r="M63" s="87"/>
      <c r="N63" s="88"/>
      <c r="O63" s="88">
        <v>3</v>
      </c>
      <c r="P63" s="89">
        <f t="shared" si="39"/>
        <v>5700.7259999999997</v>
      </c>
      <c r="Q63" s="90">
        <f t="shared" si="40"/>
        <v>19002.419999999998</v>
      </c>
      <c r="R63" s="90">
        <f t="shared" si="41"/>
        <v>26397.963600000003</v>
      </c>
      <c r="S63" s="91"/>
      <c r="T63" s="92"/>
      <c r="U63" s="32"/>
      <c r="V63" s="32"/>
      <c r="W63" s="32"/>
      <c r="X63" s="93"/>
      <c r="Y63" s="32"/>
      <c r="Z63" s="32"/>
      <c r="AA63" s="32">
        <v>0</v>
      </c>
      <c r="AB63" s="32">
        <v>0</v>
      </c>
      <c r="AC63" s="32"/>
      <c r="AD63" s="32">
        <v>0</v>
      </c>
      <c r="AE63" s="32">
        <v>0</v>
      </c>
      <c r="AF63" s="32">
        <v>0</v>
      </c>
      <c r="AG63" s="32">
        <v>0</v>
      </c>
      <c r="AH63" s="32">
        <v>0</v>
      </c>
      <c r="AI63" s="32">
        <v>0</v>
      </c>
      <c r="AJ63" s="93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94">
        <f t="shared" si="7"/>
        <v>0</v>
      </c>
      <c r="AV63" s="95">
        <f t="shared" si="8"/>
        <v>0</v>
      </c>
      <c r="AW63" s="95">
        <f t="shared" si="9"/>
        <v>0</v>
      </c>
      <c r="AX63" s="95">
        <f t="shared" si="10"/>
        <v>0</v>
      </c>
      <c r="AY63" s="95">
        <f t="shared" si="11"/>
        <v>0</v>
      </c>
      <c r="AZ63" s="95">
        <f t="shared" si="12"/>
        <v>0</v>
      </c>
      <c r="BA63" s="95">
        <f t="shared" si="13"/>
        <v>0</v>
      </c>
      <c r="BB63" s="95">
        <f t="shared" si="42"/>
        <v>0</v>
      </c>
      <c r="BC63" s="96">
        <f t="shared" si="14"/>
        <v>0</v>
      </c>
      <c r="BD63" s="96">
        <f t="shared" si="15"/>
        <v>0</v>
      </c>
      <c r="BE63" s="96">
        <f t="shared" si="16"/>
        <v>0</v>
      </c>
      <c r="BF63" s="96">
        <f t="shared" si="17"/>
        <v>0</v>
      </c>
      <c r="BG63" s="96">
        <f t="shared" si="18"/>
        <v>0</v>
      </c>
      <c r="BH63" s="96">
        <f t="shared" si="19"/>
        <v>0</v>
      </c>
      <c r="BI63" s="96">
        <f t="shared" si="20"/>
        <v>0</v>
      </c>
      <c r="BJ63" s="96">
        <f t="shared" si="21"/>
        <v>0</v>
      </c>
      <c r="BK63" s="96">
        <f t="shared" si="22"/>
        <v>0</v>
      </c>
      <c r="BL63" s="96">
        <f t="shared" si="23"/>
        <v>0</v>
      </c>
      <c r="BM63" s="96">
        <f t="shared" si="24"/>
        <v>0</v>
      </c>
      <c r="BN63" s="96"/>
      <c r="BO63" s="95"/>
      <c r="BP63" s="95">
        <f t="shared" si="25"/>
        <v>0</v>
      </c>
      <c r="BQ63" s="95"/>
      <c r="BR63" s="95"/>
      <c r="BS63" s="95">
        <f t="shared" si="26"/>
        <v>0</v>
      </c>
      <c r="BT63" s="95">
        <f t="shared" si="27"/>
        <v>0</v>
      </c>
      <c r="BU63" s="95">
        <f t="shared" si="28"/>
        <v>0</v>
      </c>
      <c r="BV63" s="95">
        <f t="shared" si="29"/>
        <v>0</v>
      </c>
      <c r="BW63" s="95"/>
      <c r="BX63" s="95"/>
      <c r="BY63" s="95"/>
      <c r="BZ63" s="95"/>
      <c r="CA63" s="95">
        <f t="shared" si="43"/>
        <v>0</v>
      </c>
      <c r="CB63" s="97">
        <f t="shared" si="48"/>
        <v>0</v>
      </c>
      <c r="CC63" s="95"/>
      <c r="CD63" s="95"/>
      <c r="CE63" s="95">
        <f t="shared" si="31"/>
        <v>0</v>
      </c>
      <c r="CF63" s="95">
        <f t="shared" si="44"/>
        <v>0</v>
      </c>
      <c r="CG63" s="113"/>
      <c r="CH63" s="22"/>
      <c r="CI63" s="98">
        <f t="shared" si="32"/>
        <v>0</v>
      </c>
      <c r="CJ63" s="95">
        <f t="shared" si="33"/>
        <v>0</v>
      </c>
      <c r="CK63" s="95">
        <f t="shared" si="45"/>
        <v>0</v>
      </c>
      <c r="CL63" s="95"/>
      <c r="CM63" s="99"/>
      <c r="CN63" s="99"/>
      <c r="CO63" s="110"/>
      <c r="CP63" s="99"/>
      <c r="CQ63" s="99"/>
      <c r="CR63" s="99"/>
      <c r="CS63" s="95"/>
      <c r="CT63" s="95"/>
      <c r="CU63" s="96"/>
      <c r="CV63" s="96"/>
      <c r="CW63" s="96"/>
      <c r="CX63" s="96"/>
      <c r="CY63" s="96"/>
      <c r="CZ63" s="93">
        <f t="shared" si="49"/>
        <v>0</v>
      </c>
      <c r="DA63" s="93">
        <f t="shared" si="50"/>
        <v>0</v>
      </c>
      <c r="DB63" s="95">
        <f t="shared" si="46"/>
        <v>0</v>
      </c>
      <c r="DC63" s="100">
        <f t="shared" si="47"/>
        <v>0</v>
      </c>
      <c r="DD63" s="100"/>
      <c r="DE63" s="100">
        <f t="shared" si="38"/>
        <v>0</v>
      </c>
      <c r="DF63" s="13"/>
      <c r="DG63" s="2"/>
      <c r="DH63" s="46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</row>
    <row r="64" spans="1:156" s="1" customFormat="1" hidden="1" x14ac:dyDescent="0.2">
      <c r="A64" s="88">
        <f t="shared" si="3"/>
        <v>509691</v>
      </c>
      <c r="B64" s="21">
        <v>9691</v>
      </c>
      <c r="C64" s="21" t="s">
        <v>98</v>
      </c>
      <c r="D64" s="84" t="s">
        <v>131</v>
      </c>
      <c r="E64" s="115" t="s">
        <v>202</v>
      </c>
      <c r="F64" s="85">
        <v>3</v>
      </c>
      <c r="G64" s="84"/>
      <c r="H64" s="85"/>
      <c r="I64" s="86"/>
      <c r="J64" s="85"/>
      <c r="K64" s="21" t="s">
        <v>10</v>
      </c>
      <c r="L64" s="21"/>
      <c r="M64" s="87"/>
      <c r="N64" s="88"/>
      <c r="O64" s="88">
        <v>7</v>
      </c>
      <c r="P64" s="89">
        <f t="shared" si="39"/>
        <v>5700.7259999999997</v>
      </c>
      <c r="Q64" s="90">
        <f t="shared" si="40"/>
        <v>19002.419999999998</v>
      </c>
      <c r="R64" s="90">
        <f t="shared" si="41"/>
        <v>26397.963600000003</v>
      </c>
      <c r="S64" s="91"/>
      <c r="T64" s="92"/>
      <c r="U64" s="32"/>
      <c r="V64" s="32"/>
      <c r="W64" s="32"/>
      <c r="X64" s="93"/>
      <c r="Y64" s="32"/>
      <c r="Z64" s="32"/>
      <c r="AA64" s="32">
        <v>0</v>
      </c>
      <c r="AB64" s="32">
        <v>0</v>
      </c>
      <c r="AC64" s="32"/>
      <c r="AD64" s="32">
        <v>0</v>
      </c>
      <c r="AE64" s="32">
        <v>0</v>
      </c>
      <c r="AF64" s="32">
        <v>0</v>
      </c>
      <c r="AG64" s="32">
        <v>0</v>
      </c>
      <c r="AH64" s="32">
        <v>0</v>
      </c>
      <c r="AI64" s="32">
        <v>0</v>
      </c>
      <c r="AJ64" s="93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94">
        <f t="shared" si="7"/>
        <v>0</v>
      </c>
      <c r="AV64" s="95">
        <f t="shared" si="8"/>
        <v>0</v>
      </c>
      <c r="AW64" s="95">
        <f t="shared" si="9"/>
        <v>0</v>
      </c>
      <c r="AX64" s="95">
        <f t="shared" si="10"/>
        <v>0</v>
      </c>
      <c r="AY64" s="95">
        <f t="shared" si="11"/>
        <v>0</v>
      </c>
      <c r="AZ64" s="95">
        <f t="shared" si="12"/>
        <v>0</v>
      </c>
      <c r="BA64" s="95">
        <f t="shared" si="13"/>
        <v>0</v>
      </c>
      <c r="BB64" s="95">
        <f t="shared" si="42"/>
        <v>0</v>
      </c>
      <c r="BC64" s="96">
        <f t="shared" si="14"/>
        <v>0</v>
      </c>
      <c r="BD64" s="96">
        <f t="shared" si="15"/>
        <v>0</v>
      </c>
      <c r="BE64" s="96">
        <f t="shared" si="16"/>
        <v>0</v>
      </c>
      <c r="BF64" s="96">
        <f t="shared" si="17"/>
        <v>0</v>
      </c>
      <c r="BG64" s="96">
        <f t="shared" si="18"/>
        <v>0</v>
      </c>
      <c r="BH64" s="96">
        <f t="shared" si="19"/>
        <v>0</v>
      </c>
      <c r="BI64" s="96">
        <f t="shared" si="20"/>
        <v>0</v>
      </c>
      <c r="BJ64" s="96">
        <f t="shared" si="21"/>
        <v>0</v>
      </c>
      <c r="BK64" s="96">
        <f t="shared" si="22"/>
        <v>0</v>
      </c>
      <c r="BL64" s="96">
        <f t="shared" si="23"/>
        <v>0</v>
      </c>
      <c r="BM64" s="96">
        <f t="shared" si="24"/>
        <v>0</v>
      </c>
      <c r="BN64" s="96"/>
      <c r="BO64" s="95"/>
      <c r="BP64" s="95">
        <f t="shared" si="25"/>
        <v>0</v>
      </c>
      <c r="BQ64" s="95"/>
      <c r="BR64" s="95"/>
      <c r="BS64" s="95">
        <f t="shared" si="26"/>
        <v>0</v>
      </c>
      <c r="BT64" s="95">
        <f t="shared" si="27"/>
        <v>0</v>
      </c>
      <c r="BU64" s="95">
        <f t="shared" si="28"/>
        <v>0</v>
      </c>
      <c r="BV64" s="95">
        <f t="shared" si="29"/>
        <v>0</v>
      </c>
      <c r="BW64" s="95"/>
      <c r="BX64" s="95"/>
      <c r="BY64" s="95"/>
      <c r="BZ64" s="95"/>
      <c r="CA64" s="95">
        <f t="shared" si="43"/>
        <v>0</v>
      </c>
      <c r="CB64" s="97">
        <f t="shared" si="48"/>
        <v>0</v>
      </c>
      <c r="CC64" s="95"/>
      <c r="CD64" s="95"/>
      <c r="CE64" s="95">
        <f t="shared" si="31"/>
        <v>0</v>
      </c>
      <c r="CF64" s="95">
        <f t="shared" si="44"/>
        <v>0</v>
      </c>
      <c r="CG64" s="113"/>
      <c r="CH64" s="22"/>
      <c r="CI64" s="98">
        <f t="shared" si="32"/>
        <v>0</v>
      </c>
      <c r="CJ64" s="95">
        <f t="shared" si="33"/>
        <v>0</v>
      </c>
      <c r="CK64" s="95">
        <f t="shared" si="45"/>
        <v>0</v>
      </c>
      <c r="CL64" s="95"/>
      <c r="CM64" s="99"/>
      <c r="CN64" s="99"/>
      <c r="CO64" s="110"/>
      <c r="CP64" s="99"/>
      <c r="CQ64" s="99"/>
      <c r="CR64" s="99"/>
      <c r="CS64" s="95"/>
      <c r="CT64" s="95"/>
      <c r="CU64" s="96"/>
      <c r="CV64" s="96"/>
      <c r="CW64" s="96"/>
      <c r="CX64" s="96"/>
      <c r="CY64" s="96"/>
      <c r="CZ64" s="93">
        <f t="shared" si="49"/>
        <v>0</v>
      </c>
      <c r="DA64" s="93">
        <f t="shared" si="50"/>
        <v>0</v>
      </c>
      <c r="DB64" s="95">
        <f t="shared" si="46"/>
        <v>0</v>
      </c>
      <c r="DC64" s="100">
        <f t="shared" si="47"/>
        <v>0</v>
      </c>
      <c r="DD64" s="100"/>
      <c r="DE64" s="100">
        <f t="shared" si="38"/>
        <v>0</v>
      </c>
      <c r="DF64" s="13"/>
      <c r="DG64" s="2"/>
      <c r="DH64" s="46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</row>
    <row r="65" spans="1:156" s="1" customFormat="1" hidden="1" x14ac:dyDescent="0.2">
      <c r="A65" s="88">
        <f t="shared" si="3"/>
        <v>509693</v>
      </c>
      <c r="B65" s="21">
        <v>9693</v>
      </c>
      <c r="C65" s="21" t="s">
        <v>98</v>
      </c>
      <c r="D65" s="84" t="s">
        <v>132</v>
      </c>
      <c r="E65" s="115" t="s">
        <v>202</v>
      </c>
      <c r="F65" s="85">
        <v>0</v>
      </c>
      <c r="G65" s="84"/>
      <c r="H65" s="85">
        <v>64</v>
      </c>
      <c r="I65" s="86"/>
      <c r="J65" s="85"/>
      <c r="K65" s="21" t="s">
        <v>8</v>
      </c>
      <c r="L65" s="21"/>
      <c r="M65" s="87"/>
      <c r="N65" s="88"/>
      <c r="O65" s="88">
        <v>23</v>
      </c>
      <c r="P65" s="89">
        <f t="shared" si="39"/>
        <v>5401.2359999999999</v>
      </c>
      <c r="Q65" s="90">
        <f t="shared" si="40"/>
        <v>18004.12</v>
      </c>
      <c r="R65" s="90">
        <f t="shared" si="41"/>
        <v>25011.1211</v>
      </c>
      <c r="S65" s="91"/>
      <c r="T65" s="92"/>
      <c r="U65" s="32"/>
      <c r="V65" s="32"/>
      <c r="W65" s="32"/>
      <c r="X65" s="93"/>
      <c r="Y65" s="32"/>
      <c r="Z65" s="32"/>
      <c r="AA65" s="32">
        <v>0</v>
      </c>
      <c r="AB65" s="32">
        <v>0</v>
      </c>
      <c r="AC65" s="32"/>
      <c r="AD65" s="32">
        <v>0</v>
      </c>
      <c r="AE65" s="32">
        <v>0</v>
      </c>
      <c r="AF65" s="32">
        <v>0</v>
      </c>
      <c r="AG65" s="32">
        <v>0</v>
      </c>
      <c r="AH65" s="32">
        <v>0</v>
      </c>
      <c r="AI65" s="32">
        <v>0</v>
      </c>
      <c r="AJ65" s="93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94">
        <f t="shared" si="7"/>
        <v>0</v>
      </c>
      <c r="AV65" s="95">
        <f t="shared" si="8"/>
        <v>0</v>
      </c>
      <c r="AW65" s="95">
        <f t="shared" si="9"/>
        <v>0</v>
      </c>
      <c r="AX65" s="95">
        <f t="shared" si="10"/>
        <v>0</v>
      </c>
      <c r="AY65" s="95">
        <f t="shared" si="11"/>
        <v>0</v>
      </c>
      <c r="AZ65" s="95">
        <f t="shared" si="12"/>
        <v>0</v>
      </c>
      <c r="BA65" s="95">
        <f t="shared" si="13"/>
        <v>0</v>
      </c>
      <c r="BB65" s="95">
        <f t="shared" si="42"/>
        <v>0</v>
      </c>
      <c r="BC65" s="96">
        <f t="shared" si="14"/>
        <v>0</v>
      </c>
      <c r="BD65" s="96">
        <f t="shared" si="15"/>
        <v>0</v>
      </c>
      <c r="BE65" s="96">
        <f t="shared" si="16"/>
        <v>0</v>
      </c>
      <c r="BF65" s="96">
        <f t="shared" si="17"/>
        <v>0</v>
      </c>
      <c r="BG65" s="96">
        <f t="shared" si="18"/>
        <v>0</v>
      </c>
      <c r="BH65" s="96">
        <f t="shared" si="19"/>
        <v>0</v>
      </c>
      <c r="BI65" s="96">
        <f t="shared" si="20"/>
        <v>0</v>
      </c>
      <c r="BJ65" s="96">
        <f t="shared" si="21"/>
        <v>0</v>
      </c>
      <c r="BK65" s="96">
        <f t="shared" si="22"/>
        <v>0</v>
      </c>
      <c r="BL65" s="96">
        <f t="shared" si="23"/>
        <v>0</v>
      </c>
      <c r="BM65" s="96">
        <f t="shared" si="24"/>
        <v>0</v>
      </c>
      <c r="BN65" s="96"/>
      <c r="BO65" s="95"/>
      <c r="BP65" s="95">
        <f t="shared" si="25"/>
        <v>0</v>
      </c>
      <c r="BQ65" s="95"/>
      <c r="BR65" s="95"/>
      <c r="BS65" s="95">
        <f t="shared" si="26"/>
        <v>0</v>
      </c>
      <c r="BT65" s="95">
        <f t="shared" si="27"/>
        <v>0</v>
      </c>
      <c r="BU65" s="95">
        <f t="shared" si="28"/>
        <v>0</v>
      </c>
      <c r="BV65" s="95">
        <f t="shared" si="29"/>
        <v>0</v>
      </c>
      <c r="BW65" s="95"/>
      <c r="BX65" s="95"/>
      <c r="BY65" s="95"/>
      <c r="BZ65" s="95"/>
      <c r="CA65" s="95">
        <f t="shared" si="43"/>
        <v>0</v>
      </c>
      <c r="CB65" s="97">
        <f t="shared" si="48"/>
        <v>0</v>
      </c>
      <c r="CC65" s="95"/>
      <c r="CD65" s="95"/>
      <c r="CE65" s="95">
        <f t="shared" si="31"/>
        <v>0</v>
      </c>
      <c r="CF65" s="95">
        <f t="shared" si="44"/>
        <v>0</v>
      </c>
      <c r="CG65" s="113"/>
      <c r="CH65" s="22"/>
      <c r="CI65" s="98">
        <f t="shared" si="32"/>
        <v>0</v>
      </c>
      <c r="CJ65" s="95">
        <f t="shared" si="33"/>
        <v>0</v>
      </c>
      <c r="CK65" s="95">
        <f t="shared" si="45"/>
        <v>0</v>
      </c>
      <c r="CL65" s="95"/>
      <c r="CM65" s="99"/>
      <c r="CN65" s="99"/>
      <c r="CO65" s="110"/>
      <c r="CP65" s="99"/>
      <c r="CQ65" s="99"/>
      <c r="CR65" s="99"/>
      <c r="CS65" s="95"/>
      <c r="CT65" s="95"/>
      <c r="CU65" s="96"/>
      <c r="CV65" s="96"/>
      <c r="CW65" s="96"/>
      <c r="CX65" s="96"/>
      <c r="CY65" s="96"/>
      <c r="CZ65" s="93">
        <f t="shared" si="49"/>
        <v>0</v>
      </c>
      <c r="DA65" s="93">
        <f t="shared" si="50"/>
        <v>0</v>
      </c>
      <c r="DB65" s="95">
        <f t="shared" si="46"/>
        <v>0</v>
      </c>
      <c r="DC65" s="100">
        <f t="shared" si="47"/>
        <v>0</v>
      </c>
      <c r="DD65" s="100"/>
      <c r="DE65" s="100">
        <f t="shared" si="38"/>
        <v>0</v>
      </c>
      <c r="DF65" s="13"/>
      <c r="DG65" s="2"/>
      <c r="DH65" s="46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</row>
    <row r="66" spans="1:156" s="1" customFormat="1" hidden="1" x14ac:dyDescent="0.2">
      <c r="A66" s="88">
        <f t="shared" si="3"/>
        <v>509694</v>
      </c>
      <c r="B66" s="21">
        <v>9694</v>
      </c>
      <c r="C66" s="21" t="s">
        <v>98</v>
      </c>
      <c r="D66" s="84" t="s">
        <v>133</v>
      </c>
      <c r="E66" s="115" t="s">
        <v>202</v>
      </c>
      <c r="F66" s="85">
        <v>3</v>
      </c>
      <c r="G66" s="84"/>
      <c r="H66" s="85"/>
      <c r="I66" s="86"/>
      <c r="J66" s="85"/>
      <c r="K66" s="21" t="s">
        <v>8</v>
      </c>
      <c r="L66" s="21"/>
      <c r="M66" s="87"/>
      <c r="N66" s="88"/>
      <c r="O66" s="88">
        <v>5</v>
      </c>
      <c r="P66" s="89">
        <f t="shared" si="39"/>
        <v>5401.2359999999999</v>
      </c>
      <c r="Q66" s="90">
        <f t="shared" si="40"/>
        <v>18004.12</v>
      </c>
      <c r="R66" s="90">
        <f t="shared" si="41"/>
        <v>25011.1211</v>
      </c>
      <c r="S66" s="91"/>
      <c r="T66" s="92"/>
      <c r="U66" s="32"/>
      <c r="V66" s="32"/>
      <c r="W66" s="32"/>
      <c r="X66" s="93"/>
      <c r="Y66" s="32"/>
      <c r="Z66" s="32"/>
      <c r="AA66" s="32">
        <v>0</v>
      </c>
      <c r="AB66" s="32">
        <v>0</v>
      </c>
      <c r="AC66" s="32"/>
      <c r="AD66" s="32">
        <v>0</v>
      </c>
      <c r="AE66" s="32">
        <v>0</v>
      </c>
      <c r="AF66" s="32">
        <v>0</v>
      </c>
      <c r="AG66" s="32">
        <v>0</v>
      </c>
      <c r="AH66" s="32">
        <v>0</v>
      </c>
      <c r="AI66" s="32">
        <v>0</v>
      </c>
      <c r="AJ66" s="93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94">
        <f t="shared" si="7"/>
        <v>0</v>
      </c>
      <c r="AV66" s="95">
        <f t="shared" si="8"/>
        <v>0</v>
      </c>
      <c r="AW66" s="95">
        <f t="shared" si="9"/>
        <v>0</v>
      </c>
      <c r="AX66" s="95">
        <f t="shared" si="10"/>
        <v>0</v>
      </c>
      <c r="AY66" s="95">
        <f t="shared" si="11"/>
        <v>0</v>
      </c>
      <c r="AZ66" s="95">
        <f t="shared" si="12"/>
        <v>0</v>
      </c>
      <c r="BA66" s="95">
        <f t="shared" si="13"/>
        <v>0</v>
      </c>
      <c r="BB66" s="95">
        <f t="shared" si="42"/>
        <v>0</v>
      </c>
      <c r="BC66" s="96">
        <f t="shared" si="14"/>
        <v>0</v>
      </c>
      <c r="BD66" s="96">
        <f t="shared" si="15"/>
        <v>0</v>
      </c>
      <c r="BE66" s="96">
        <f t="shared" si="16"/>
        <v>0</v>
      </c>
      <c r="BF66" s="96">
        <f t="shared" si="17"/>
        <v>0</v>
      </c>
      <c r="BG66" s="96">
        <f t="shared" si="18"/>
        <v>0</v>
      </c>
      <c r="BH66" s="96">
        <f t="shared" si="19"/>
        <v>0</v>
      </c>
      <c r="BI66" s="96">
        <f t="shared" si="20"/>
        <v>0</v>
      </c>
      <c r="BJ66" s="96">
        <f t="shared" si="21"/>
        <v>0</v>
      </c>
      <c r="BK66" s="96">
        <f t="shared" si="22"/>
        <v>0</v>
      </c>
      <c r="BL66" s="96">
        <f t="shared" si="23"/>
        <v>0</v>
      </c>
      <c r="BM66" s="96">
        <f t="shared" si="24"/>
        <v>0</v>
      </c>
      <c r="BN66" s="96"/>
      <c r="BO66" s="95"/>
      <c r="BP66" s="95">
        <f t="shared" si="25"/>
        <v>0</v>
      </c>
      <c r="BQ66" s="95"/>
      <c r="BR66" s="95"/>
      <c r="BS66" s="95">
        <f t="shared" si="26"/>
        <v>0</v>
      </c>
      <c r="BT66" s="95">
        <f t="shared" si="27"/>
        <v>0</v>
      </c>
      <c r="BU66" s="95">
        <f t="shared" si="28"/>
        <v>0</v>
      </c>
      <c r="BV66" s="95">
        <f t="shared" si="29"/>
        <v>0</v>
      </c>
      <c r="BW66" s="95"/>
      <c r="BX66" s="95"/>
      <c r="BY66" s="95"/>
      <c r="BZ66" s="95"/>
      <c r="CA66" s="95">
        <f t="shared" si="43"/>
        <v>0</v>
      </c>
      <c r="CB66" s="97">
        <f t="shared" si="48"/>
        <v>0</v>
      </c>
      <c r="CC66" s="95"/>
      <c r="CD66" s="95"/>
      <c r="CE66" s="95">
        <f t="shared" si="31"/>
        <v>0</v>
      </c>
      <c r="CF66" s="95">
        <f t="shared" si="44"/>
        <v>0</v>
      </c>
      <c r="CG66" s="113"/>
      <c r="CH66" s="22"/>
      <c r="CI66" s="98">
        <f t="shared" si="32"/>
        <v>0</v>
      </c>
      <c r="CJ66" s="95">
        <f t="shared" si="33"/>
        <v>0</v>
      </c>
      <c r="CK66" s="95">
        <f t="shared" si="45"/>
        <v>0</v>
      </c>
      <c r="CL66" s="95"/>
      <c r="CM66" s="99"/>
      <c r="CN66" s="99"/>
      <c r="CO66" s="110"/>
      <c r="CP66" s="99"/>
      <c r="CQ66" s="99"/>
      <c r="CR66" s="99"/>
      <c r="CS66" s="95"/>
      <c r="CT66" s="95"/>
      <c r="CU66" s="96"/>
      <c r="CV66" s="96"/>
      <c r="CW66" s="96"/>
      <c r="CX66" s="96"/>
      <c r="CY66" s="96"/>
      <c r="CZ66" s="93">
        <f t="shared" si="49"/>
        <v>0</v>
      </c>
      <c r="DA66" s="93">
        <f t="shared" si="50"/>
        <v>0</v>
      </c>
      <c r="DB66" s="95">
        <f t="shared" si="46"/>
        <v>0</v>
      </c>
      <c r="DC66" s="100">
        <f t="shared" si="47"/>
        <v>0</v>
      </c>
      <c r="DD66" s="100"/>
      <c r="DE66" s="100">
        <f t="shared" si="38"/>
        <v>0</v>
      </c>
      <c r="DF66" s="13"/>
      <c r="DG66" s="2"/>
      <c r="DH66" s="46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</row>
    <row r="67" spans="1:156" s="1" customFormat="1" hidden="1" x14ac:dyDescent="0.2">
      <c r="A67" s="88">
        <f t="shared" si="3"/>
        <v>509695</v>
      </c>
      <c r="B67" s="21">
        <v>9695</v>
      </c>
      <c r="C67" s="21" t="s">
        <v>98</v>
      </c>
      <c r="D67" s="84" t="s">
        <v>134</v>
      </c>
      <c r="E67" s="115" t="s">
        <v>202</v>
      </c>
      <c r="F67" s="85">
        <v>3</v>
      </c>
      <c r="G67" s="84"/>
      <c r="H67" s="85"/>
      <c r="I67" s="86"/>
      <c r="J67" s="85"/>
      <c r="K67" s="21" t="s">
        <v>10</v>
      </c>
      <c r="L67" s="21"/>
      <c r="M67" s="87"/>
      <c r="N67" s="88"/>
      <c r="O67" s="88">
        <v>7</v>
      </c>
      <c r="P67" s="89">
        <f t="shared" si="39"/>
        <v>5700.7259999999997</v>
      </c>
      <c r="Q67" s="90">
        <f t="shared" si="40"/>
        <v>19002.419999999998</v>
      </c>
      <c r="R67" s="90">
        <f t="shared" si="41"/>
        <v>26397.963600000003</v>
      </c>
      <c r="S67" s="91"/>
      <c r="T67" s="92"/>
      <c r="U67" s="32"/>
      <c r="V67" s="32"/>
      <c r="W67" s="32"/>
      <c r="X67" s="93"/>
      <c r="Y67" s="32"/>
      <c r="Z67" s="32"/>
      <c r="AA67" s="32">
        <v>0</v>
      </c>
      <c r="AB67" s="32">
        <v>0</v>
      </c>
      <c r="AC67" s="32"/>
      <c r="AD67" s="32">
        <v>0</v>
      </c>
      <c r="AE67" s="32">
        <v>0</v>
      </c>
      <c r="AF67" s="32">
        <v>0</v>
      </c>
      <c r="AG67" s="32">
        <v>0</v>
      </c>
      <c r="AH67" s="32">
        <v>0</v>
      </c>
      <c r="AI67" s="32">
        <v>0</v>
      </c>
      <c r="AJ67" s="93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94">
        <f t="shared" si="7"/>
        <v>0</v>
      </c>
      <c r="AV67" s="95">
        <f t="shared" si="8"/>
        <v>0</v>
      </c>
      <c r="AW67" s="95">
        <f t="shared" si="9"/>
        <v>0</v>
      </c>
      <c r="AX67" s="95">
        <f t="shared" si="10"/>
        <v>0</v>
      </c>
      <c r="AY67" s="95">
        <f t="shared" si="11"/>
        <v>0</v>
      </c>
      <c r="AZ67" s="95">
        <f t="shared" si="12"/>
        <v>0</v>
      </c>
      <c r="BA67" s="95">
        <f t="shared" si="13"/>
        <v>0</v>
      </c>
      <c r="BB67" s="95">
        <f t="shared" si="42"/>
        <v>0</v>
      </c>
      <c r="BC67" s="96">
        <f t="shared" si="14"/>
        <v>0</v>
      </c>
      <c r="BD67" s="96">
        <f t="shared" si="15"/>
        <v>0</v>
      </c>
      <c r="BE67" s="96">
        <f t="shared" si="16"/>
        <v>0</v>
      </c>
      <c r="BF67" s="96">
        <f t="shared" si="17"/>
        <v>0</v>
      </c>
      <c r="BG67" s="96">
        <f t="shared" si="18"/>
        <v>0</v>
      </c>
      <c r="BH67" s="96">
        <f t="shared" si="19"/>
        <v>0</v>
      </c>
      <c r="BI67" s="96">
        <f t="shared" si="20"/>
        <v>0</v>
      </c>
      <c r="BJ67" s="96">
        <f t="shared" si="21"/>
        <v>0</v>
      </c>
      <c r="BK67" s="96">
        <f t="shared" si="22"/>
        <v>0</v>
      </c>
      <c r="BL67" s="96">
        <f t="shared" si="23"/>
        <v>0</v>
      </c>
      <c r="BM67" s="96">
        <f t="shared" si="24"/>
        <v>0</v>
      </c>
      <c r="BN67" s="96"/>
      <c r="BO67" s="95"/>
      <c r="BP67" s="95">
        <f t="shared" si="25"/>
        <v>0</v>
      </c>
      <c r="BQ67" s="95"/>
      <c r="BR67" s="95"/>
      <c r="BS67" s="95">
        <f t="shared" si="26"/>
        <v>0</v>
      </c>
      <c r="BT67" s="95">
        <f t="shared" si="27"/>
        <v>0</v>
      </c>
      <c r="BU67" s="95">
        <f t="shared" si="28"/>
        <v>0</v>
      </c>
      <c r="BV67" s="95">
        <f t="shared" si="29"/>
        <v>0</v>
      </c>
      <c r="BW67" s="95"/>
      <c r="BX67" s="95"/>
      <c r="BY67" s="95"/>
      <c r="BZ67" s="95"/>
      <c r="CA67" s="95">
        <f t="shared" si="43"/>
        <v>0</v>
      </c>
      <c r="CB67" s="97">
        <f t="shared" si="48"/>
        <v>0</v>
      </c>
      <c r="CC67" s="95"/>
      <c r="CD67" s="95"/>
      <c r="CE67" s="95">
        <f t="shared" si="31"/>
        <v>0</v>
      </c>
      <c r="CF67" s="95">
        <f t="shared" si="44"/>
        <v>0</v>
      </c>
      <c r="CG67" s="113"/>
      <c r="CH67" s="22"/>
      <c r="CI67" s="98">
        <f t="shared" si="32"/>
        <v>0</v>
      </c>
      <c r="CJ67" s="95">
        <f t="shared" si="33"/>
        <v>0</v>
      </c>
      <c r="CK67" s="95">
        <f t="shared" si="45"/>
        <v>0</v>
      </c>
      <c r="CL67" s="95"/>
      <c r="CM67" s="99"/>
      <c r="CN67" s="99"/>
      <c r="CO67" s="110"/>
      <c r="CP67" s="99"/>
      <c r="CQ67" s="99"/>
      <c r="CR67" s="99"/>
      <c r="CS67" s="95"/>
      <c r="CT67" s="95"/>
      <c r="CU67" s="96"/>
      <c r="CV67" s="96"/>
      <c r="CW67" s="96"/>
      <c r="CX67" s="96"/>
      <c r="CY67" s="96"/>
      <c r="CZ67" s="93">
        <f t="shared" si="49"/>
        <v>0</v>
      </c>
      <c r="DA67" s="93">
        <f t="shared" si="50"/>
        <v>0</v>
      </c>
      <c r="DB67" s="95">
        <f t="shared" si="46"/>
        <v>0</v>
      </c>
      <c r="DC67" s="100">
        <f t="shared" si="47"/>
        <v>0</v>
      </c>
      <c r="DD67" s="100"/>
      <c r="DE67" s="100">
        <f t="shared" si="38"/>
        <v>0</v>
      </c>
      <c r="DF67" s="13"/>
      <c r="DG67" s="2"/>
      <c r="DH67" s="46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</row>
    <row r="68" spans="1:156" s="1" customFormat="1" hidden="1" x14ac:dyDescent="0.2">
      <c r="A68" s="88">
        <f t="shared" si="3"/>
        <v>509696</v>
      </c>
      <c r="B68" s="21">
        <v>9696</v>
      </c>
      <c r="C68" s="21" t="s">
        <v>98</v>
      </c>
      <c r="D68" s="84" t="s">
        <v>135</v>
      </c>
      <c r="E68" s="115" t="s">
        <v>202</v>
      </c>
      <c r="F68" s="85">
        <v>3</v>
      </c>
      <c r="G68" s="84"/>
      <c r="H68" s="85"/>
      <c r="I68" s="86"/>
      <c r="J68" s="85"/>
      <c r="K68" s="21" t="s">
        <v>10</v>
      </c>
      <c r="L68" s="21"/>
      <c r="M68" s="87"/>
      <c r="N68" s="88"/>
      <c r="O68" s="88">
        <v>6</v>
      </c>
      <c r="P68" s="89">
        <f t="shared" si="39"/>
        <v>5700.7259999999997</v>
      </c>
      <c r="Q68" s="90">
        <f t="shared" si="40"/>
        <v>19002.419999999998</v>
      </c>
      <c r="R68" s="90">
        <f t="shared" si="41"/>
        <v>26397.963600000003</v>
      </c>
      <c r="S68" s="91"/>
      <c r="T68" s="92"/>
      <c r="U68" s="32"/>
      <c r="V68" s="32"/>
      <c r="W68" s="32"/>
      <c r="X68" s="93"/>
      <c r="Y68" s="32"/>
      <c r="Z68" s="32"/>
      <c r="AA68" s="32">
        <v>0</v>
      </c>
      <c r="AB68" s="32">
        <v>0</v>
      </c>
      <c r="AC68" s="32"/>
      <c r="AD68" s="32">
        <v>0</v>
      </c>
      <c r="AE68" s="32">
        <v>0</v>
      </c>
      <c r="AF68" s="32">
        <v>0</v>
      </c>
      <c r="AG68" s="32">
        <v>0</v>
      </c>
      <c r="AH68" s="32">
        <v>0</v>
      </c>
      <c r="AI68" s="32">
        <v>0</v>
      </c>
      <c r="AJ68" s="93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94">
        <f t="shared" si="7"/>
        <v>0</v>
      </c>
      <c r="AV68" s="95">
        <f t="shared" si="8"/>
        <v>0</v>
      </c>
      <c r="AW68" s="95">
        <f t="shared" si="9"/>
        <v>0</v>
      </c>
      <c r="AX68" s="95">
        <f t="shared" si="10"/>
        <v>0</v>
      </c>
      <c r="AY68" s="95">
        <f t="shared" si="11"/>
        <v>0</v>
      </c>
      <c r="AZ68" s="95">
        <f t="shared" si="12"/>
        <v>0</v>
      </c>
      <c r="BA68" s="95">
        <f t="shared" si="13"/>
        <v>0</v>
      </c>
      <c r="BB68" s="95">
        <f t="shared" si="42"/>
        <v>0</v>
      </c>
      <c r="BC68" s="96">
        <f t="shared" si="14"/>
        <v>0</v>
      </c>
      <c r="BD68" s="96">
        <f t="shared" si="15"/>
        <v>0</v>
      </c>
      <c r="BE68" s="96">
        <f t="shared" si="16"/>
        <v>0</v>
      </c>
      <c r="BF68" s="96">
        <f t="shared" si="17"/>
        <v>0</v>
      </c>
      <c r="BG68" s="96">
        <f t="shared" si="18"/>
        <v>0</v>
      </c>
      <c r="BH68" s="96">
        <f t="shared" si="19"/>
        <v>0</v>
      </c>
      <c r="BI68" s="96">
        <f t="shared" si="20"/>
        <v>0</v>
      </c>
      <c r="BJ68" s="96">
        <f t="shared" si="21"/>
        <v>0</v>
      </c>
      <c r="BK68" s="96">
        <f t="shared" si="22"/>
        <v>0</v>
      </c>
      <c r="BL68" s="96">
        <f t="shared" si="23"/>
        <v>0</v>
      </c>
      <c r="BM68" s="96">
        <f t="shared" si="24"/>
        <v>0</v>
      </c>
      <c r="BN68" s="96"/>
      <c r="BO68" s="95"/>
      <c r="BP68" s="95">
        <f t="shared" si="25"/>
        <v>0</v>
      </c>
      <c r="BQ68" s="95"/>
      <c r="BR68" s="95"/>
      <c r="BS68" s="95">
        <f t="shared" si="26"/>
        <v>0</v>
      </c>
      <c r="BT68" s="95">
        <f t="shared" si="27"/>
        <v>0</v>
      </c>
      <c r="BU68" s="95">
        <f t="shared" si="28"/>
        <v>0</v>
      </c>
      <c r="BV68" s="95">
        <f t="shared" si="29"/>
        <v>0</v>
      </c>
      <c r="BW68" s="95"/>
      <c r="BX68" s="95"/>
      <c r="BY68" s="95"/>
      <c r="BZ68" s="95"/>
      <c r="CA68" s="95">
        <f t="shared" si="43"/>
        <v>0</v>
      </c>
      <c r="CB68" s="97">
        <f t="shared" si="48"/>
        <v>0</v>
      </c>
      <c r="CC68" s="95"/>
      <c r="CD68" s="95"/>
      <c r="CE68" s="95">
        <f t="shared" si="31"/>
        <v>0</v>
      </c>
      <c r="CF68" s="95">
        <f t="shared" si="44"/>
        <v>0</v>
      </c>
      <c r="CG68" s="113"/>
      <c r="CH68" s="22"/>
      <c r="CI68" s="98">
        <f t="shared" si="32"/>
        <v>0</v>
      </c>
      <c r="CJ68" s="95">
        <f t="shared" si="33"/>
        <v>0</v>
      </c>
      <c r="CK68" s="95">
        <f t="shared" si="45"/>
        <v>0</v>
      </c>
      <c r="CL68" s="95"/>
      <c r="CM68" s="99"/>
      <c r="CN68" s="99"/>
      <c r="CO68" s="110"/>
      <c r="CP68" s="99"/>
      <c r="CQ68" s="99"/>
      <c r="CR68" s="99"/>
      <c r="CS68" s="95"/>
      <c r="CT68" s="95"/>
      <c r="CU68" s="96"/>
      <c r="CV68" s="96"/>
      <c r="CW68" s="96"/>
      <c r="CX68" s="96"/>
      <c r="CY68" s="96"/>
      <c r="CZ68" s="93">
        <f t="shared" si="49"/>
        <v>0</v>
      </c>
      <c r="DA68" s="93">
        <f t="shared" si="50"/>
        <v>0</v>
      </c>
      <c r="DB68" s="95">
        <f t="shared" si="46"/>
        <v>0</v>
      </c>
      <c r="DC68" s="100">
        <f t="shared" si="47"/>
        <v>0</v>
      </c>
      <c r="DD68" s="100"/>
      <c r="DE68" s="100">
        <f t="shared" si="38"/>
        <v>0</v>
      </c>
      <c r="DF68" s="13"/>
      <c r="DG68" s="2"/>
      <c r="DH68" s="46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</row>
    <row r="69" spans="1:156" s="1" customFormat="1" hidden="1" x14ac:dyDescent="0.2">
      <c r="A69" s="88">
        <f t="shared" si="3"/>
        <v>509858</v>
      </c>
      <c r="B69" s="21">
        <v>9858</v>
      </c>
      <c r="C69" s="21" t="s">
        <v>98</v>
      </c>
      <c r="D69" s="84" t="s">
        <v>190</v>
      </c>
      <c r="E69" s="115" t="s">
        <v>202</v>
      </c>
      <c r="F69" s="85">
        <v>0</v>
      </c>
      <c r="G69" s="84"/>
      <c r="H69" s="85"/>
      <c r="I69" s="86"/>
      <c r="J69" s="85"/>
      <c r="K69" s="21" t="s">
        <v>10</v>
      </c>
      <c r="L69" s="21"/>
      <c r="M69" s="87"/>
      <c r="N69" s="88"/>
      <c r="O69" s="88">
        <v>0</v>
      </c>
      <c r="P69" s="89">
        <f t="shared" si="39"/>
        <v>5700.7259999999997</v>
      </c>
      <c r="Q69" s="90">
        <f t="shared" si="40"/>
        <v>19002.419999999998</v>
      </c>
      <c r="R69" s="90">
        <f t="shared" si="41"/>
        <v>26397.963600000003</v>
      </c>
      <c r="S69" s="91"/>
      <c r="T69" s="92"/>
      <c r="U69" s="32"/>
      <c r="V69" s="32"/>
      <c r="W69" s="32"/>
      <c r="X69" s="93"/>
      <c r="Y69" s="32"/>
      <c r="Z69" s="32"/>
      <c r="AA69" s="32">
        <v>0</v>
      </c>
      <c r="AB69" s="32">
        <v>0</v>
      </c>
      <c r="AC69" s="32"/>
      <c r="AD69" s="32">
        <v>0</v>
      </c>
      <c r="AE69" s="32">
        <v>0</v>
      </c>
      <c r="AF69" s="32">
        <v>0</v>
      </c>
      <c r="AG69" s="32">
        <v>0</v>
      </c>
      <c r="AH69" s="32">
        <v>0</v>
      </c>
      <c r="AI69" s="32">
        <v>0</v>
      </c>
      <c r="AJ69" s="93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94">
        <f t="shared" si="7"/>
        <v>0</v>
      </c>
      <c r="AV69" s="95">
        <f t="shared" si="8"/>
        <v>0</v>
      </c>
      <c r="AW69" s="95">
        <f t="shared" si="9"/>
        <v>0</v>
      </c>
      <c r="AX69" s="95">
        <f t="shared" si="10"/>
        <v>0</v>
      </c>
      <c r="AY69" s="95">
        <f t="shared" si="11"/>
        <v>0</v>
      </c>
      <c r="AZ69" s="95">
        <f t="shared" si="12"/>
        <v>0</v>
      </c>
      <c r="BA69" s="95">
        <f t="shared" si="13"/>
        <v>0</v>
      </c>
      <c r="BB69" s="95">
        <f t="shared" si="42"/>
        <v>0</v>
      </c>
      <c r="BC69" s="96">
        <f t="shared" si="14"/>
        <v>0</v>
      </c>
      <c r="BD69" s="96">
        <f t="shared" si="15"/>
        <v>0</v>
      </c>
      <c r="BE69" s="96">
        <f t="shared" si="16"/>
        <v>0</v>
      </c>
      <c r="BF69" s="96">
        <f t="shared" si="17"/>
        <v>0</v>
      </c>
      <c r="BG69" s="96">
        <f t="shared" si="18"/>
        <v>0</v>
      </c>
      <c r="BH69" s="96">
        <f t="shared" si="19"/>
        <v>0</v>
      </c>
      <c r="BI69" s="96">
        <f t="shared" si="20"/>
        <v>0</v>
      </c>
      <c r="BJ69" s="96">
        <f t="shared" si="21"/>
        <v>0</v>
      </c>
      <c r="BK69" s="96">
        <f t="shared" si="22"/>
        <v>0</v>
      </c>
      <c r="BL69" s="96">
        <f t="shared" si="23"/>
        <v>0</v>
      </c>
      <c r="BM69" s="96">
        <f t="shared" si="24"/>
        <v>0</v>
      </c>
      <c r="BN69" s="96"/>
      <c r="BO69" s="95"/>
      <c r="BP69" s="95">
        <f t="shared" si="25"/>
        <v>0</v>
      </c>
      <c r="BQ69" s="95"/>
      <c r="BR69" s="95"/>
      <c r="BS69" s="95">
        <f t="shared" si="26"/>
        <v>0</v>
      </c>
      <c r="BT69" s="95">
        <f t="shared" si="27"/>
        <v>0</v>
      </c>
      <c r="BU69" s="95">
        <f t="shared" si="28"/>
        <v>0</v>
      </c>
      <c r="BV69" s="95">
        <f t="shared" si="29"/>
        <v>0</v>
      </c>
      <c r="BW69" s="95"/>
      <c r="BX69" s="95"/>
      <c r="BY69" s="95"/>
      <c r="BZ69" s="95"/>
      <c r="CA69" s="95">
        <f t="shared" si="43"/>
        <v>0</v>
      </c>
      <c r="CB69" s="97">
        <f t="shared" si="48"/>
        <v>0</v>
      </c>
      <c r="CC69" s="95"/>
      <c r="CD69" s="95"/>
      <c r="CE69" s="95">
        <f t="shared" si="31"/>
        <v>0</v>
      </c>
      <c r="CF69" s="95">
        <f t="shared" si="44"/>
        <v>0</v>
      </c>
      <c r="CG69" s="113"/>
      <c r="CH69" s="22"/>
      <c r="CI69" s="98">
        <f t="shared" si="32"/>
        <v>0</v>
      </c>
      <c r="CJ69" s="95">
        <f t="shared" si="33"/>
        <v>0</v>
      </c>
      <c r="CK69" s="95">
        <f t="shared" si="45"/>
        <v>0</v>
      </c>
      <c r="CL69" s="95"/>
      <c r="CM69" s="99"/>
      <c r="CN69" s="99"/>
      <c r="CO69" s="110"/>
      <c r="CP69" s="99"/>
      <c r="CQ69" s="99"/>
      <c r="CR69" s="99"/>
      <c r="CS69" s="95"/>
      <c r="CT69" s="95"/>
      <c r="CU69" s="96"/>
      <c r="CV69" s="96"/>
      <c r="CW69" s="96"/>
      <c r="CX69" s="96"/>
      <c r="CY69" s="96"/>
      <c r="CZ69" s="93">
        <f t="shared" si="49"/>
        <v>0</v>
      </c>
      <c r="DA69" s="93">
        <f t="shared" si="50"/>
        <v>0</v>
      </c>
      <c r="DB69" s="95">
        <f t="shared" si="46"/>
        <v>0</v>
      </c>
      <c r="DC69" s="100">
        <f t="shared" si="47"/>
        <v>0</v>
      </c>
      <c r="DD69" s="100"/>
      <c r="DE69" s="100">
        <f t="shared" si="38"/>
        <v>0</v>
      </c>
      <c r="DF69" s="13"/>
      <c r="DG69" s="2"/>
      <c r="DH69" s="46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</row>
    <row r="70" spans="1:156" s="1" customFormat="1" x14ac:dyDescent="0.2">
      <c r="A70" s="88">
        <f t="shared" si="3"/>
        <v>509697</v>
      </c>
      <c r="B70" s="21">
        <v>9697</v>
      </c>
      <c r="C70" s="21" t="s">
        <v>98</v>
      </c>
      <c r="D70" s="84" t="s">
        <v>136</v>
      </c>
      <c r="E70" s="115" t="s">
        <v>202</v>
      </c>
      <c r="F70" s="85">
        <v>3</v>
      </c>
      <c r="G70" s="84"/>
      <c r="H70" s="85"/>
      <c r="I70" s="86"/>
      <c r="J70" s="85"/>
      <c r="K70" s="21" t="s">
        <v>10</v>
      </c>
      <c r="L70" s="21"/>
      <c r="M70" s="87"/>
      <c r="N70" s="88"/>
      <c r="O70" s="88">
        <v>10</v>
      </c>
      <c r="P70" s="89">
        <f t="shared" si="39"/>
        <v>5700.7259999999997</v>
      </c>
      <c r="Q70" s="90">
        <f t="shared" si="40"/>
        <v>19002.419999999998</v>
      </c>
      <c r="R70" s="90">
        <f t="shared" si="41"/>
        <v>26397.963600000003</v>
      </c>
      <c r="S70" s="91"/>
      <c r="T70" s="92"/>
      <c r="U70" s="32"/>
      <c r="V70" s="32"/>
      <c r="W70" s="32"/>
      <c r="X70" s="93"/>
      <c r="Y70" s="32"/>
      <c r="Z70" s="32"/>
      <c r="AA70" s="32">
        <v>15</v>
      </c>
      <c r="AB70" s="32">
        <v>0</v>
      </c>
      <c r="AC70" s="32"/>
      <c r="AD70" s="32">
        <v>0</v>
      </c>
      <c r="AE70" s="32">
        <v>0</v>
      </c>
      <c r="AF70" s="32">
        <v>0</v>
      </c>
      <c r="AG70" s="32">
        <v>0</v>
      </c>
      <c r="AH70" s="32">
        <v>0</v>
      </c>
      <c r="AI70" s="32">
        <v>7.625</v>
      </c>
      <c r="AJ70" s="93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94">
        <f t="shared" si="7"/>
        <v>0</v>
      </c>
      <c r="AV70" s="95">
        <f t="shared" si="8"/>
        <v>0</v>
      </c>
      <c r="AW70" s="95">
        <f t="shared" si="9"/>
        <v>0</v>
      </c>
      <c r="AX70" s="95">
        <f t="shared" si="10"/>
        <v>0</v>
      </c>
      <c r="AY70" s="95">
        <f t="shared" si="11"/>
        <v>0</v>
      </c>
      <c r="AZ70" s="95">
        <f t="shared" si="12"/>
        <v>0</v>
      </c>
      <c r="BA70" s="95">
        <f t="shared" si="13"/>
        <v>0</v>
      </c>
      <c r="BB70" s="95">
        <f t="shared" si="42"/>
        <v>35629.537499999999</v>
      </c>
      <c r="BC70" s="96">
        <f t="shared" si="14"/>
        <v>0</v>
      </c>
      <c r="BD70" s="96">
        <f t="shared" si="15"/>
        <v>0</v>
      </c>
      <c r="BE70" s="96">
        <f>-Q70*AD70</f>
        <v>0</v>
      </c>
      <c r="BF70" s="96">
        <f t="shared" si="17"/>
        <v>0</v>
      </c>
      <c r="BG70" s="96">
        <f t="shared" si="18"/>
        <v>0</v>
      </c>
      <c r="BH70" s="96">
        <f t="shared" si="19"/>
        <v>0</v>
      </c>
      <c r="BI70" s="96">
        <f t="shared" si="20"/>
        <v>144893.45249999998</v>
      </c>
      <c r="BJ70" s="96">
        <f t="shared" si="21"/>
        <v>0</v>
      </c>
      <c r="BK70" s="96">
        <f t="shared" si="22"/>
        <v>0</v>
      </c>
      <c r="BL70" s="96">
        <f t="shared" si="23"/>
        <v>0</v>
      </c>
      <c r="BM70" s="96">
        <f t="shared" si="24"/>
        <v>0</v>
      </c>
      <c r="BN70" s="96"/>
      <c r="BO70" s="95"/>
      <c r="BP70" s="95">
        <f t="shared" si="25"/>
        <v>0</v>
      </c>
      <c r="BQ70" s="95"/>
      <c r="BR70" s="95"/>
      <c r="BS70" s="95">
        <f t="shared" si="26"/>
        <v>0</v>
      </c>
      <c r="BT70" s="95">
        <f t="shared" si="27"/>
        <v>0</v>
      </c>
      <c r="BU70" s="95">
        <f t="shared" si="28"/>
        <v>0</v>
      </c>
      <c r="BV70" s="95">
        <f t="shared" si="29"/>
        <v>0</v>
      </c>
      <c r="BW70" s="95"/>
      <c r="BX70" s="95"/>
      <c r="BY70" s="95"/>
      <c r="BZ70" s="95"/>
      <c r="CA70" s="95">
        <f t="shared" si="43"/>
        <v>0</v>
      </c>
      <c r="CB70" s="97">
        <f t="shared" si="48"/>
        <v>180522.99</v>
      </c>
      <c r="CC70" s="95"/>
      <c r="CD70" s="95"/>
      <c r="CE70" s="95">
        <f t="shared" si="31"/>
        <v>-5415.6896999999999</v>
      </c>
      <c r="CF70" s="95">
        <f t="shared" si="44"/>
        <v>-2707.84485</v>
      </c>
      <c r="CG70" s="113"/>
      <c r="CH70" s="22"/>
      <c r="CI70" s="98">
        <f t="shared" si="32"/>
        <v>250782.53770799993</v>
      </c>
      <c r="CJ70" s="95">
        <f t="shared" si="33"/>
        <v>-7523.4761312399978</v>
      </c>
      <c r="CK70" s="95">
        <f t="shared" si="45"/>
        <v>-3761.7380656199989</v>
      </c>
      <c r="CL70" s="95"/>
      <c r="CM70" s="99"/>
      <c r="CN70" s="99"/>
      <c r="CO70" s="110"/>
      <c r="CP70" s="99"/>
      <c r="CQ70" s="99"/>
      <c r="CR70" s="99"/>
      <c r="CS70" s="95"/>
      <c r="CT70" s="95"/>
      <c r="CU70" s="96"/>
      <c r="CV70" s="96"/>
      <c r="CW70" s="96"/>
      <c r="CX70" s="96"/>
      <c r="CY70" s="96"/>
      <c r="CZ70" s="93">
        <f t="shared" si="49"/>
        <v>0</v>
      </c>
      <c r="DA70" s="93">
        <f t="shared" si="50"/>
        <v>0</v>
      </c>
      <c r="DB70" s="95">
        <f t="shared" si="46"/>
        <v>411896.77896113991</v>
      </c>
      <c r="DC70" s="100">
        <f t="shared" si="47"/>
        <v>411897</v>
      </c>
      <c r="DD70" s="100"/>
      <c r="DE70" s="100">
        <f t="shared" si="38"/>
        <v>-411897</v>
      </c>
      <c r="DF70" s="13"/>
      <c r="DG70" s="2"/>
      <c r="DH70" s="46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</row>
    <row r="71" spans="1:156" s="1" customFormat="1" hidden="1" x14ac:dyDescent="0.2">
      <c r="A71" s="88">
        <f t="shared" si="3"/>
        <v>509855</v>
      </c>
      <c r="B71" s="21">
        <v>9855</v>
      </c>
      <c r="C71" s="21" t="s">
        <v>98</v>
      </c>
      <c r="D71" s="84" t="s">
        <v>187</v>
      </c>
      <c r="E71" s="115" t="s">
        <v>202</v>
      </c>
      <c r="F71" s="85">
        <v>0</v>
      </c>
      <c r="G71" s="84"/>
      <c r="H71" s="85"/>
      <c r="I71" s="86"/>
      <c r="J71" s="85"/>
      <c r="K71" s="21" t="s">
        <v>10</v>
      </c>
      <c r="L71" s="21"/>
      <c r="M71" s="87"/>
      <c r="N71" s="88"/>
      <c r="O71" s="88">
        <v>0</v>
      </c>
      <c r="P71" s="89">
        <f t="shared" si="39"/>
        <v>5700.7259999999997</v>
      </c>
      <c r="Q71" s="90">
        <f t="shared" si="40"/>
        <v>19002.419999999998</v>
      </c>
      <c r="R71" s="90">
        <f t="shared" si="41"/>
        <v>26397.963600000003</v>
      </c>
      <c r="S71" s="91"/>
      <c r="T71" s="92"/>
      <c r="U71" s="32"/>
      <c r="V71" s="32"/>
      <c r="W71" s="32"/>
      <c r="X71" s="93"/>
      <c r="Y71" s="32"/>
      <c r="Z71" s="32"/>
      <c r="AA71" s="32">
        <v>0</v>
      </c>
      <c r="AB71" s="32">
        <v>0</v>
      </c>
      <c r="AC71" s="32"/>
      <c r="AD71" s="32">
        <v>0</v>
      </c>
      <c r="AE71" s="32">
        <v>0</v>
      </c>
      <c r="AF71" s="32">
        <v>0</v>
      </c>
      <c r="AG71" s="32">
        <v>0</v>
      </c>
      <c r="AH71" s="32">
        <v>0</v>
      </c>
      <c r="AI71" s="32">
        <v>0</v>
      </c>
      <c r="AJ71" s="93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94">
        <f t="shared" si="7"/>
        <v>0</v>
      </c>
      <c r="AV71" s="95">
        <f t="shared" si="8"/>
        <v>0</v>
      </c>
      <c r="AW71" s="95">
        <f t="shared" si="9"/>
        <v>0</v>
      </c>
      <c r="AX71" s="95">
        <f t="shared" si="10"/>
        <v>0</v>
      </c>
      <c r="AY71" s="95">
        <f t="shared" si="11"/>
        <v>0</v>
      </c>
      <c r="AZ71" s="95">
        <f t="shared" si="12"/>
        <v>0</v>
      </c>
      <c r="BA71" s="95">
        <f t="shared" si="13"/>
        <v>0</v>
      </c>
      <c r="BB71" s="95">
        <f t="shared" si="42"/>
        <v>0</v>
      </c>
      <c r="BC71" s="96">
        <f t="shared" si="14"/>
        <v>0</v>
      </c>
      <c r="BD71" s="96">
        <f t="shared" si="15"/>
        <v>0</v>
      </c>
      <c r="BE71" s="96">
        <f t="shared" ref="BE71:BE113" si="51">-Q71/8*AD71</f>
        <v>0</v>
      </c>
      <c r="BF71" s="96">
        <f t="shared" si="17"/>
        <v>0</v>
      </c>
      <c r="BG71" s="96">
        <f t="shared" si="18"/>
        <v>0</v>
      </c>
      <c r="BH71" s="96">
        <f t="shared" si="19"/>
        <v>0</v>
      </c>
      <c r="BI71" s="96">
        <f t="shared" si="20"/>
        <v>0</v>
      </c>
      <c r="BJ71" s="96">
        <f t="shared" si="21"/>
        <v>0</v>
      </c>
      <c r="BK71" s="96">
        <f t="shared" si="22"/>
        <v>0</v>
      </c>
      <c r="BL71" s="96">
        <f t="shared" si="23"/>
        <v>0</v>
      </c>
      <c r="BM71" s="96">
        <f t="shared" si="24"/>
        <v>0</v>
      </c>
      <c r="BN71" s="96"/>
      <c r="BO71" s="95"/>
      <c r="BP71" s="95">
        <f t="shared" si="25"/>
        <v>0</v>
      </c>
      <c r="BQ71" s="95"/>
      <c r="BR71" s="95"/>
      <c r="BS71" s="95">
        <f t="shared" si="26"/>
        <v>0</v>
      </c>
      <c r="BT71" s="95">
        <f t="shared" si="27"/>
        <v>0</v>
      </c>
      <c r="BU71" s="95">
        <f t="shared" si="28"/>
        <v>0</v>
      </c>
      <c r="BV71" s="95">
        <f t="shared" si="29"/>
        <v>0</v>
      </c>
      <c r="BW71" s="95"/>
      <c r="BX71" s="95"/>
      <c r="BY71" s="95"/>
      <c r="BZ71" s="95"/>
      <c r="CA71" s="95">
        <f t="shared" si="43"/>
        <v>0</v>
      </c>
      <c r="CB71" s="97">
        <f t="shared" si="48"/>
        <v>0</v>
      </c>
      <c r="CC71" s="95"/>
      <c r="CD71" s="95"/>
      <c r="CE71" s="95">
        <f t="shared" si="31"/>
        <v>0</v>
      </c>
      <c r="CF71" s="95">
        <f t="shared" si="44"/>
        <v>0</v>
      </c>
      <c r="CG71" s="113"/>
      <c r="CH71" s="22"/>
      <c r="CI71" s="98">
        <f t="shared" si="32"/>
        <v>0</v>
      </c>
      <c r="CJ71" s="95">
        <f t="shared" si="33"/>
        <v>0</v>
      </c>
      <c r="CK71" s="95">
        <f t="shared" si="45"/>
        <v>0</v>
      </c>
      <c r="CL71" s="95"/>
      <c r="CM71" s="99"/>
      <c r="CN71" s="99"/>
      <c r="CO71" s="110"/>
      <c r="CP71" s="99"/>
      <c r="CQ71" s="99"/>
      <c r="CR71" s="99"/>
      <c r="CS71" s="95"/>
      <c r="CT71" s="95"/>
      <c r="CU71" s="96"/>
      <c r="CV71" s="96"/>
      <c r="CW71" s="96"/>
      <c r="CX71" s="96"/>
      <c r="CY71" s="96"/>
      <c r="CZ71" s="93">
        <f t="shared" si="49"/>
        <v>0</v>
      </c>
      <c r="DA71" s="93">
        <f t="shared" si="50"/>
        <v>0</v>
      </c>
      <c r="DB71" s="95">
        <f t="shared" si="46"/>
        <v>0</v>
      </c>
      <c r="DC71" s="100">
        <f t="shared" si="47"/>
        <v>0</v>
      </c>
      <c r="DD71" s="100"/>
      <c r="DE71" s="100">
        <f t="shared" si="38"/>
        <v>0</v>
      </c>
      <c r="DF71" s="13"/>
      <c r="DG71" s="2"/>
      <c r="DH71" s="46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</row>
    <row r="72" spans="1:156" s="1" customFormat="1" hidden="1" x14ac:dyDescent="0.2">
      <c r="A72" s="88">
        <f t="shared" si="3"/>
        <v>509698</v>
      </c>
      <c r="B72" s="21">
        <v>9698</v>
      </c>
      <c r="C72" s="21" t="s">
        <v>98</v>
      </c>
      <c r="D72" s="84" t="s">
        <v>137</v>
      </c>
      <c r="E72" s="114" t="s">
        <v>201</v>
      </c>
      <c r="F72" s="85">
        <v>0</v>
      </c>
      <c r="G72" s="84"/>
      <c r="H72" s="85"/>
      <c r="I72" s="86"/>
      <c r="J72" s="85"/>
      <c r="K72" s="21" t="s">
        <v>10</v>
      </c>
      <c r="L72" s="21"/>
      <c r="M72" s="87"/>
      <c r="N72" s="88"/>
      <c r="O72" s="88">
        <v>8</v>
      </c>
      <c r="P72" s="89">
        <f t="shared" si="39"/>
        <v>5700.7259999999997</v>
      </c>
      <c r="Q72" s="90">
        <f t="shared" si="40"/>
        <v>19002.419999999998</v>
      </c>
      <c r="R72" s="90">
        <f t="shared" si="41"/>
        <v>26397.963600000003</v>
      </c>
      <c r="S72" s="91"/>
      <c r="T72" s="92"/>
      <c r="U72" s="32"/>
      <c r="V72" s="32"/>
      <c r="W72" s="32"/>
      <c r="X72" s="93"/>
      <c r="Y72" s="32"/>
      <c r="Z72" s="32"/>
      <c r="AA72" s="32">
        <v>0</v>
      </c>
      <c r="AB72" s="32">
        <v>0</v>
      </c>
      <c r="AC72" s="32"/>
      <c r="AD72" s="32">
        <v>0</v>
      </c>
      <c r="AE72" s="32">
        <v>0</v>
      </c>
      <c r="AF72" s="32">
        <v>0</v>
      </c>
      <c r="AG72" s="32">
        <v>0</v>
      </c>
      <c r="AH72" s="32">
        <v>0</v>
      </c>
      <c r="AI72" s="32">
        <v>0</v>
      </c>
      <c r="AJ72" s="93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94">
        <f t="shared" si="7"/>
        <v>0</v>
      </c>
      <c r="AV72" s="95">
        <f t="shared" si="8"/>
        <v>0</v>
      </c>
      <c r="AW72" s="95">
        <f t="shared" si="9"/>
        <v>0</v>
      </c>
      <c r="AX72" s="95">
        <f t="shared" si="10"/>
        <v>0</v>
      </c>
      <c r="AY72" s="95">
        <f t="shared" si="11"/>
        <v>0</v>
      </c>
      <c r="AZ72" s="95">
        <f t="shared" si="12"/>
        <v>0</v>
      </c>
      <c r="BA72" s="95">
        <f t="shared" si="13"/>
        <v>0</v>
      </c>
      <c r="BB72" s="95">
        <f t="shared" si="42"/>
        <v>0</v>
      </c>
      <c r="BC72" s="96">
        <f t="shared" si="14"/>
        <v>0</v>
      </c>
      <c r="BD72" s="96">
        <f t="shared" si="15"/>
        <v>0</v>
      </c>
      <c r="BE72" s="96">
        <f t="shared" si="51"/>
        <v>0</v>
      </c>
      <c r="BF72" s="96">
        <f t="shared" si="17"/>
        <v>0</v>
      </c>
      <c r="BG72" s="96">
        <f t="shared" si="18"/>
        <v>0</v>
      </c>
      <c r="BH72" s="96">
        <f t="shared" si="19"/>
        <v>0</v>
      </c>
      <c r="BI72" s="96">
        <f t="shared" si="20"/>
        <v>0</v>
      </c>
      <c r="BJ72" s="96">
        <f t="shared" si="21"/>
        <v>0</v>
      </c>
      <c r="BK72" s="96">
        <f t="shared" si="22"/>
        <v>0</v>
      </c>
      <c r="BL72" s="96">
        <f t="shared" si="23"/>
        <v>0</v>
      </c>
      <c r="BM72" s="96">
        <f t="shared" si="24"/>
        <v>0</v>
      </c>
      <c r="BN72" s="96"/>
      <c r="BO72" s="95"/>
      <c r="BP72" s="95">
        <f t="shared" si="25"/>
        <v>0</v>
      </c>
      <c r="BQ72" s="95"/>
      <c r="BR72" s="95"/>
      <c r="BS72" s="95">
        <f t="shared" si="26"/>
        <v>0</v>
      </c>
      <c r="BT72" s="95">
        <f t="shared" si="27"/>
        <v>0</v>
      </c>
      <c r="BU72" s="95">
        <f t="shared" si="28"/>
        <v>0</v>
      </c>
      <c r="BV72" s="95">
        <f t="shared" si="29"/>
        <v>0</v>
      </c>
      <c r="BW72" s="95"/>
      <c r="BX72" s="95"/>
      <c r="BY72" s="95"/>
      <c r="BZ72" s="95"/>
      <c r="CA72" s="95">
        <f t="shared" si="43"/>
        <v>0</v>
      </c>
      <c r="CB72" s="97">
        <f t="shared" si="48"/>
        <v>0</v>
      </c>
      <c r="CC72" s="95"/>
      <c r="CD72" s="95"/>
      <c r="CE72" s="95">
        <f t="shared" si="31"/>
        <v>0</v>
      </c>
      <c r="CF72" s="95">
        <f t="shared" si="44"/>
        <v>0</v>
      </c>
      <c r="CG72" s="113"/>
      <c r="CH72" s="22"/>
      <c r="CI72" s="98">
        <f t="shared" si="32"/>
        <v>0</v>
      </c>
      <c r="CJ72" s="95">
        <f t="shared" si="33"/>
        <v>0</v>
      </c>
      <c r="CK72" s="95">
        <f t="shared" si="45"/>
        <v>0</v>
      </c>
      <c r="CL72" s="95"/>
      <c r="CM72" s="99"/>
      <c r="CN72" s="99"/>
      <c r="CO72" s="110"/>
      <c r="CP72" s="99"/>
      <c r="CQ72" s="99"/>
      <c r="CR72" s="99"/>
      <c r="CS72" s="95"/>
      <c r="CT72" s="95"/>
      <c r="CU72" s="96"/>
      <c r="CV72" s="96"/>
      <c r="CW72" s="96"/>
      <c r="CX72" s="96"/>
      <c r="CY72" s="96"/>
      <c r="CZ72" s="93">
        <f t="shared" si="49"/>
        <v>0</v>
      </c>
      <c r="DA72" s="93">
        <f t="shared" si="50"/>
        <v>0</v>
      </c>
      <c r="DB72" s="95">
        <f t="shared" si="46"/>
        <v>0</v>
      </c>
      <c r="DC72" s="100">
        <f t="shared" si="47"/>
        <v>0</v>
      </c>
      <c r="DD72" s="100"/>
      <c r="DE72" s="100">
        <f t="shared" si="38"/>
        <v>0</v>
      </c>
      <c r="DF72" s="13"/>
      <c r="DG72" s="2"/>
      <c r="DH72" s="46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</row>
    <row r="73" spans="1:156" s="1" customFormat="1" x14ac:dyDescent="0.2">
      <c r="A73" s="88">
        <f t="shared" si="3"/>
        <v>509741</v>
      </c>
      <c r="B73" s="21">
        <v>9741</v>
      </c>
      <c r="C73" s="21" t="s">
        <v>98</v>
      </c>
      <c r="D73" s="84" t="s">
        <v>157</v>
      </c>
      <c r="E73" s="114" t="s">
        <v>201</v>
      </c>
      <c r="F73" s="85">
        <v>0</v>
      </c>
      <c r="G73" s="84"/>
      <c r="H73" s="85"/>
      <c r="I73" s="86"/>
      <c r="J73" s="85"/>
      <c r="K73" s="21" t="s">
        <v>8</v>
      </c>
      <c r="L73" s="21"/>
      <c r="M73" s="87"/>
      <c r="N73" s="88"/>
      <c r="O73" s="88">
        <v>3</v>
      </c>
      <c r="P73" s="89">
        <f t="shared" si="39"/>
        <v>5401.2359999999999</v>
      </c>
      <c r="Q73" s="90">
        <f t="shared" si="40"/>
        <v>18004.12</v>
      </c>
      <c r="R73" s="90">
        <f t="shared" si="41"/>
        <v>25011.1211</v>
      </c>
      <c r="S73" s="91"/>
      <c r="T73" s="92"/>
      <c r="U73" s="32"/>
      <c r="V73" s="32"/>
      <c r="W73" s="32"/>
      <c r="X73" s="93"/>
      <c r="Y73" s="32"/>
      <c r="Z73" s="32"/>
      <c r="AA73" s="32">
        <v>4</v>
      </c>
      <c r="AB73" s="32">
        <v>0</v>
      </c>
      <c r="AC73" s="32"/>
      <c r="AD73" s="32">
        <v>0</v>
      </c>
      <c r="AE73" s="32">
        <v>0</v>
      </c>
      <c r="AF73" s="32">
        <v>0</v>
      </c>
      <c r="AG73" s="32">
        <v>0</v>
      </c>
      <c r="AH73" s="32">
        <v>0</v>
      </c>
      <c r="AI73" s="32">
        <v>0</v>
      </c>
      <c r="AJ73" s="93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94">
        <f t="shared" si="7"/>
        <v>0</v>
      </c>
      <c r="AV73" s="95">
        <f t="shared" si="8"/>
        <v>0</v>
      </c>
      <c r="AW73" s="95">
        <f t="shared" si="9"/>
        <v>0</v>
      </c>
      <c r="AX73" s="112">
        <f t="shared" si="10"/>
        <v>0</v>
      </c>
      <c r="AY73" s="95">
        <f t="shared" si="11"/>
        <v>0</v>
      </c>
      <c r="AZ73" s="95">
        <f t="shared" si="12"/>
        <v>0</v>
      </c>
      <c r="BA73" s="95">
        <f t="shared" si="13"/>
        <v>0</v>
      </c>
      <c r="BB73" s="95">
        <f t="shared" si="42"/>
        <v>9002.06</v>
      </c>
      <c r="BC73" s="96">
        <f t="shared" si="14"/>
        <v>0</v>
      </c>
      <c r="BD73" s="96">
        <f t="shared" si="15"/>
        <v>0</v>
      </c>
      <c r="BE73" s="96">
        <f t="shared" si="51"/>
        <v>0</v>
      </c>
      <c r="BF73" s="96">
        <f t="shared" si="17"/>
        <v>0</v>
      </c>
      <c r="BG73" s="96">
        <f t="shared" si="18"/>
        <v>0</v>
      </c>
      <c r="BH73" s="96">
        <f t="shared" si="19"/>
        <v>0</v>
      </c>
      <c r="BI73" s="96">
        <f t="shared" si="20"/>
        <v>0</v>
      </c>
      <c r="BJ73" s="96">
        <f t="shared" si="21"/>
        <v>0</v>
      </c>
      <c r="BK73" s="96">
        <f t="shared" si="22"/>
        <v>0</v>
      </c>
      <c r="BL73" s="96">
        <f t="shared" si="23"/>
        <v>0</v>
      </c>
      <c r="BM73" s="96">
        <f t="shared" si="24"/>
        <v>0</v>
      </c>
      <c r="BN73" s="96"/>
      <c r="BO73" s="95"/>
      <c r="BP73" s="95">
        <f t="shared" si="25"/>
        <v>0</v>
      </c>
      <c r="BQ73" s="95"/>
      <c r="BR73" s="95"/>
      <c r="BS73" s="95">
        <f t="shared" si="26"/>
        <v>0</v>
      </c>
      <c r="BT73" s="95">
        <f t="shared" si="27"/>
        <v>0</v>
      </c>
      <c r="BU73" s="95">
        <f t="shared" si="28"/>
        <v>0</v>
      </c>
      <c r="BV73" s="95">
        <f t="shared" si="29"/>
        <v>0</v>
      </c>
      <c r="BW73" s="95"/>
      <c r="BX73" s="95"/>
      <c r="BY73" s="95"/>
      <c r="BZ73" s="95"/>
      <c r="CA73" s="95">
        <f t="shared" si="43"/>
        <v>0</v>
      </c>
      <c r="CB73" s="97">
        <f t="shared" si="48"/>
        <v>9002.06</v>
      </c>
      <c r="CC73" s="95"/>
      <c r="CD73" s="95"/>
      <c r="CE73" s="95">
        <f t="shared" si="31"/>
        <v>-270.06179999999995</v>
      </c>
      <c r="CF73" s="95">
        <f t="shared" si="44"/>
        <v>-90.020600000000002</v>
      </c>
      <c r="CG73" s="113"/>
      <c r="CH73" s="22"/>
      <c r="CI73" s="98">
        <f t="shared" si="32"/>
        <v>12505.661751999996</v>
      </c>
      <c r="CJ73" s="95">
        <f t="shared" si="33"/>
        <v>-375.16985255999987</v>
      </c>
      <c r="CK73" s="95">
        <f t="shared" si="45"/>
        <v>-125.05661751999996</v>
      </c>
      <c r="CL73" s="95"/>
      <c r="CM73" s="99"/>
      <c r="CN73" s="99"/>
      <c r="CO73" s="110"/>
      <c r="CP73" s="99"/>
      <c r="CQ73" s="99"/>
      <c r="CR73" s="99"/>
      <c r="CS73" s="95"/>
      <c r="CT73" s="95"/>
      <c r="CU73" s="96"/>
      <c r="CV73" s="96"/>
      <c r="CW73" s="96"/>
      <c r="CX73" s="96"/>
      <c r="CY73" s="96"/>
      <c r="CZ73" s="93">
        <f t="shared" si="49"/>
        <v>0</v>
      </c>
      <c r="DA73" s="93">
        <f t="shared" si="50"/>
        <v>0</v>
      </c>
      <c r="DB73" s="95">
        <f t="shared" si="46"/>
        <v>20647.412881919998</v>
      </c>
      <c r="DC73" s="100">
        <f t="shared" si="47"/>
        <v>20647</v>
      </c>
      <c r="DD73" s="100"/>
      <c r="DE73" s="100">
        <f t="shared" si="38"/>
        <v>-20647</v>
      </c>
      <c r="DF73" s="13"/>
      <c r="DG73" s="2"/>
      <c r="DH73" s="46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</row>
    <row r="74" spans="1:156" s="1" customFormat="1" hidden="1" x14ac:dyDescent="0.2">
      <c r="A74" s="88">
        <f t="shared" si="3"/>
        <v>509699</v>
      </c>
      <c r="B74" s="21">
        <v>9699</v>
      </c>
      <c r="C74" s="21" t="s">
        <v>98</v>
      </c>
      <c r="D74" s="84" t="s">
        <v>138</v>
      </c>
      <c r="E74" s="114" t="s">
        <v>201</v>
      </c>
      <c r="F74" s="85">
        <v>3</v>
      </c>
      <c r="G74" s="84"/>
      <c r="H74" s="85">
        <v>60</v>
      </c>
      <c r="I74" s="86"/>
      <c r="J74" s="85"/>
      <c r="K74" s="21" t="s">
        <v>10</v>
      </c>
      <c r="L74" s="21"/>
      <c r="M74" s="87"/>
      <c r="N74" s="88"/>
      <c r="O74" s="88">
        <v>7</v>
      </c>
      <c r="P74" s="89">
        <f t="shared" si="39"/>
        <v>5700.7259999999997</v>
      </c>
      <c r="Q74" s="90">
        <f t="shared" si="40"/>
        <v>19002.419999999998</v>
      </c>
      <c r="R74" s="90">
        <f t="shared" si="41"/>
        <v>26397.963600000003</v>
      </c>
      <c r="S74" s="91"/>
      <c r="T74" s="92"/>
      <c r="U74" s="32"/>
      <c r="V74" s="32"/>
      <c r="W74" s="32"/>
      <c r="X74" s="93"/>
      <c r="Y74" s="32"/>
      <c r="Z74" s="32"/>
      <c r="AA74" s="32">
        <v>0</v>
      </c>
      <c r="AB74" s="32">
        <v>0</v>
      </c>
      <c r="AC74" s="32"/>
      <c r="AD74" s="32">
        <v>0</v>
      </c>
      <c r="AE74" s="32">
        <v>0</v>
      </c>
      <c r="AF74" s="32">
        <v>0</v>
      </c>
      <c r="AG74" s="32">
        <v>0</v>
      </c>
      <c r="AH74" s="32">
        <v>0</v>
      </c>
      <c r="AI74" s="32">
        <v>0</v>
      </c>
      <c r="AJ74" s="93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94">
        <f t="shared" si="7"/>
        <v>0</v>
      </c>
      <c r="AV74" s="95">
        <f t="shared" si="8"/>
        <v>0</v>
      </c>
      <c r="AW74" s="95">
        <f t="shared" si="9"/>
        <v>0</v>
      </c>
      <c r="AX74" s="95">
        <f t="shared" si="10"/>
        <v>0</v>
      </c>
      <c r="AY74" s="95">
        <f t="shared" si="11"/>
        <v>0</v>
      </c>
      <c r="AZ74" s="95">
        <f t="shared" si="12"/>
        <v>0</v>
      </c>
      <c r="BA74" s="95">
        <f t="shared" si="13"/>
        <v>0</v>
      </c>
      <c r="BB74" s="95">
        <f t="shared" si="42"/>
        <v>0</v>
      </c>
      <c r="BC74" s="96">
        <f t="shared" si="14"/>
        <v>0</v>
      </c>
      <c r="BD74" s="96">
        <f t="shared" si="15"/>
        <v>0</v>
      </c>
      <c r="BE74" s="96">
        <f t="shared" si="51"/>
        <v>0</v>
      </c>
      <c r="BF74" s="96">
        <f t="shared" si="17"/>
        <v>0</v>
      </c>
      <c r="BG74" s="96">
        <f t="shared" si="18"/>
        <v>0</v>
      </c>
      <c r="BH74" s="96">
        <f t="shared" si="19"/>
        <v>0</v>
      </c>
      <c r="BI74" s="96">
        <f t="shared" si="20"/>
        <v>0</v>
      </c>
      <c r="BJ74" s="96">
        <f t="shared" si="21"/>
        <v>0</v>
      </c>
      <c r="BK74" s="96">
        <f t="shared" si="22"/>
        <v>0</v>
      </c>
      <c r="BL74" s="96">
        <f t="shared" si="23"/>
        <v>0</v>
      </c>
      <c r="BM74" s="96">
        <f t="shared" si="24"/>
        <v>0</v>
      </c>
      <c r="BN74" s="96"/>
      <c r="BO74" s="95"/>
      <c r="BP74" s="95">
        <f t="shared" si="25"/>
        <v>0</v>
      </c>
      <c r="BQ74" s="95"/>
      <c r="BR74" s="95"/>
      <c r="BS74" s="95">
        <f t="shared" si="26"/>
        <v>0</v>
      </c>
      <c r="BT74" s="95">
        <f t="shared" si="27"/>
        <v>0</v>
      </c>
      <c r="BU74" s="95">
        <f t="shared" si="28"/>
        <v>0</v>
      </c>
      <c r="BV74" s="95">
        <f t="shared" si="29"/>
        <v>0</v>
      </c>
      <c r="BW74" s="95"/>
      <c r="BX74" s="95"/>
      <c r="BY74" s="95"/>
      <c r="BZ74" s="95"/>
      <c r="CA74" s="95">
        <f t="shared" si="43"/>
        <v>0</v>
      </c>
      <c r="CB74" s="97">
        <f t="shared" si="48"/>
        <v>0</v>
      </c>
      <c r="CC74" s="95"/>
      <c r="CD74" s="95"/>
      <c r="CE74" s="95">
        <f t="shared" si="31"/>
        <v>0</v>
      </c>
      <c r="CF74" s="95">
        <f t="shared" si="44"/>
        <v>0</v>
      </c>
      <c r="CG74" s="113"/>
      <c r="CH74" s="22"/>
      <c r="CI74" s="98">
        <f t="shared" si="32"/>
        <v>0</v>
      </c>
      <c r="CJ74" s="95">
        <f t="shared" si="33"/>
        <v>0</v>
      </c>
      <c r="CK74" s="95">
        <f t="shared" si="45"/>
        <v>0</v>
      </c>
      <c r="CL74" s="95"/>
      <c r="CM74" s="99"/>
      <c r="CN74" s="99"/>
      <c r="CO74" s="110"/>
      <c r="CP74" s="99"/>
      <c r="CQ74" s="99"/>
      <c r="CR74" s="99"/>
      <c r="CS74" s="95"/>
      <c r="CT74" s="95"/>
      <c r="CU74" s="96"/>
      <c r="CV74" s="96"/>
      <c r="CW74" s="96"/>
      <c r="CX74" s="96"/>
      <c r="CY74" s="96"/>
      <c r="CZ74" s="93">
        <f t="shared" si="49"/>
        <v>0</v>
      </c>
      <c r="DA74" s="93">
        <f t="shared" si="50"/>
        <v>0</v>
      </c>
      <c r="DB74" s="95">
        <f t="shared" si="46"/>
        <v>0</v>
      </c>
      <c r="DC74" s="100">
        <f t="shared" si="47"/>
        <v>0</v>
      </c>
      <c r="DD74" s="100"/>
      <c r="DE74" s="100">
        <f t="shared" si="38"/>
        <v>0</v>
      </c>
      <c r="DF74" s="13"/>
      <c r="DG74" s="2"/>
      <c r="DH74" s="46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</row>
    <row r="75" spans="1:156" s="1" customFormat="1" hidden="1" x14ac:dyDescent="0.2">
      <c r="A75" s="88">
        <f t="shared" si="3"/>
        <v>509753</v>
      </c>
      <c r="B75" s="21">
        <v>9753</v>
      </c>
      <c r="C75" s="21" t="s">
        <v>98</v>
      </c>
      <c r="D75" s="84" t="s">
        <v>167</v>
      </c>
      <c r="E75" s="114" t="s">
        <v>201</v>
      </c>
      <c r="F75" s="85">
        <v>0</v>
      </c>
      <c r="G75" s="84"/>
      <c r="H75" s="85"/>
      <c r="I75" s="86"/>
      <c r="J75" s="85"/>
      <c r="K75" s="21" t="s">
        <v>10</v>
      </c>
      <c r="L75" s="21"/>
      <c r="M75" s="87"/>
      <c r="N75" s="88"/>
      <c r="O75" s="88">
        <v>3</v>
      </c>
      <c r="P75" s="89">
        <f t="shared" si="39"/>
        <v>5700.7259999999997</v>
      </c>
      <c r="Q75" s="90">
        <f t="shared" si="40"/>
        <v>19002.419999999998</v>
      </c>
      <c r="R75" s="90">
        <f t="shared" si="41"/>
        <v>26397.963600000003</v>
      </c>
      <c r="S75" s="91"/>
      <c r="T75" s="92"/>
      <c r="U75" s="32"/>
      <c r="V75" s="32"/>
      <c r="W75" s="32"/>
      <c r="X75" s="93"/>
      <c r="Y75" s="32"/>
      <c r="Z75" s="32"/>
      <c r="AA75" s="32">
        <v>0</v>
      </c>
      <c r="AB75" s="32">
        <v>0</v>
      </c>
      <c r="AC75" s="32"/>
      <c r="AD75" s="32">
        <v>0</v>
      </c>
      <c r="AE75" s="32">
        <v>0</v>
      </c>
      <c r="AF75" s="32">
        <v>0</v>
      </c>
      <c r="AG75" s="32">
        <v>0</v>
      </c>
      <c r="AH75" s="32">
        <v>0</v>
      </c>
      <c r="AI75" s="32">
        <v>0</v>
      </c>
      <c r="AJ75" s="93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94">
        <f t="shared" si="7"/>
        <v>0</v>
      </c>
      <c r="AV75" s="95">
        <f t="shared" si="8"/>
        <v>0</v>
      </c>
      <c r="AW75" s="95">
        <f t="shared" si="9"/>
        <v>0</v>
      </c>
      <c r="AX75" s="95">
        <f t="shared" si="10"/>
        <v>0</v>
      </c>
      <c r="AY75" s="95">
        <f t="shared" si="11"/>
        <v>0</v>
      </c>
      <c r="AZ75" s="95">
        <f t="shared" si="12"/>
        <v>0</v>
      </c>
      <c r="BA75" s="95">
        <f t="shared" si="13"/>
        <v>0</v>
      </c>
      <c r="BB75" s="95">
        <f t="shared" si="42"/>
        <v>0</v>
      </c>
      <c r="BC75" s="96">
        <f t="shared" si="14"/>
        <v>0</v>
      </c>
      <c r="BD75" s="96">
        <f t="shared" si="15"/>
        <v>0</v>
      </c>
      <c r="BE75" s="96">
        <f t="shared" si="51"/>
        <v>0</v>
      </c>
      <c r="BF75" s="96">
        <f t="shared" si="17"/>
        <v>0</v>
      </c>
      <c r="BG75" s="96">
        <f t="shared" si="18"/>
        <v>0</v>
      </c>
      <c r="BH75" s="96">
        <f t="shared" si="19"/>
        <v>0</v>
      </c>
      <c r="BI75" s="96">
        <f t="shared" si="20"/>
        <v>0</v>
      </c>
      <c r="BJ75" s="96">
        <f t="shared" si="21"/>
        <v>0</v>
      </c>
      <c r="BK75" s="96">
        <f t="shared" si="22"/>
        <v>0</v>
      </c>
      <c r="BL75" s="96">
        <f t="shared" si="23"/>
        <v>0</v>
      </c>
      <c r="BM75" s="96">
        <f t="shared" si="24"/>
        <v>0</v>
      </c>
      <c r="BN75" s="96"/>
      <c r="BO75" s="95"/>
      <c r="BP75" s="95">
        <f t="shared" si="25"/>
        <v>0</v>
      </c>
      <c r="BQ75" s="95"/>
      <c r="BR75" s="95"/>
      <c r="BS75" s="95">
        <f t="shared" si="26"/>
        <v>0</v>
      </c>
      <c r="BT75" s="95">
        <f t="shared" si="27"/>
        <v>0</v>
      </c>
      <c r="BU75" s="95">
        <f t="shared" si="28"/>
        <v>0</v>
      </c>
      <c r="BV75" s="95">
        <f t="shared" si="29"/>
        <v>0</v>
      </c>
      <c r="BW75" s="95"/>
      <c r="BX75" s="95"/>
      <c r="BY75" s="95"/>
      <c r="BZ75" s="95"/>
      <c r="CA75" s="95">
        <f t="shared" si="43"/>
        <v>0</v>
      </c>
      <c r="CB75" s="97">
        <f t="shared" si="48"/>
        <v>0</v>
      </c>
      <c r="CC75" s="95"/>
      <c r="CD75" s="95"/>
      <c r="CE75" s="95">
        <f t="shared" si="31"/>
        <v>0</v>
      </c>
      <c r="CF75" s="95">
        <f t="shared" si="44"/>
        <v>0</v>
      </c>
      <c r="CG75" s="113"/>
      <c r="CH75" s="22"/>
      <c r="CI75" s="98">
        <f t="shared" si="32"/>
        <v>0</v>
      </c>
      <c r="CJ75" s="95">
        <f t="shared" si="33"/>
        <v>0</v>
      </c>
      <c r="CK75" s="95">
        <f t="shared" si="45"/>
        <v>0</v>
      </c>
      <c r="CL75" s="95"/>
      <c r="CM75" s="99"/>
      <c r="CN75" s="99"/>
      <c r="CO75" s="110"/>
      <c r="CP75" s="99"/>
      <c r="CQ75" s="99"/>
      <c r="CR75" s="99"/>
      <c r="CS75" s="95"/>
      <c r="CT75" s="95"/>
      <c r="CU75" s="96"/>
      <c r="CV75" s="96"/>
      <c r="CW75" s="96"/>
      <c r="CX75" s="96"/>
      <c r="CY75" s="96"/>
      <c r="CZ75" s="93">
        <f t="shared" si="49"/>
        <v>0</v>
      </c>
      <c r="DA75" s="93">
        <f t="shared" si="50"/>
        <v>0</v>
      </c>
      <c r="DB75" s="95">
        <f t="shared" si="46"/>
        <v>0</v>
      </c>
      <c r="DC75" s="100">
        <f t="shared" si="47"/>
        <v>0</v>
      </c>
      <c r="DD75" s="100"/>
      <c r="DE75" s="100">
        <f t="shared" si="38"/>
        <v>0</v>
      </c>
      <c r="DF75" s="13"/>
      <c r="DG75" s="2"/>
      <c r="DH75" s="46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</row>
    <row r="76" spans="1:156" s="1" customFormat="1" x14ac:dyDescent="0.2">
      <c r="A76" s="88">
        <f t="shared" si="3"/>
        <v>509847</v>
      </c>
      <c r="B76" s="21">
        <v>9847</v>
      </c>
      <c r="C76" s="21" t="s">
        <v>98</v>
      </c>
      <c r="D76" s="84" t="s">
        <v>183</v>
      </c>
      <c r="E76" s="114" t="s">
        <v>201</v>
      </c>
      <c r="F76" s="85">
        <v>0</v>
      </c>
      <c r="G76" s="84"/>
      <c r="H76" s="85"/>
      <c r="I76" s="86"/>
      <c r="J76" s="85"/>
      <c r="K76" s="21" t="s">
        <v>8</v>
      </c>
      <c r="L76" s="21"/>
      <c r="M76" s="87"/>
      <c r="N76" s="88"/>
      <c r="O76" s="88">
        <v>0</v>
      </c>
      <c r="P76" s="89">
        <f t="shared" si="39"/>
        <v>5401.2359999999999</v>
      </c>
      <c r="Q76" s="90">
        <f t="shared" si="40"/>
        <v>18004.12</v>
      </c>
      <c r="R76" s="90">
        <f t="shared" si="41"/>
        <v>25011.1211</v>
      </c>
      <c r="S76" s="91"/>
      <c r="T76" s="92"/>
      <c r="U76" s="32"/>
      <c r="V76" s="32"/>
      <c r="W76" s="32"/>
      <c r="X76" s="93"/>
      <c r="Y76" s="32"/>
      <c r="Z76" s="32"/>
      <c r="AA76" s="32">
        <v>15</v>
      </c>
      <c r="AB76" s="32">
        <v>0</v>
      </c>
      <c r="AC76" s="32"/>
      <c r="AD76" s="32">
        <v>0</v>
      </c>
      <c r="AE76" s="32">
        <v>0</v>
      </c>
      <c r="AF76" s="32">
        <v>0</v>
      </c>
      <c r="AG76" s="32">
        <v>0</v>
      </c>
      <c r="AH76" s="32">
        <v>0</v>
      </c>
      <c r="AI76" s="32">
        <v>3.625</v>
      </c>
      <c r="AJ76" s="93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94">
        <f t="shared" si="7"/>
        <v>0</v>
      </c>
      <c r="AV76" s="95">
        <f t="shared" si="8"/>
        <v>0</v>
      </c>
      <c r="AW76" s="95">
        <f t="shared" si="9"/>
        <v>0</v>
      </c>
      <c r="AX76" s="95">
        <f t="shared" si="10"/>
        <v>0</v>
      </c>
      <c r="AY76" s="95">
        <f t="shared" si="11"/>
        <v>0</v>
      </c>
      <c r="AZ76" s="95">
        <f t="shared" si="12"/>
        <v>0</v>
      </c>
      <c r="BA76" s="95">
        <f t="shared" si="13"/>
        <v>0</v>
      </c>
      <c r="BB76" s="95">
        <f t="shared" si="42"/>
        <v>33757.724999999999</v>
      </c>
      <c r="BC76" s="96">
        <f t="shared" si="14"/>
        <v>0</v>
      </c>
      <c r="BD76" s="96">
        <f t="shared" si="15"/>
        <v>0</v>
      </c>
      <c r="BE76" s="96">
        <f t="shared" si="51"/>
        <v>0</v>
      </c>
      <c r="BF76" s="96">
        <f t="shared" si="17"/>
        <v>0</v>
      </c>
      <c r="BG76" s="96">
        <f t="shared" si="18"/>
        <v>0</v>
      </c>
      <c r="BH76" s="96">
        <f t="shared" si="19"/>
        <v>0</v>
      </c>
      <c r="BI76" s="96">
        <f t="shared" si="20"/>
        <v>65264.934999999998</v>
      </c>
      <c r="BJ76" s="96">
        <f t="shared" si="21"/>
        <v>0</v>
      </c>
      <c r="BK76" s="96">
        <f t="shared" si="22"/>
        <v>0</v>
      </c>
      <c r="BL76" s="96">
        <f t="shared" si="23"/>
        <v>0</v>
      </c>
      <c r="BM76" s="96">
        <f t="shared" si="24"/>
        <v>0</v>
      </c>
      <c r="BN76" s="96"/>
      <c r="BO76" s="95"/>
      <c r="BP76" s="95">
        <f t="shared" si="25"/>
        <v>0</v>
      </c>
      <c r="BQ76" s="95"/>
      <c r="BR76" s="95"/>
      <c r="BS76" s="95">
        <f t="shared" si="26"/>
        <v>0</v>
      </c>
      <c r="BT76" s="95">
        <f t="shared" si="27"/>
        <v>0</v>
      </c>
      <c r="BU76" s="95">
        <f t="shared" si="28"/>
        <v>0</v>
      </c>
      <c r="BV76" s="95">
        <f t="shared" si="29"/>
        <v>0</v>
      </c>
      <c r="BW76" s="95"/>
      <c r="BX76" s="95"/>
      <c r="BY76" s="95"/>
      <c r="BZ76" s="95"/>
      <c r="CA76" s="95">
        <f t="shared" si="43"/>
        <v>0</v>
      </c>
      <c r="CB76" s="97">
        <f t="shared" si="48"/>
        <v>99022.66</v>
      </c>
      <c r="CC76" s="95"/>
      <c r="CD76" s="95"/>
      <c r="CE76" s="95">
        <f t="shared" si="31"/>
        <v>-2970.6797999999999</v>
      </c>
      <c r="CF76" s="95">
        <f t="shared" si="44"/>
        <v>-990.22660000000008</v>
      </c>
      <c r="CG76" s="113"/>
      <c r="CH76" s="22"/>
      <c r="CI76" s="98">
        <f t="shared" si="32"/>
        <v>137562.27927199999</v>
      </c>
      <c r="CJ76" s="95">
        <f t="shared" si="33"/>
        <v>-4126.8683781599993</v>
      </c>
      <c r="CK76" s="95">
        <f t="shared" si="45"/>
        <v>-1375.6227927199998</v>
      </c>
      <c r="CL76" s="95"/>
      <c r="CM76" s="99"/>
      <c r="CN76" s="99"/>
      <c r="CO76" s="110"/>
      <c r="CP76" s="99"/>
      <c r="CQ76" s="99"/>
      <c r="CR76" s="99"/>
      <c r="CS76" s="95"/>
      <c r="CT76" s="95"/>
      <c r="CU76" s="96"/>
      <c r="CV76" s="96"/>
      <c r="CW76" s="96"/>
      <c r="CX76" s="96"/>
      <c r="CY76" s="96"/>
      <c r="CZ76" s="93">
        <f t="shared" si="49"/>
        <v>0</v>
      </c>
      <c r="DA76" s="93">
        <f t="shared" si="50"/>
        <v>0</v>
      </c>
      <c r="DB76" s="95">
        <f t="shared" si="46"/>
        <v>227121.54170112</v>
      </c>
      <c r="DC76" s="100">
        <f t="shared" si="47"/>
        <v>227122</v>
      </c>
      <c r="DD76" s="100"/>
      <c r="DE76" s="100">
        <f t="shared" si="38"/>
        <v>-227122</v>
      </c>
      <c r="DF76" s="13"/>
      <c r="DG76" s="2"/>
      <c r="DH76" s="46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</row>
    <row r="77" spans="1:156" s="1" customFormat="1" x14ac:dyDescent="0.2">
      <c r="A77" s="88">
        <f t="shared" si="3"/>
        <v>509702</v>
      </c>
      <c r="B77" s="21">
        <v>9702</v>
      </c>
      <c r="C77" s="21" t="s">
        <v>98</v>
      </c>
      <c r="D77" s="84" t="s">
        <v>139</v>
      </c>
      <c r="E77" s="115" t="s">
        <v>202</v>
      </c>
      <c r="F77" s="85">
        <v>0</v>
      </c>
      <c r="G77" s="84"/>
      <c r="H77" s="85"/>
      <c r="I77" s="86"/>
      <c r="J77" s="85"/>
      <c r="K77" s="21" t="s">
        <v>10</v>
      </c>
      <c r="L77" s="21"/>
      <c r="M77" s="87"/>
      <c r="N77" s="88"/>
      <c r="O77" s="88">
        <v>20</v>
      </c>
      <c r="P77" s="89">
        <f t="shared" si="39"/>
        <v>5700.7259999999997</v>
      </c>
      <c r="Q77" s="90">
        <f t="shared" si="40"/>
        <v>19002.419999999998</v>
      </c>
      <c r="R77" s="90">
        <f t="shared" si="41"/>
        <v>26397.963600000003</v>
      </c>
      <c r="S77" s="91"/>
      <c r="T77" s="92"/>
      <c r="U77" s="32"/>
      <c r="V77" s="32"/>
      <c r="W77" s="32"/>
      <c r="X77" s="93"/>
      <c r="Y77" s="32"/>
      <c r="Z77" s="32"/>
      <c r="AA77" s="32">
        <v>15</v>
      </c>
      <c r="AB77" s="32">
        <v>0</v>
      </c>
      <c r="AC77" s="32"/>
      <c r="AD77" s="32">
        <v>0</v>
      </c>
      <c r="AE77" s="32">
        <v>0</v>
      </c>
      <c r="AF77" s="32">
        <v>0</v>
      </c>
      <c r="AG77" s="32">
        <v>0</v>
      </c>
      <c r="AH77" s="32">
        <v>0</v>
      </c>
      <c r="AI77" s="32">
        <v>2.75</v>
      </c>
      <c r="AJ77" s="93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94">
        <f t="shared" si="7"/>
        <v>0</v>
      </c>
      <c r="AV77" s="95">
        <f t="shared" si="8"/>
        <v>0</v>
      </c>
      <c r="AW77" s="95">
        <f t="shared" si="9"/>
        <v>0</v>
      </c>
      <c r="AX77" s="95">
        <f t="shared" si="10"/>
        <v>0</v>
      </c>
      <c r="AY77" s="95">
        <f t="shared" si="11"/>
        <v>0</v>
      </c>
      <c r="AZ77" s="95">
        <f t="shared" si="12"/>
        <v>0</v>
      </c>
      <c r="BA77" s="95">
        <f t="shared" si="13"/>
        <v>0</v>
      </c>
      <c r="BB77" s="95">
        <f t="shared" si="42"/>
        <v>35629.537499999999</v>
      </c>
      <c r="BC77" s="96">
        <f t="shared" si="14"/>
        <v>0</v>
      </c>
      <c r="BD77" s="96">
        <f t="shared" si="15"/>
        <v>0</v>
      </c>
      <c r="BE77" s="96">
        <f t="shared" si="51"/>
        <v>0</v>
      </c>
      <c r="BF77" s="96">
        <f t="shared" si="17"/>
        <v>0</v>
      </c>
      <c r="BG77" s="96">
        <f t="shared" si="18"/>
        <v>0</v>
      </c>
      <c r="BH77" s="96">
        <f t="shared" si="19"/>
        <v>0</v>
      </c>
      <c r="BI77" s="96">
        <f t="shared" si="20"/>
        <v>52256.654999999999</v>
      </c>
      <c r="BJ77" s="96">
        <f t="shared" si="21"/>
        <v>0</v>
      </c>
      <c r="BK77" s="96">
        <f t="shared" si="22"/>
        <v>0</v>
      </c>
      <c r="BL77" s="96">
        <f t="shared" si="23"/>
        <v>0</v>
      </c>
      <c r="BM77" s="96">
        <f t="shared" si="24"/>
        <v>0</v>
      </c>
      <c r="BN77" s="96"/>
      <c r="BO77" s="95"/>
      <c r="BP77" s="95">
        <f t="shared" si="25"/>
        <v>0</v>
      </c>
      <c r="BQ77" s="95"/>
      <c r="BR77" s="95"/>
      <c r="BS77" s="95">
        <f t="shared" si="26"/>
        <v>0</v>
      </c>
      <c r="BT77" s="95">
        <f t="shared" si="27"/>
        <v>0</v>
      </c>
      <c r="BU77" s="95">
        <f t="shared" si="28"/>
        <v>0</v>
      </c>
      <c r="BV77" s="95">
        <f t="shared" si="29"/>
        <v>0</v>
      </c>
      <c r="BW77" s="95"/>
      <c r="BX77" s="95"/>
      <c r="BY77" s="95"/>
      <c r="BZ77" s="95"/>
      <c r="CA77" s="95">
        <f t="shared" si="43"/>
        <v>0</v>
      </c>
      <c r="CB77" s="97">
        <f t="shared" si="48"/>
        <v>87886.192500000005</v>
      </c>
      <c r="CC77" s="95"/>
      <c r="CD77" s="95"/>
      <c r="CE77" s="95">
        <f t="shared" si="31"/>
        <v>-2636.585775</v>
      </c>
      <c r="CF77" s="95">
        <f t="shared" si="44"/>
        <v>-1318.2928875</v>
      </c>
      <c r="CG77" s="113"/>
      <c r="CH77" s="22"/>
      <c r="CI77" s="98">
        <f t="shared" si="32"/>
        <v>122091.49862099999</v>
      </c>
      <c r="CJ77" s="95">
        <f t="shared" si="33"/>
        <v>-3662.7449586299995</v>
      </c>
      <c r="CK77" s="95">
        <f t="shared" si="45"/>
        <v>-1831.3724793149997</v>
      </c>
      <c r="CL77" s="95"/>
      <c r="CM77" s="99"/>
      <c r="CN77" s="99"/>
      <c r="CO77" s="110"/>
      <c r="CP77" s="99"/>
      <c r="CQ77" s="99"/>
      <c r="CR77" s="99"/>
      <c r="CS77" s="95"/>
      <c r="CT77" s="95"/>
      <c r="CU77" s="96"/>
      <c r="CV77" s="96"/>
      <c r="CW77" s="96"/>
      <c r="CX77" s="96"/>
      <c r="CY77" s="96"/>
      <c r="CZ77" s="93">
        <f t="shared" si="49"/>
        <v>0</v>
      </c>
      <c r="DA77" s="93">
        <f t="shared" si="50"/>
        <v>0</v>
      </c>
      <c r="DB77" s="95">
        <f t="shared" si="46"/>
        <v>200528.69502055497</v>
      </c>
      <c r="DC77" s="100">
        <f t="shared" si="47"/>
        <v>200529</v>
      </c>
      <c r="DD77" s="100"/>
      <c r="DE77" s="100">
        <f t="shared" si="38"/>
        <v>-200529</v>
      </c>
      <c r="DF77" s="13"/>
      <c r="DG77" s="2"/>
      <c r="DH77" s="46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</row>
    <row r="78" spans="1:156" s="1" customFormat="1" x14ac:dyDescent="0.2">
      <c r="A78" s="88">
        <f t="shared" si="3"/>
        <v>509848</v>
      </c>
      <c r="B78" s="21">
        <v>9848</v>
      </c>
      <c r="C78" s="21" t="s">
        <v>98</v>
      </c>
      <c r="D78" s="84" t="s">
        <v>184</v>
      </c>
      <c r="E78" s="114" t="s">
        <v>201</v>
      </c>
      <c r="F78" s="85">
        <v>0</v>
      </c>
      <c r="G78" s="84"/>
      <c r="H78" s="85"/>
      <c r="I78" s="86"/>
      <c r="J78" s="85"/>
      <c r="K78" s="21" t="s">
        <v>8</v>
      </c>
      <c r="L78" s="21"/>
      <c r="M78" s="87"/>
      <c r="N78" s="88"/>
      <c r="O78" s="88">
        <v>0</v>
      </c>
      <c r="P78" s="89">
        <f t="shared" si="39"/>
        <v>5401.2359999999999</v>
      </c>
      <c r="Q78" s="90">
        <f t="shared" si="40"/>
        <v>18004.12</v>
      </c>
      <c r="R78" s="90">
        <f t="shared" si="41"/>
        <v>25011.1211</v>
      </c>
      <c r="S78" s="91"/>
      <c r="T78" s="92"/>
      <c r="U78" s="32"/>
      <c r="V78" s="32"/>
      <c r="W78" s="32"/>
      <c r="X78" s="93"/>
      <c r="Y78" s="32"/>
      <c r="Z78" s="32"/>
      <c r="AA78" s="32">
        <v>15</v>
      </c>
      <c r="AB78" s="32">
        <v>0</v>
      </c>
      <c r="AC78" s="32"/>
      <c r="AD78" s="32">
        <v>0</v>
      </c>
      <c r="AE78" s="32">
        <v>0</v>
      </c>
      <c r="AF78" s="32">
        <v>0</v>
      </c>
      <c r="AG78" s="32">
        <v>0</v>
      </c>
      <c r="AH78" s="32">
        <v>0</v>
      </c>
      <c r="AI78" s="32">
        <v>4.75</v>
      </c>
      <c r="AJ78" s="93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94">
        <f t="shared" si="7"/>
        <v>0</v>
      </c>
      <c r="AV78" s="95">
        <f t="shared" si="8"/>
        <v>0</v>
      </c>
      <c r="AW78" s="95">
        <f t="shared" si="9"/>
        <v>0</v>
      </c>
      <c r="AX78" s="95">
        <f t="shared" si="10"/>
        <v>0</v>
      </c>
      <c r="AY78" s="95">
        <f t="shared" si="11"/>
        <v>0</v>
      </c>
      <c r="AZ78" s="95">
        <f t="shared" si="12"/>
        <v>0</v>
      </c>
      <c r="BA78" s="95">
        <f t="shared" si="13"/>
        <v>0</v>
      </c>
      <c r="BB78" s="95">
        <f t="shared" si="42"/>
        <v>33757.724999999999</v>
      </c>
      <c r="BC78" s="96">
        <f t="shared" si="14"/>
        <v>0</v>
      </c>
      <c r="BD78" s="96">
        <f t="shared" si="15"/>
        <v>0</v>
      </c>
      <c r="BE78" s="96">
        <f t="shared" si="51"/>
        <v>0</v>
      </c>
      <c r="BF78" s="96">
        <f t="shared" si="17"/>
        <v>0</v>
      </c>
      <c r="BG78" s="96">
        <f t="shared" si="18"/>
        <v>0</v>
      </c>
      <c r="BH78" s="96">
        <f t="shared" si="19"/>
        <v>0</v>
      </c>
      <c r="BI78" s="96">
        <f t="shared" si="20"/>
        <v>85519.569999999992</v>
      </c>
      <c r="BJ78" s="96">
        <f t="shared" si="21"/>
        <v>0</v>
      </c>
      <c r="BK78" s="96">
        <f t="shared" si="22"/>
        <v>0</v>
      </c>
      <c r="BL78" s="96">
        <f t="shared" si="23"/>
        <v>0</v>
      </c>
      <c r="BM78" s="96">
        <f t="shared" si="24"/>
        <v>0</v>
      </c>
      <c r="BN78" s="96"/>
      <c r="BO78" s="95"/>
      <c r="BP78" s="95">
        <f t="shared" si="25"/>
        <v>0</v>
      </c>
      <c r="BQ78" s="95"/>
      <c r="BR78" s="95"/>
      <c r="BS78" s="95">
        <f t="shared" si="26"/>
        <v>0</v>
      </c>
      <c r="BT78" s="95">
        <f t="shared" si="27"/>
        <v>0</v>
      </c>
      <c r="BU78" s="95">
        <f t="shared" si="28"/>
        <v>0</v>
      </c>
      <c r="BV78" s="95">
        <f t="shared" si="29"/>
        <v>0</v>
      </c>
      <c r="BW78" s="95"/>
      <c r="BX78" s="95"/>
      <c r="BY78" s="95"/>
      <c r="BZ78" s="95"/>
      <c r="CA78" s="95">
        <f t="shared" si="43"/>
        <v>0</v>
      </c>
      <c r="CB78" s="97">
        <f t="shared" si="48"/>
        <v>119277.29499999998</v>
      </c>
      <c r="CC78" s="95"/>
      <c r="CD78" s="95"/>
      <c r="CE78" s="95">
        <f t="shared" si="31"/>
        <v>-3578.3188499999992</v>
      </c>
      <c r="CF78" s="95">
        <f t="shared" si="44"/>
        <v>-1192.7729499999998</v>
      </c>
      <c r="CG78" s="113"/>
      <c r="CH78" s="22"/>
      <c r="CI78" s="98">
        <f t="shared" si="32"/>
        <v>165700.01821399995</v>
      </c>
      <c r="CJ78" s="95">
        <f t="shared" si="33"/>
        <v>-4971.0005464199985</v>
      </c>
      <c r="CK78" s="95">
        <f t="shared" si="45"/>
        <v>-1657.0001821399997</v>
      </c>
      <c r="CL78" s="95"/>
      <c r="CM78" s="99"/>
      <c r="CN78" s="99"/>
      <c r="CO78" s="110"/>
      <c r="CP78" s="99"/>
      <c r="CQ78" s="99"/>
      <c r="CR78" s="99"/>
      <c r="CS78" s="95"/>
      <c r="CT78" s="95"/>
      <c r="CU78" s="96"/>
      <c r="CV78" s="96"/>
      <c r="CW78" s="96"/>
      <c r="CX78" s="96"/>
      <c r="CY78" s="96"/>
      <c r="CZ78" s="93">
        <f t="shared" si="49"/>
        <v>0</v>
      </c>
      <c r="DA78" s="93">
        <f t="shared" si="50"/>
        <v>0</v>
      </c>
      <c r="DB78" s="95">
        <f t="shared" si="46"/>
        <v>273578.22068543994</v>
      </c>
      <c r="DC78" s="100">
        <f t="shared" si="47"/>
        <v>273578</v>
      </c>
      <c r="DD78" s="100"/>
      <c r="DE78" s="100">
        <f t="shared" si="38"/>
        <v>-273578</v>
      </c>
      <c r="DF78" s="13"/>
      <c r="DG78" s="2"/>
      <c r="DH78" s="46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</row>
    <row r="79" spans="1:156" s="1" customFormat="1" hidden="1" x14ac:dyDescent="0.2">
      <c r="A79" s="88">
        <f t="shared" si="3"/>
        <v>509704</v>
      </c>
      <c r="B79" s="21">
        <v>9704</v>
      </c>
      <c r="C79" s="21" t="s">
        <v>98</v>
      </c>
      <c r="D79" s="84" t="s">
        <v>140</v>
      </c>
      <c r="E79" s="115" t="s">
        <v>202</v>
      </c>
      <c r="F79" s="85">
        <v>3</v>
      </c>
      <c r="G79" s="84"/>
      <c r="H79" s="85"/>
      <c r="I79" s="86"/>
      <c r="J79" s="85"/>
      <c r="K79" s="21" t="s">
        <v>10</v>
      </c>
      <c r="L79" s="21"/>
      <c r="M79" s="87"/>
      <c r="N79" s="88"/>
      <c r="O79" s="88">
        <v>9</v>
      </c>
      <c r="P79" s="89">
        <f t="shared" si="39"/>
        <v>5700.7259999999997</v>
      </c>
      <c r="Q79" s="90">
        <f t="shared" si="40"/>
        <v>19002.419999999998</v>
      </c>
      <c r="R79" s="90">
        <f t="shared" si="41"/>
        <v>26397.963600000003</v>
      </c>
      <c r="S79" s="91"/>
      <c r="T79" s="92"/>
      <c r="U79" s="32"/>
      <c r="V79" s="32"/>
      <c r="W79" s="32"/>
      <c r="X79" s="93"/>
      <c r="Y79" s="32"/>
      <c r="Z79" s="32"/>
      <c r="AA79" s="32">
        <v>0</v>
      </c>
      <c r="AB79" s="32">
        <v>0</v>
      </c>
      <c r="AC79" s="32"/>
      <c r="AD79" s="32">
        <v>0</v>
      </c>
      <c r="AE79" s="32">
        <v>0</v>
      </c>
      <c r="AF79" s="32">
        <v>0</v>
      </c>
      <c r="AG79" s="32">
        <v>0</v>
      </c>
      <c r="AH79" s="32">
        <v>0</v>
      </c>
      <c r="AI79" s="32">
        <v>0</v>
      </c>
      <c r="AJ79" s="93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94">
        <f t="shared" si="7"/>
        <v>0</v>
      </c>
      <c r="AV79" s="95">
        <f t="shared" si="8"/>
        <v>0</v>
      </c>
      <c r="AW79" s="95">
        <f t="shared" si="9"/>
        <v>0</v>
      </c>
      <c r="AX79" s="95">
        <f t="shared" si="10"/>
        <v>0</v>
      </c>
      <c r="AY79" s="95">
        <f t="shared" si="11"/>
        <v>0</v>
      </c>
      <c r="AZ79" s="95">
        <f t="shared" si="12"/>
        <v>0</v>
      </c>
      <c r="BA79" s="95">
        <f t="shared" si="13"/>
        <v>0</v>
      </c>
      <c r="BB79" s="95">
        <f t="shared" si="42"/>
        <v>0</v>
      </c>
      <c r="BC79" s="96">
        <f t="shared" si="14"/>
        <v>0</v>
      </c>
      <c r="BD79" s="96">
        <f t="shared" si="15"/>
        <v>0</v>
      </c>
      <c r="BE79" s="96">
        <f t="shared" si="51"/>
        <v>0</v>
      </c>
      <c r="BF79" s="96">
        <f t="shared" si="17"/>
        <v>0</v>
      </c>
      <c r="BG79" s="96">
        <f t="shared" si="18"/>
        <v>0</v>
      </c>
      <c r="BH79" s="96">
        <f t="shared" si="19"/>
        <v>0</v>
      </c>
      <c r="BI79" s="96">
        <f t="shared" si="20"/>
        <v>0</v>
      </c>
      <c r="BJ79" s="96">
        <f t="shared" si="21"/>
        <v>0</v>
      </c>
      <c r="BK79" s="96">
        <f t="shared" si="22"/>
        <v>0</v>
      </c>
      <c r="BL79" s="96">
        <f t="shared" si="23"/>
        <v>0</v>
      </c>
      <c r="BM79" s="96">
        <f t="shared" si="24"/>
        <v>0</v>
      </c>
      <c r="BN79" s="96"/>
      <c r="BO79" s="95"/>
      <c r="BP79" s="95">
        <f t="shared" si="25"/>
        <v>0</v>
      </c>
      <c r="BQ79" s="95"/>
      <c r="BR79" s="95"/>
      <c r="BS79" s="95">
        <f t="shared" si="26"/>
        <v>0</v>
      </c>
      <c r="BT79" s="95">
        <f t="shared" si="27"/>
        <v>0</v>
      </c>
      <c r="BU79" s="95">
        <f t="shared" si="28"/>
        <v>0</v>
      </c>
      <c r="BV79" s="95">
        <f t="shared" si="29"/>
        <v>0</v>
      </c>
      <c r="BW79" s="95"/>
      <c r="BX79" s="95"/>
      <c r="BY79" s="95"/>
      <c r="BZ79" s="95"/>
      <c r="CA79" s="95">
        <f t="shared" si="43"/>
        <v>0</v>
      </c>
      <c r="CB79" s="97">
        <f t="shared" si="48"/>
        <v>0</v>
      </c>
      <c r="CC79" s="95"/>
      <c r="CD79" s="95"/>
      <c r="CE79" s="95">
        <f t="shared" si="31"/>
        <v>0</v>
      </c>
      <c r="CF79" s="95">
        <f t="shared" si="44"/>
        <v>0</v>
      </c>
      <c r="CG79" s="113"/>
      <c r="CH79" s="22"/>
      <c r="CI79" s="98">
        <f t="shared" si="32"/>
        <v>0</v>
      </c>
      <c r="CJ79" s="95">
        <f t="shared" si="33"/>
        <v>0</v>
      </c>
      <c r="CK79" s="95">
        <f t="shared" si="45"/>
        <v>0</v>
      </c>
      <c r="CL79" s="95"/>
      <c r="CM79" s="99"/>
      <c r="CN79" s="99"/>
      <c r="CO79" s="110"/>
      <c r="CP79" s="99"/>
      <c r="CQ79" s="99"/>
      <c r="CR79" s="99"/>
      <c r="CS79" s="95"/>
      <c r="CT79" s="95"/>
      <c r="CU79" s="96"/>
      <c r="CV79" s="96"/>
      <c r="CW79" s="96"/>
      <c r="CX79" s="96"/>
      <c r="CY79" s="96"/>
      <c r="CZ79" s="93">
        <f t="shared" si="49"/>
        <v>0</v>
      </c>
      <c r="DA79" s="93">
        <f t="shared" si="50"/>
        <v>0</v>
      </c>
      <c r="DB79" s="95">
        <f t="shared" si="46"/>
        <v>0</v>
      </c>
      <c r="DC79" s="100">
        <f t="shared" si="47"/>
        <v>0</v>
      </c>
      <c r="DD79" s="100"/>
      <c r="DE79" s="100">
        <f t="shared" si="38"/>
        <v>0</v>
      </c>
      <c r="DF79" s="13"/>
      <c r="DG79" s="2"/>
      <c r="DH79" s="46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</row>
    <row r="80" spans="1:156" s="1" customFormat="1" x14ac:dyDescent="0.2">
      <c r="A80" s="88">
        <f t="shared" si="3"/>
        <v>509647</v>
      </c>
      <c r="B80" s="21">
        <v>9647</v>
      </c>
      <c r="C80" s="21" t="s">
        <v>98</v>
      </c>
      <c r="D80" s="84" t="s">
        <v>107</v>
      </c>
      <c r="E80" s="115" t="s">
        <v>202</v>
      </c>
      <c r="F80" s="85">
        <v>0</v>
      </c>
      <c r="G80" s="84"/>
      <c r="H80" s="85"/>
      <c r="I80" s="86"/>
      <c r="J80" s="85"/>
      <c r="K80" s="21" t="s">
        <v>8</v>
      </c>
      <c r="L80" s="21"/>
      <c r="M80" s="87"/>
      <c r="N80" s="88"/>
      <c r="O80" s="88">
        <v>8</v>
      </c>
      <c r="P80" s="89">
        <f t="shared" si="39"/>
        <v>5401.2359999999999</v>
      </c>
      <c r="Q80" s="90">
        <f t="shared" si="40"/>
        <v>18004.12</v>
      </c>
      <c r="R80" s="90">
        <f t="shared" si="41"/>
        <v>25011.1211</v>
      </c>
      <c r="S80" s="91"/>
      <c r="T80" s="92"/>
      <c r="U80" s="32"/>
      <c r="V80" s="32"/>
      <c r="W80" s="32"/>
      <c r="X80" s="93"/>
      <c r="Y80" s="32"/>
      <c r="Z80" s="32"/>
      <c r="AA80" s="32">
        <v>4</v>
      </c>
      <c r="AB80" s="32">
        <v>0</v>
      </c>
      <c r="AC80" s="32"/>
      <c r="AD80" s="32">
        <v>0</v>
      </c>
      <c r="AE80" s="32">
        <v>0</v>
      </c>
      <c r="AF80" s="32">
        <v>0</v>
      </c>
      <c r="AG80" s="32">
        <v>0</v>
      </c>
      <c r="AH80" s="32">
        <v>0</v>
      </c>
      <c r="AI80" s="32">
        <v>0</v>
      </c>
      <c r="AJ80" s="93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94">
        <f t="shared" si="7"/>
        <v>0</v>
      </c>
      <c r="AV80" s="95">
        <f t="shared" si="8"/>
        <v>0</v>
      </c>
      <c r="AW80" s="95">
        <f t="shared" si="9"/>
        <v>0</v>
      </c>
      <c r="AX80" s="95">
        <f t="shared" si="10"/>
        <v>0</v>
      </c>
      <c r="AY80" s="95">
        <f t="shared" si="11"/>
        <v>0</v>
      </c>
      <c r="AZ80" s="95">
        <f t="shared" si="12"/>
        <v>0</v>
      </c>
      <c r="BA80" s="95">
        <f t="shared" si="13"/>
        <v>0</v>
      </c>
      <c r="BB80" s="95">
        <f t="shared" si="42"/>
        <v>9002.06</v>
      </c>
      <c r="BC80" s="96">
        <f t="shared" si="14"/>
        <v>0</v>
      </c>
      <c r="BD80" s="96">
        <f t="shared" si="15"/>
        <v>0</v>
      </c>
      <c r="BE80" s="96">
        <f t="shared" si="51"/>
        <v>0</v>
      </c>
      <c r="BF80" s="96">
        <f t="shared" si="17"/>
        <v>0</v>
      </c>
      <c r="BG80" s="96">
        <f t="shared" si="18"/>
        <v>0</v>
      </c>
      <c r="BH80" s="96">
        <f t="shared" si="19"/>
        <v>0</v>
      </c>
      <c r="BI80" s="96">
        <f t="shared" si="20"/>
        <v>0</v>
      </c>
      <c r="BJ80" s="96">
        <f t="shared" si="21"/>
        <v>0</v>
      </c>
      <c r="BK80" s="96">
        <f t="shared" si="22"/>
        <v>0</v>
      </c>
      <c r="BL80" s="96">
        <f t="shared" si="23"/>
        <v>0</v>
      </c>
      <c r="BM80" s="96">
        <f t="shared" si="24"/>
        <v>0</v>
      </c>
      <c r="BN80" s="96"/>
      <c r="BO80" s="95"/>
      <c r="BP80" s="95">
        <f t="shared" si="25"/>
        <v>0</v>
      </c>
      <c r="BQ80" s="95"/>
      <c r="BR80" s="95"/>
      <c r="BS80" s="95">
        <f t="shared" si="26"/>
        <v>0</v>
      </c>
      <c r="BT80" s="95">
        <f t="shared" si="27"/>
        <v>0</v>
      </c>
      <c r="BU80" s="95">
        <f t="shared" si="28"/>
        <v>0</v>
      </c>
      <c r="BV80" s="95">
        <f t="shared" si="29"/>
        <v>0</v>
      </c>
      <c r="BW80" s="95"/>
      <c r="BX80" s="95"/>
      <c r="BY80" s="95"/>
      <c r="BZ80" s="95"/>
      <c r="CA80" s="95">
        <f t="shared" si="43"/>
        <v>0</v>
      </c>
      <c r="CB80" s="97">
        <f t="shared" si="48"/>
        <v>9002.06</v>
      </c>
      <c r="CC80" s="95"/>
      <c r="CD80" s="95"/>
      <c r="CE80" s="95">
        <f t="shared" si="31"/>
        <v>-270.06179999999995</v>
      </c>
      <c r="CF80" s="95">
        <f t="shared" si="44"/>
        <v>-135.03089999999997</v>
      </c>
      <c r="CG80" s="113"/>
      <c r="CH80" s="22"/>
      <c r="CI80" s="98">
        <f t="shared" si="32"/>
        <v>12505.661751999996</v>
      </c>
      <c r="CJ80" s="95">
        <f t="shared" si="33"/>
        <v>-375.16985255999987</v>
      </c>
      <c r="CK80" s="95">
        <f t="shared" si="45"/>
        <v>-187.58492627999993</v>
      </c>
      <c r="CL80" s="95"/>
      <c r="CM80" s="99"/>
      <c r="CN80" s="99"/>
      <c r="CO80" s="110"/>
      <c r="CP80" s="99"/>
      <c r="CQ80" s="99"/>
      <c r="CR80" s="99"/>
      <c r="CS80" s="95"/>
      <c r="CT80" s="95"/>
      <c r="CU80" s="96"/>
      <c r="CV80" s="96"/>
      <c r="CW80" s="96"/>
      <c r="CX80" s="96"/>
      <c r="CY80" s="96"/>
      <c r="CZ80" s="93">
        <f t="shared" si="49"/>
        <v>0</v>
      </c>
      <c r="DA80" s="93">
        <f t="shared" si="50"/>
        <v>0</v>
      </c>
      <c r="DB80" s="95">
        <f t="shared" si="46"/>
        <v>20539.874273159996</v>
      </c>
      <c r="DC80" s="100">
        <f t="shared" si="47"/>
        <v>20540</v>
      </c>
      <c r="DD80" s="100"/>
      <c r="DE80" s="100">
        <f t="shared" si="38"/>
        <v>-20540</v>
      </c>
      <c r="DF80" s="13"/>
      <c r="DG80" s="2"/>
      <c r="DH80" s="46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</row>
    <row r="81" spans="1:156" s="1" customFormat="1" x14ac:dyDescent="0.2">
      <c r="A81" s="88">
        <f t="shared" si="3"/>
        <v>509637</v>
      </c>
      <c r="B81" s="21">
        <v>9637</v>
      </c>
      <c r="C81" s="21" t="s">
        <v>98</v>
      </c>
      <c r="D81" s="84" t="s">
        <v>101</v>
      </c>
      <c r="E81" s="115" t="s">
        <v>202</v>
      </c>
      <c r="F81" s="85">
        <v>3</v>
      </c>
      <c r="G81" s="84"/>
      <c r="H81" s="85"/>
      <c r="I81" s="86"/>
      <c r="J81" s="85"/>
      <c r="K81" s="21" t="s">
        <v>10</v>
      </c>
      <c r="L81" s="21"/>
      <c r="M81" s="87"/>
      <c r="N81" s="88"/>
      <c r="O81" s="88">
        <v>10</v>
      </c>
      <c r="P81" s="89">
        <f t="shared" si="39"/>
        <v>5700.7259999999997</v>
      </c>
      <c r="Q81" s="90">
        <f t="shared" si="40"/>
        <v>19002.419999999998</v>
      </c>
      <c r="R81" s="90">
        <f t="shared" si="41"/>
        <v>26397.963600000003</v>
      </c>
      <c r="S81" s="91"/>
      <c r="T81" s="92"/>
      <c r="U81" s="32"/>
      <c r="V81" s="32"/>
      <c r="W81" s="32"/>
      <c r="X81" s="93"/>
      <c r="Y81" s="32"/>
      <c r="Z81" s="32"/>
      <c r="AA81" s="32">
        <v>4</v>
      </c>
      <c r="AB81" s="32">
        <v>0</v>
      </c>
      <c r="AC81" s="32"/>
      <c r="AD81" s="32">
        <v>0</v>
      </c>
      <c r="AE81" s="32">
        <v>0</v>
      </c>
      <c r="AF81" s="32">
        <v>0</v>
      </c>
      <c r="AG81" s="32">
        <v>0</v>
      </c>
      <c r="AH81" s="32">
        <v>0</v>
      </c>
      <c r="AI81" s="32">
        <v>0</v>
      </c>
      <c r="AJ81" s="93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94">
        <f t="shared" si="7"/>
        <v>0</v>
      </c>
      <c r="AV81" s="95">
        <f t="shared" si="8"/>
        <v>0</v>
      </c>
      <c r="AW81" s="95">
        <f t="shared" si="9"/>
        <v>0</v>
      </c>
      <c r="AX81" s="95">
        <f t="shared" si="10"/>
        <v>0</v>
      </c>
      <c r="AY81" s="95">
        <f t="shared" si="11"/>
        <v>0</v>
      </c>
      <c r="AZ81" s="95">
        <f t="shared" si="12"/>
        <v>0</v>
      </c>
      <c r="BA81" s="95">
        <f t="shared" si="13"/>
        <v>0</v>
      </c>
      <c r="BB81" s="95">
        <f t="shared" si="42"/>
        <v>9501.2099999999991</v>
      </c>
      <c r="BC81" s="96">
        <f t="shared" si="14"/>
        <v>0</v>
      </c>
      <c r="BD81" s="96">
        <f t="shared" si="15"/>
        <v>0</v>
      </c>
      <c r="BE81" s="96">
        <f t="shared" si="51"/>
        <v>0</v>
      </c>
      <c r="BF81" s="96">
        <f t="shared" si="17"/>
        <v>0</v>
      </c>
      <c r="BG81" s="96">
        <f t="shared" si="18"/>
        <v>0</v>
      </c>
      <c r="BH81" s="96">
        <f t="shared" si="19"/>
        <v>0</v>
      </c>
      <c r="BI81" s="96">
        <f t="shared" si="20"/>
        <v>0</v>
      </c>
      <c r="BJ81" s="96">
        <f t="shared" si="21"/>
        <v>0</v>
      </c>
      <c r="BK81" s="96">
        <f t="shared" si="22"/>
        <v>0</v>
      </c>
      <c r="BL81" s="96">
        <f t="shared" si="23"/>
        <v>0</v>
      </c>
      <c r="BM81" s="96">
        <f t="shared" si="24"/>
        <v>0</v>
      </c>
      <c r="BN81" s="96"/>
      <c r="BO81" s="95"/>
      <c r="BP81" s="95">
        <f t="shared" si="25"/>
        <v>0</v>
      </c>
      <c r="BQ81" s="95"/>
      <c r="BR81" s="95"/>
      <c r="BS81" s="95">
        <f t="shared" si="26"/>
        <v>0</v>
      </c>
      <c r="BT81" s="95">
        <f t="shared" si="27"/>
        <v>0</v>
      </c>
      <c r="BU81" s="95">
        <f t="shared" si="28"/>
        <v>0</v>
      </c>
      <c r="BV81" s="95">
        <f t="shared" si="29"/>
        <v>0</v>
      </c>
      <c r="BW81" s="95"/>
      <c r="BX81" s="95"/>
      <c r="BY81" s="95"/>
      <c r="BZ81" s="95"/>
      <c r="CA81" s="95">
        <f t="shared" si="43"/>
        <v>0</v>
      </c>
      <c r="CB81" s="97">
        <f t="shared" si="48"/>
        <v>9501.2099999999991</v>
      </c>
      <c r="CC81" s="95"/>
      <c r="CD81" s="95"/>
      <c r="CE81" s="95">
        <f t="shared" si="31"/>
        <v>-285.03629999999998</v>
      </c>
      <c r="CF81" s="95">
        <f t="shared" si="44"/>
        <v>-142.51814999999999</v>
      </c>
      <c r="CG81" s="113"/>
      <c r="CH81" s="22"/>
      <c r="CI81" s="98">
        <f t="shared" si="32"/>
        <v>13199.080931999997</v>
      </c>
      <c r="CJ81" s="95">
        <f t="shared" si="33"/>
        <v>-395.97242795999989</v>
      </c>
      <c r="CK81" s="95">
        <f t="shared" si="45"/>
        <v>-197.98621397999995</v>
      </c>
      <c r="CL81" s="95"/>
      <c r="CM81" s="99"/>
      <c r="CN81" s="99"/>
      <c r="CO81" s="110"/>
      <c r="CP81" s="99"/>
      <c r="CQ81" s="99"/>
      <c r="CR81" s="99"/>
      <c r="CS81" s="95"/>
      <c r="CT81" s="95"/>
      <c r="CU81" s="96"/>
      <c r="CV81" s="96"/>
      <c r="CW81" s="96"/>
      <c r="CX81" s="96"/>
      <c r="CY81" s="96"/>
      <c r="CZ81" s="93">
        <f t="shared" si="49"/>
        <v>0</v>
      </c>
      <c r="DA81" s="93">
        <f t="shared" si="50"/>
        <v>0</v>
      </c>
      <c r="DB81" s="95">
        <f t="shared" si="46"/>
        <v>21678.777840059996</v>
      </c>
      <c r="DC81" s="100">
        <f t="shared" si="47"/>
        <v>21679</v>
      </c>
      <c r="DD81" s="100"/>
      <c r="DE81" s="100">
        <f t="shared" si="38"/>
        <v>-21679</v>
      </c>
      <c r="DF81" s="13"/>
      <c r="DG81" s="2"/>
      <c r="DH81" s="46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</row>
    <row r="82" spans="1:156" s="1" customFormat="1" x14ac:dyDescent="0.2">
      <c r="A82" s="88">
        <f t="shared" ref="A82:A113" si="52">500000+B82</f>
        <v>509636</v>
      </c>
      <c r="B82" s="21">
        <v>9636</v>
      </c>
      <c r="C82" s="21" t="s">
        <v>98</v>
      </c>
      <c r="D82" s="84" t="s">
        <v>100</v>
      </c>
      <c r="E82" s="115" t="s">
        <v>202</v>
      </c>
      <c r="F82" s="85">
        <v>3</v>
      </c>
      <c r="G82" s="84"/>
      <c r="H82" s="85"/>
      <c r="I82" s="86"/>
      <c r="J82" s="85"/>
      <c r="K82" s="21" t="s">
        <v>10</v>
      </c>
      <c r="L82" s="21"/>
      <c r="M82" s="87"/>
      <c r="N82" s="88"/>
      <c r="O82" s="88">
        <v>9</v>
      </c>
      <c r="P82" s="89">
        <f t="shared" si="39"/>
        <v>5700.7259999999997</v>
      </c>
      <c r="Q82" s="90">
        <f t="shared" si="40"/>
        <v>19002.419999999998</v>
      </c>
      <c r="R82" s="90">
        <f t="shared" si="41"/>
        <v>26397.963600000003</v>
      </c>
      <c r="S82" s="91"/>
      <c r="T82" s="92"/>
      <c r="U82" s="32"/>
      <c r="V82" s="32"/>
      <c r="W82" s="32"/>
      <c r="X82" s="93"/>
      <c r="Y82" s="32"/>
      <c r="Z82" s="32"/>
      <c r="AA82" s="32">
        <v>4</v>
      </c>
      <c r="AB82" s="32">
        <v>0</v>
      </c>
      <c r="AC82" s="32"/>
      <c r="AD82" s="32">
        <v>0</v>
      </c>
      <c r="AE82" s="32">
        <v>0</v>
      </c>
      <c r="AF82" s="32">
        <v>0</v>
      </c>
      <c r="AG82" s="32">
        <v>0</v>
      </c>
      <c r="AH82" s="32">
        <v>0</v>
      </c>
      <c r="AI82" s="32">
        <v>0</v>
      </c>
      <c r="AJ82" s="93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94">
        <f t="shared" ref="AU82:AU113" si="53">+U82+V82+W82+Y82-Z82-AB82-AC82-AD82-AE82+AF82-AG82+AJ82</f>
        <v>0</v>
      </c>
      <c r="AV82" s="95">
        <f t="shared" ref="AV82:AV113" si="54">+Q82*U82</f>
        <v>0</v>
      </c>
      <c r="AW82" s="95">
        <f t="shared" ref="AW82:AW113" si="55">+Q82*V82</f>
        <v>0</v>
      </c>
      <c r="AX82" s="95">
        <f t="shared" ref="AX82:AX113" si="56">+Q82*W82</f>
        <v>0</v>
      </c>
      <c r="AY82" s="95">
        <f t="shared" ref="AY82:AY113" si="57">+Q82*X82</f>
        <v>0</v>
      </c>
      <c r="AZ82" s="95">
        <f t="shared" ref="AZ82:AZ113" si="58">+(Q82*1.0833*Y82)+((P82*O82)/25*Y82)</f>
        <v>0</v>
      </c>
      <c r="BA82" s="95">
        <f t="shared" ref="BA82:BA113" si="59">-Q82/8*Z82</f>
        <v>0</v>
      </c>
      <c r="BB82" s="95">
        <f t="shared" ref="BB82:BB113" si="60">+Q82/8*AA82</f>
        <v>9501.2099999999991</v>
      </c>
      <c r="BC82" s="96">
        <f t="shared" ref="BC82:BC113" si="61">-Q82*AB82</f>
        <v>0</v>
      </c>
      <c r="BD82" s="96">
        <f t="shared" ref="BD82:BD113" si="62">-Q82*AC82</f>
        <v>0</v>
      </c>
      <c r="BE82" s="96">
        <f t="shared" si="51"/>
        <v>0</v>
      </c>
      <c r="BF82" s="96">
        <f t="shared" ref="BF82:BF113" si="63">-Q82*AE82</f>
        <v>0</v>
      </c>
      <c r="BG82" s="96">
        <f t="shared" ref="BG82:BG113" si="64">+Q82*AF82</f>
        <v>0</v>
      </c>
      <c r="BH82" s="96">
        <f t="shared" ref="BH82:BH113" si="65">-Q82*AG82</f>
        <v>0</v>
      </c>
      <c r="BI82" s="96">
        <f t="shared" ref="BI82:BI113" si="66">+Q82*AI82</f>
        <v>0</v>
      </c>
      <c r="BJ82" s="96">
        <f t="shared" ref="BJ82:BJ113" si="67">+Q82*AH82</f>
        <v>0</v>
      </c>
      <c r="BK82" s="96">
        <f t="shared" ref="BK82:BK113" si="68">+Q82*AJ82</f>
        <v>0</v>
      </c>
      <c r="BL82" s="96">
        <f t="shared" ref="BL82:BL113" si="69">+(P82*O82)/25*(U82+V82+W82-Z82-AB82-AC82-AD82-AE82+AF82-AG82)</f>
        <v>0</v>
      </c>
      <c r="BM82" s="96">
        <f t="shared" ref="BM82:BM113" si="70">+$BM$15/25*(U82+V82+Y82+AF82+AH82+AI82)*0</f>
        <v>0</v>
      </c>
      <c r="BN82" s="96"/>
      <c r="BO82" s="95"/>
      <c r="BP82" s="95">
        <f t="shared" ref="BP82:BP113" si="71">+M82*(AU82+AH82+AI82)</f>
        <v>0</v>
      </c>
      <c r="BQ82" s="95"/>
      <c r="BR82" s="95"/>
      <c r="BS82" s="95">
        <f t="shared" ref="BS82:BS113" si="72">+$BS$15*AM82</f>
        <v>0</v>
      </c>
      <c r="BT82" s="95">
        <f t="shared" ref="BT82:BT113" si="73">+$BT$15*AN82</f>
        <v>0</v>
      </c>
      <c r="BU82" s="95">
        <f t="shared" ref="BU82:BU113" si="74">+$BU$15*AO82</f>
        <v>0</v>
      </c>
      <c r="BV82" s="95">
        <f t="shared" ref="BV82:BV113" si="75">+$BV$15*AP82</f>
        <v>0</v>
      </c>
      <c r="BW82" s="95"/>
      <c r="BX82" s="95"/>
      <c r="BY82" s="95"/>
      <c r="BZ82" s="95"/>
      <c r="CA82" s="95">
        <f t="shared" si="43"/>
        <v>0</v>
      </c>
      <c r="CB82" s="97">
        <f t="shared" si="48"/>
        <v>9501.2099999999991</v>
      </c>
      <c r="CC82" s="95"/>
      <c r="CD82" s="95"/>
      <c r="CE82" s="95">
        <f t="shared" ref="CE82:CE113" si="76">-MIN(CB82,$CC$12)*$CD$15</f>
        <v>-285.03629999999998</v>
      </c>
      <c r="CF82" s="95">
        <f t="shared" si="44"/>
        <v>-142.51814999999999</v>
      </c>
      <c r="CG82" s="113"/>
      <c r="CH82" s="22"/>
      <c r="CI82" s="98">
        <f t="shared" ref="CI82:CI113" si="77">+IF(H82&gt;59,0,(CB82*138.92%))</f>
        <v>13199.080931999997</v>
      </c>
      <c r="CJ82" s="95">
        <f t="shared" ref="CJ82:CJ113" si="78">-MIN(CI82,$CC$12)*$CD$15</f>
        <v>-395.97242795999989</v>
      </c>
      <c r="CK82" s="95">
        <f t="shared" si="45"/>
        <v>-197.98621397999995</v>
      </c>
      <c r="CL82" s="95"/>
      <c r="CM82" s="99"/>
      <c r="CN82" s="99"/>
      <c r="CO82" s="110"/>
      <c r="CP82" s="99"/>
      <c r="CQ82" s="99"/>
      <c r="CR82" s="99"/>
      <c r="CS82" s="95"/>
      <c r="CT82" s="95"/>
      <c r="CU82" s="96"/>
      <c r="CV82" s="96"/>
      <c r="CW82" s="96"/>
      <c r="CX82" s="96"/>
      <c r="CY82" s="96"/>
      <c r="CZ82" s="93">
        <f t="shared" si="49"/>
        <v>0</v>
      </c>
      <c r="DA82" s="93">
        <f t="shared" si="50"/>
        <v>0</v>
      </c>
      <c r="DB82" s="95">
        <f t="shared" si="46"/>
        <v>21678.777840059996</v>
      </c>
      <c r="DC82" s="100">
        <f t="shared" si="47"/>
        <v>21679</v>
      </c>
      <c r="DD82" s="100"/>
      <c r="DE82" s="100">
        <f t="shared" ref="DE82:DE113" si="79">+DD82-DC82</f>
        <v>-21679</v>
      </c>
      <c r="DF82" s="13"/>
      <c r="DG82" s="2"/>
      <c r="DH82" s="46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</row>
    <row r="83" spans="1:156" s="1" customFormat="1" x14ac:dyDescent="0.2">
      <c r="A83" s="88">
        <f t="shared" si="52"/>
        <v>509873</v>
      </c>
      <c r="B83" s="21">
        <v>9873</v>
      </c>
      <c r="C83" s="21" t="s">
        <v>98</v>
      </c>
      <c r="D83" s="84" t="s">
        <v>194</v>
      </c>
      <c r="E83" s="115" t="s">
        <v>202</v>
      </c>
      <c r="F83" s="85">
        <v>0</v>
      </c>
      <c r="G83" s="84"/>
      <c r="H83" s="85"/>
      <c r="I83" s="86"/>
      <c r="J83" s="85"/>
      <c r="K83" s="21" t="s">
        <v>10</v>
      </c>
      <c r="L83" s="21"/>
      <c r="M83" s="87"/>
      <c r="N83" s="88"/>
      <c r="O83" s="88">
        <v>0</v>
      </c>
      <c r="P83" s="89">
        <f t="shared" ref="P83:P113" si="80">+VLOOKUP(K83,$W$4:$AC$11,5,0)</f>
        <v>5700.7259999999997</v>
      </c>
      <c r="Q83" s="90">
        <f t="shared" ref="Q83:Q113" si="81">+VLOOKUP(K83,$W$4:$Z$11,2,0)</f>
        <v>19002.419999999998</v>
      </c>
      <c r="R83" s="90">
        <f t="shared" ref="R83:R113" si="82">+VLOOKUP(K83,$W$4:$Y$11,3,0)</f>
        <v>26397.963600000003</v>
      </c>
      <c r="S83" s="91"/>
      <c r="T83" s="92"/>
      <c r="U83" s="32"/>
      <c r="V83" s="32"/>
      <c r="W83" s="32"/>
      <c r="X83" s="93"/>
      <c r="Y83" s="32"/>
      <c r="Z83" s="32"/>
      <c r="AA83" s="32">
        <v>4</v>
      </c>
      <c r="AB83" s="32">
        <v>0</v>
      </c>
      <c r="AC83" s="32"/>
      <c r="AD83" s="32">
        <v>0</v>
      </c>
      <c r="AE83" s="32">
        <v>0</v>
      </c>
      <c r="AF83" s="32">
        <v>0</v>
      </c>
      <c r="AG83" s="32">
        <v>0</v>
      </c>
      <c r="AH83" s="32">
        <v>0</v>
      </c>
      <c r="AI83" s="32">
        <v>0</v>
      </c>
      <c r="AJ83" s="93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94">
        <f t="shared" si="53"/>
        <v>0</v>
      </c>
      <c r="AV83" s="95">
        <f t="shared" si="54"/>
        <v>0</v>
      </c>
      <c r="AW83" s="95">
        <f t="shared" si="55"/>
        <v>0</v>
      </c>
      <c r="AX83" s="95">
        <f t="shared" si="56"/>
        <v>0</v>
      </c>
      <c r="AY83" s="95">
        <f t="shared" si="57"/>
        <v>0</v>
      </c>
      <c r="AZ83" s="95">
        <f t="shared" si="58"/>
        <v>0</v>
      </c>
      <c r="BA83" s="95">
        <f t="shared" si="59"/>
        <v>0</v>
      </c>
      <c r="BB83" s="95">
        <f t="shared" si="60"/>
        <v>9501.2099999999991</v>
      </c>
      <c r="BC83" s="96">
        <f t="shared" si="61"/>
        <v>0</v>
      </c>
      <c r="BD83" s="96">
        <f t="shared" si="62"/>
        <v>0</v>
      </c>
      <c r="BE83" s="96">
        <f t="shared" si="51"/>
        <v>0</v>
      </c>
      <c r="BF83" s="96">
        <f t="shared" si="63"/>
        <v>0</v>
      </c>
      <c r="BG83" s="96">
        <f t="shared" si="64"/>
        <v>0</v>
      </c>
      <c r="BH83" s="96">
        <f t="shared" si="65"/>
        <v>0</v>
      </c>
      <c r="BI83" s="96">
        <f t="shared" si="66"/>
        <v>0</v>
      </c>
      <c r="BJ83" s="96">
        <f t="shared" si="67"/>
        <v>0</v>
      </c>
      <c r="BK83" s="96">
        <f t="shared" si="68"/>
        <v>0</v>
      </c>
      <c r="BL83" s="96">
        <f t="shared" si="69"/>
        <v>0</v>
      </c>
      <c r="BM83" s="96">
        <f t="shared" si="70"/>
        <v>0</v>
      </c>
      <c r="BN83" s="96"/>
      <c r="BO83" s="95"/>
      <c r="BP83" s="95">
        <f t="shared" si="71"/>
        <v>0</v>
      </c>
      <c r="BQ83" s="95"/>
      <c r="BR83" s="95"/>
      <c r="BS83" s="95">
        <f t="shared" si="72"/>
        <v>0</v>
      </c>
      <c r="BT83" s="95">
        <f t="shared" si="73"/>
        <v>0</v>
      </c>
      <c r="BU83" s="95">
        <f t="shared" si="74"/>
        <v>0</v>
      </c>
      <c r="BV83" s="95">
        <f t="shared" si="75"/>
        <v>0</v>
      </c>
      <c r="BW83" s="95"/>
      <c r="BX83" s="95"/>
      <c r="BY83" s="95"/>
      <c r="BZ83" s="95"/>
      <c r="CA83" s="95">
        <f t="shared" ref="CA83:CA113" si="83">+IF(H83&gt;59,+SUM(AV83:BX83)*138.92%,0)</f>
        <v>0</v>
      </c>
      <c r="CB83" s="97">
        <f t="shared" si="48"/>
        <v>9501.2099999999991</v>
      </c>
      <c r="CC83" s="95"/>
      <c r="CD83" s="95"/>
      <c r="CE83" s="95">
        <f t="shared" si="76"/>
        <v>-285.03629999999998</v>
      </c>
      <c r="CF83" s="95">
        <f t="shared" ref="CF83:CF113" si="84">-IF(E83="FOTIA",(CB83-AZ83)*1%,(CB83-AZ83)*1.5%)</f>
        <v>-142.51814999999999</v>
      </c>
      <c r="CG83" s="113"/>
      <c r="CH83" s="22"/>
      <c r="CI83" s="98">
        <f t="shared" si="77"/>
        <v>13199.080931999997</v>
      </c>
      <c r="CJ83" s="95">
        <f t="shared" si="78"/>
        <v>-395.97242795999989</v>
      </c>
      <c r="CK83" s="95">
        <f t="shared" ref="CK83:CK113" si="85">-IF(E83="FOTIA",(CI83-BE83)*1%,(CI83-BE83)*1.5%)</f>
        <v>-197.98621397999995</v>
      </c>
      <c r="CL83" s="95"/>
      <c r="CM83" s="99"/>
      <c r="CN83" s="99"/>
      <c r="CO83" s="110"/>
      <c r="CP83" s="99"/>
      <c r="CQ83" s="99"/>
      <c r="CR83" s="99"/>
      <c r="CS83" s="95"/>
      <c r="CT83" s="95"/>
      <c r="CU83" s="96"/>
      <c r="CV83" s="96"/>
      <c r="CW83" s="96"/>
      <c r="CX83" s="96"/>
      <c r="CY83" s="96"/>
      <c r="CZ83" s="93"/>
      <c r="DA83" s="93"/>
      <c r="DB83" s="95">
        <f t="shared" ref="DB83:DB113" si="86">SUM(CB83:DA83)</f>
        <v>21678.777840059996</v>
      </c>
      <c r="DC83" s="100">
        <f t="shared" ref="DC83:DC113" si="87">ROUND(DB83,0)</f>
        <v>21679</v>
      </c>
      <c r="DD83" s="100"/>
      <c r="DE83" s="100">
        <f t="shared" si="79"/>
        <v>-21679</v>
      </c>
      <c r="DF83" s="13"/>
      <c r="DG83" s="2"/>
      <c r="DH83" s="46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</row>
    <row r="84" spans="1:156" s="1" customFormat="1" x14ac:dyDescent="0.2">
      <c r="A84" s="88">
        <f t="shared" si="52"/>
        <v>509796</v>
      </c>
      <c r="B84" s="21">
        <v>9796</v>
      </c>
      <c r="C84" s="21" t="s">
        <v>98</v>
      </c>
      <c r="D84" s="84" t="s">
        <v>174</v>
      </c>
      <c r="E84" s="114" t="s">
        <v>201</v>
      </c>
      <c r="F84" s="85">
        <v>0</v>
      </c>
      <c r="G84" s="84"/>
      <c r="H84" s="85"/>
      <c r="I84" s="86"/>
      <c r="J84" s="85"/>
      <c r="K84" s="21" t="s">
        <v>8</v>
      </c>
      <c r="L84" s="21"/>
      <c r="M84" s="87"/>
      <c r="N84" s="88"/>
      <c r="O84" s="88">
        <v>3</v>
      </c>
      <c r="P84" s="89">
        <f t="shared" si="80"/>
        <v>5401.2359999999999</v>
      </c>
      <c r="Q84" s="90">
        <f t="shared" si="81"/>
        <v>18004.12</v>
      </c>
      <c r="R84" s="90">
        <f t="shared" si="82"/>
        <v>25011.1211</v>
      </c>
      <c r="S84" s="91"/>
      <c r="T84" s="92"/>
      <c r="U84" s="32"/>
      <c r="V84" s="32"/>
      <c r="W84" s="32"/>
      <c r="X84" s="93"/>
      <c r="Y84" s="32"/>
      <c r="Z84" s="32"/>
      <c r="AA84" s="32">
        <v>4</v>
      </c>
      <c r="AB84" s="32">
        <v>0</v>
      </c>
      <c r="AC84" s="32"/>
      <c r="AD84" s="32">
        <v>0</v>
      </c>
      <c r="AE84" s="32">
        <v>0</v>
      </c>
      <c r="AF84" s="32">
        <v>0</v>
      </c>
      <c r="AG84" s="32">
        <v>0</v>
      </c>
      <c r="AH84" s="32">
        <v>0</v>
      </c>
      <c r="AI84" s="32">
        <v>0</v>
      </c>
      <c r="AJ84" s="93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94">
        <f t="shared" si="53"/>
        <v>0</v>
      </c>
      <c r="AV84" s="95">
        <f t="shared" si="54"/>
        <v>0</v>
      </c>
      <c r="AW84" s="95">
        <f t="shared" si="55"/>
        <v>0</v>
      </c>
      <c r="AX84" s="95">
        <f t="shared" si="56"/>
        <v>0</v>
      </c>
      <c r="AY84" s="95">
        <f t="shared" si="57"/>
        <v>0</v>
      </c>
      <c r="AZ84" s="95">
        <f t="shared" si="58"/>
        <v>0</v>
      </c>
      <c r="BA84" s="95">
        <f t="shared" si="59"/>
        <v>0</v>
      </c>
      <c r="BB84" s="95">
        <f t="shared" si="60"/>
        <v>9002.06</v>
      </c>
      <c r="BC84" s="96">
        <f t="shared" si="61"/>
        <v>0</v>
      </c>
      <c r="BD84" s="96">
        <f t="shared" si="62"/>
        <v>0</v>
      </c>
      <c r="BE84" s="96">
        <f t="shared" si="51"/>
        <v>0</v>
      </c>
      <c r="BF84" s="96">
        <f t="shared" si="63"/>
        <v>0</v>
      </c>
      <c r="BG84" s="96">
        <f t="shared" si="64"/>
        <v>0</v>
      </c>
      <c r="BH84" s="96">
        <f t="shared" si="65"/>
        <v>0</v>
      </c>
      <c r="BI84" s="96">
        <f t="shared" si="66"/>
        <v>0</v>
      </c>
      <c r="BJ84" s="96">
        <f t="shared" si="67"/>
        <v>0</v>
      </c>
      <c r="BK84" s="96">
        <f t="shared" si="68"/>
        <v>0</v>
      </c>
      <c r="BL84" s="96">
        <f t="shared" si="69"/>
        <v>0</v>
      </c>
      <c r="BM84" s="96">
        <f t="shared" si="70"/>
        <v>0</v>
      </c>
      <c r="BN84" s="96"/>
      <c r="BO84" s="95"/>
      <c r="BP84" s="95">
        <f t="shared" si="71"/>
        <v>0</v>
      </c>
      <c r="BQ84" s="95"/>
      <c r="BR84" s="95"/>
      <c r="BS84" s="95">
        <f t="shared" si="72"/>
        <v>0</v>
      </c>
      <c r="BT84" s="95">
        <f t="shared" si="73"/>
        <v>0</v>
      </c>
      <c r="BU84" s="95">
        <f t="shared" si="74"/>
        <v>0</v>
      </c>
      <c r="BV84" s="95">
        <f t="shared" si="75"/>
        <v>0</v>
      </c>
      <c r="BW84" s="95"/>
      <c r="BX84" s="95"/>
      <c r="BY84" s="95"/>
      <c r="BZ84" s="95"/>
      <c r="CA84" s="95">
        <f t="shared" si="83"/>
        <v>0</v>
      </c>
      <c r="CB84" s="97">
        <f t="shared" si="48"/>
        <v>9002.06</v>
      </c>
      <c r="CC84" s="95"/>
      <c r="CD84" s="95"/>
      <c r="CE84" s="95">
        <f t="shared" si="76"/>
        <v>-270.06179999999995</v>
      </c>
      <c r="CF84" s="95">
        <f t="shared" si="84"/>
        <v>-90.020600000000002</v>
      </c>
      <c r="CG84" s="113"/>
      <c r="CH84" s="22"/>
      <c r="CI84" s="98">
        <f t="shared" si="77"/>
        <v>12505.661751999996</v>
      </c>
      <c r="CJ84" s="95">
        <f t="shared" si="78"/>
        <v>-375.16985255999987</v>
      </c>
      <c r="CK84" s="95">
        <f t="shared" si="85"/>
        <v>-125.05661751999996</v>
      </c>
      <c r="CL84" s="95"/>
      <c r="CM84" s="99"/>
      <c r="CN84" s="99"/>
      <c r="CO84" s="110"/>
      <c r="CP84" s="99"/>
      <c r="CQ84" s="99"/>
      <c r="CR84" s="99"/>
      <c r="CS84" s="95"/>
      <c r="CT84" s="95"/>
      <c r="CU84" s="96"/>
      <c r="CV84" s="96"/>
      <c r="CW84" s="96"/>
      <c r="CX84" s="96"/>
      <c r="CY84" s="96"/>
      <c r="CZ84" s="93">
        <f t="shared" ref="CZ84:CZ113" si="88">-SUM(CB84+CC84+CD84+CE84+CF84)*I84</f>
        <v>0</v>
      </c>
      <c r="DA84" s="93">
        <f t="shared" ref="DA84:DA113" si="89">-SUM(CB84+CC84+CD84+CE84+CF84+CI84+CJ84+CK84)*J84</f>
        <v>0</v>
      </c>
      <c r="DB84" s="95">
        <f t="shared" si="86"/>
        <v>20647.412881919998</v>
      </c>
      <c r="DC84" s="100">
        <f t="shared" si="87"/>
        <v>20647</v>
      </c>
      <c r="DD84" s="100"/>
      <c r="DE84" s="100">
        <f t="shared" si="79"/>
        <v>-20647</v>
      </c>
      <c r="DF84" s="13"/>
      <c r="DG84" s="2"/>
      <c r="DH84" s="46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</row>
    <row r="85" spans="1:156" s="1" customFormat="1" hidden="1" x14ac:dyDescent="0.2">
      <c r="A85" s="88">
        <f t="shared" si="52"/>
        <v>509754</v>
      </c>
      <c r="B85" s="21">
        <v>9754</v>
      </c>
      <c r="C85" s="21" t="s">
        <v>98</v>
      </c>
      <c r="D85" s="84" t="s">
        <v>168</v>
      </c>
      <c r="E85" s="114" t="s">
        <v>201</v>
      </c>
      <c r="F85" s="85">
        <v>0</v>
      </c>
      <c r="G85" s="84"/>
      <c r="H85" s="85"/>
      <c r="I85" s="86"/>
      <c r="J85" s="85"/>
      <c r="K85" s="21" t="s">
        <v>8</v>
      </c>
      <c r="L85" s="21"/>
      <c r="M85" s="87"/>
      <c r="N85" s="88"/>
      <c r="O85" s="88">
        <v>0</v>
      </c>
      <c r="P85" s="89">
        <f t="shared" si="80"/>
        <v>5401.2359999999999</v>
      </c>
      <c r="Q85" s="90">
        <f t="shared" si="81"/>
        <v>18004.12</v>
      </c>
      <c r="R85" s="90">
        <f t="shared" si="82"/>
        <v>25011.1211</v>
      </c>
      <c r="S85" s="91"/>
      <c r="T85" s="92"/>
      <c r="U85" s="32"/>
      <c r="V85" s="32"/>
      <c r="W85" s="32"/>
      <c r="X85" s="93"/>
      <c r="Y85" s="32"/>
      <c r="Z85" s="32"/>
      <c r="AA85" s="32">
        <v>0</v>
      </c>
      <c r="AB85" s="32">
        <v>0</v>
      </c>
      <c r="AC85" s="32"/>
      <c r="AD85" s="32">
        <v>0</v>
      </c>
      <c r="AE85" s="32">
        <v>0</v>
      </c>
      <c r="AF85" s="32">
        <v>0</v>
      </c>
      <c r="AG85" s="32">
        <v>0</v>
      </c>
      <c r="AH85" s="32">
        <v>0</v>
      </c>
      <c r="AI85" s="32">
        <v>0</v>
      </c>
      <c r="AJ85" s="93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94">
        <f t="shared" si="53"/>
        <v>0</v>
      </c>
      <c r="AV85" s="95">
        <f t="shared" si="54"/>
        <v>0</v>
      </c>
      <c r="AW85" s="95">
        <f t="shared" si="55"/>
        <v>0</v>
      </c>
      <c r="AX85" s="95">
        <f t="shared" si="56"/>
        <v>0</v>
      </c>
      <c r="AY85" s="95">
        <f t="shared" si="57"/>
        <v>0</v>
      </c>
      <c r="AZ85" s="95">
        <f t="shared" si="58"/>
        <v>0</v>
      </c>
      <c r="BA85" s="95">
        <f t="shared" si="59"/>
        <v>0</v>
      </c>
      <c r="BB85" s="95">
        <f t="shared" si="60"/>
        <v>0</v>
      </c>
      <c r="BC85" s="96">
        <f t="shared" si="61"/>
        <v>0</v>
      </c>
      <c r="BD85" s="96">
        <f t="shared" si="62"/>
        <v>0</v>
      </c>
      <c r="BE85" s="96">
        <f t="shared" si="51"/>
        <v>0</v>
      </c>
      <c r="BF85" s="96">
        <f t="shared" si="63"/>
        <v>0</v>
      </c>
      <c r="BG85" s="96">
        <f t="shared" si="64"/>
        <v>0</v>
      </c>
      <c r="BH85" s="96">
        <f t="shared" si="65"/>
        <v>0</v>
      </c>
      <c r="BI85" s="96">
        <f t="shared" si="66"/>
        <v>0</v>
      </c>
      <c r="BJ85" s="96">
        <f t="shared" si="67"/>
        <v>0</v>
      </c>
      <c r="BK85" s="96">
        <f t="shared" si="68"/>
        <v>0</v>
      </c>
      <c r="BL85" s="96">
        <f t="shared" si="69"/>
        <v>0</v>
      </c>
      <c r="BM85" s="96">
        <f t="shared" si="70"/>
        <v>0</v>
      </c>
      <c r="BN85" s="96"/>
      <c r="BO85" s="95"/>
      <c r="BP85" s="95">
        <f t="shared" si="71"/>
        <v>0</v>
      </c>
      <c r="BQ85" s="95"/>
      <c r="BR85" s="95"/>
      <c r="BS85" s="95">
        <f t="shared" si="72"/>
        <v>0</v>
      </c>
      <c r="BT85" s="95">
        <f t="shared" si="73"/>
        <v>0</v>
      </c>
      <c r="BU85" s="95">
        <f t="shared" si="74"/>
        <v>0</v>
      </c>
      <c r="BV85" s="95">
        <f t="shared" si="75"/>
        <v>0</v>
      </c>
      <c r="BW85" s="95"/>
      <c r="BX85" s="95"/>
      <c r="BY85" s="95"/>
      <c r="BZ85" s="95"/>
      <c r="CA85" s="95">
        <f t="shared" si="83"/>
        <v>0</v>
      </c>
      <c r="CB85" s="97">
        <f t="shared" si="48"/>
        <v>0</v>
      </c>
      <c r="CC85" s="95"/>
      <c r="CD85" s="95"/>
      <c r="CE85" s="95">
        <f t="shared" si="76"/>
        <v>0</v>
      </c>
      <c r="CF85" s="95">
        <f t="shared" si="84"/>
        <v>0</v>
      </c>
      <c r="CG85" s="113"/>
      <c r="CH85" s="22"/>
      <c r="CI85" s="98">
        <f t="shared" si="77"/>
        <v>0</v>
      </c>
      <c r="CJ85" s="95">
        <f t="shared" si="78"/>
        <v>0</v>
      </c>
      <c r="CK85" s="95">
        <f t="shared" si="85"/>
        <v>0</v>
      </c>
      <c r="CL85" s="95"/>
      <c r="CM85" s="99"/>
      <c r="CN85" s="99"/>
      <c r="CO85" s="110"/>
      <c r="CP85" s="99"/>
      <c r="CQ85" s="99"/>
      <c r="CR85" s="99"/>
      <c r="CS85" s="95"/>
      <c r="CT85" s="95"/>
      <c r="CU85" s="96"/>
      <c r="CV85" s="96"/>
      <c r="CW85" s="96"/>
      <c r="CX85" s="96"/>
      <c r="CY85" s="96"/>
      <c r="CZ85" s="93">
        <f t="shared" si="88"/>
        <v>0</v>
      </c>
      <c r="DA85" s="93">
        <f t="shared" si="89"/>
        <v>0</v>
      </c>
      <c r="DB85" s="95">
        <f t="shared" si="86"/>
        <v>0</v>
      </c>
      <c r="DC85" s="100">
        <f t="shared" si="87"/>
        <v>0</v>
      </c>
      <c r="DD85" s="100"/>
      <c r="DE85" s="100">
        <f t="shared" si="79"/>
        <v>0</v>
      </c>
      <c r="DF85" s="13"/>
      <c r="DG85" s="2"/>
      <c r="DH85" s="46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</row>
    <row r="86" spans="1:156" s="1" customFormat="1" hidden="1" x14ac:dyDescent="0.2">
      <c r="A86" s="88">
        <f t="shared" si="52"/>
        <v>509706</v>
      </c>
      <c r="B86" s="21">
        <v>9706</v>
      </c>
      <c r="C86" s="21" t="s">
        <v>98</v>
      </c>
      <c r="D86" s="84" t="s">
        <v>141</v>
      </c>
      <c r="E86" s="115" t="s">
        <v>202</v>
      </c>
      <c r="F86" s="85">
        <v>3</v>
      </c>
      <c r="G86" s="84"/>
      <c r="H86" s="85"/>
      <c r="I86" s="86"/>
      <c r="J86" s="85"/>
      <c r="K86" s="21" t="s">
        <v>8</v>
      </c>
      <c r="L86" s="21"/>
      <c r="M86" s="87"/>
      <c r="N86" s="88"/>
      <c r="O86" s="88">
        <v>11</v>
      </c>
      <c r="P86" s="89">
        <f t="shared" si="80"/>
        <v>5401.2359999999999</v>
      </c>
      <c r="Q86" s="90">
        <f t="shared" si="81"/>
        <v>18004.12</v>
      </c>
      <c r="R86" s="90">
        <f t="shared" si="82"/>
        <v>25011.1211</v>
      </c>
      <c r="S86" s="91"/>
      <c r="T86" s="92"/>
      <c r="U86" s="32"/>
      <c r="V86" s="32"/>
      <c r="W86" s="32"/>
      <c r="X86" s="93"/>
      <c r="Y86" s="32"/>
      <c r="Z86" s="32"/>
      <c r="AA86" s="32">
        <v>0</v>
      </c>
      <c r="AB86" s="32">
        <v>0</v>
      </c>
      <c r="AC86" s="32"/>
      <c r="AD86" s="32">
        <v>0</v>
      </c>
      <c r="AE86" s="32">
        <v>0</v>
      </c>
      <c r="AF86" s="32">
        <v>0</v>
      </c>
      <c r="AG86" s="32">
        <v>0</v>
      </c>
      <c r="AH86" s="32">
        <v>0</v>
      </c>
      <c r="AI86" s="32">
        <v>0</v>
      </c>
      <c r="AJ86" s="93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94">
        <f t="shared" si="53"/>
        <v>0</v>
      </c>
      <c r="AV86" s="95">
        <f t="shared" si="54"/>
        <v>0</v>
      </c>
      <c r="AW86" s="95">
        <f t="shared" si="55"/>
        <v>0</v>
      </c>
      <c r="AX86" s="95">
        <f t="shared" si="56"/>
        <v>0</v>
      </c>
      <c r="AY86" s="95">
        <f t="shared" si="57"/>
        <v>0</v>
      </c>
      <c r="AZ86" s="95">
        <f t="shared" si="58"/>
        <v>0</v>
      </c>
      <c r="BA86" s="95">
        <f t="shared" si="59"/>
        <v>0</v>
      </c>
      <c r="BB86" s="95">
        <f t="shared" si="60"/>
        <v>0</v>
      </c>
      <c r="BC86" s="96">
        <f t="shared" si="61"/>
        <v>0</v>
      </c>
      <c r="BD86" s="96">
        <f t="shared" si="62"/>
        <v>0</v>
      </c>
      <c r="BE86" s="96">
        <f t="shared" si="51"/>
        <v>0</v>
      </c>
      <c r="BF86" s="96">
        <f t="shared" si="63"/>
        <v>0</v>
      </c>
      <c r="BG86" s="96">
        <f t="shared" si="64"/>
        <v>0</v>
      </c>
      <c r="BH86" s="96">
        <f t="shared" si="65"/>
        <v>0</v>
      </c>
      <c r="BI86" s="96">
        <f t="shared" si="66"/>
        <v>0</v>
      </c>
      <c r="BJ86" s="96">
        <f t="shared" si="67"/>
        <v>0</v>
      </c>
      <c r="BK86" s="96">
        <f t="shared" si="68"/>
        <v>0</v>
      </c>
      <c r="BL86" s="96">
        <f t="shared" si="69"/>
        <v>0</v>
      </c>
      <c r="BM86" s="96">
        <f t="shared" si="70"/>
        <v>0</v>
      </c>
      <c r="BN86" s="96"/>
      <c r="BO86" s="95"/>
      <c r="BP86" s="95">
        <f t="shared" si="71"/>
        <v>0</v>
      </c>
      <c r="BQ86" s="95"/>
      <c r="BR86" s="95"/>
      <c r="BS86" s="95">
        <f t="shared" si="72"/>
        <v>0</v>
      </c>
      <c r="BT86" s="95">
        <f t="shared" si="73"/>
        <v>0</v>
      </c>
      <c r="BU86" s="95">
        <f t="shared" si="74"/>
        <v>0</v>
      </c>
      <c r="BV86" s="95">
        <f t="shared" si="75"/>
        <v>0</v>
      </c>
      <c r="BW86" s="95"/>
      <c r="BX86" s="95"/>
      <c r="BY86" s="95"/>
      <c r="BZ86" s="95"/>
      <c r="CA86" s="95">
        <f t="shared" si="83"/>
        <v>0</v>
      </c>
      <c r="CB86" s="97">
        <f t="shared" si="48"/>
        <v>0</v>
      </c>
      <c r="CC86" s="95"/>
      <c r="CD86" s="95"/>
      <c r="CE86" s="95">
        <f t="shared" si="76"/>
        <v>0</v>
      </c>
      <c r="CF86" s="95">
        <f t="shared" si="84"/>
        <v>0</v>
      </c>
      <c r="CG86" s="113"/>
      <c r="CH86" s="22"/>
      <c r="CI86" s="98">
        <f t="shared" si="77"/>
        <v>0</v>
      </c>
      <c r="CJ86" s="95">
        <f t="shared" si="78"/>
        <v>0</v>
      </c>
      <c r="CK86" s="95">
        <f t="shared" si="85"/>
        <v>0</v>
      </c>
      <c r="CL86" s="95"/>
      <c r="CM86" s="99"/>
      <c r="CN86" s="99"/>
      <c r="CO86" s="110"/>
      <c r="CP86" s="99"/>
      <c r="CQ86" s="99"/>
      <c r="CR86" s="99"/>
      <c r="CS86" s="95"/>
      <c r="CT86" s="95"/>
      <c r="CU86" s="96"/>
      <c r="CV86" s="96"/>
      <c r="CW86" s="96"/>
      <c r="CX86" s="96"/>
      <c r="CY86" s="96"/>
      <c r="CZ86" s="93">
        <f t="shared" si="88"/>
        <v>0</v>
      </c>
      <c r="DA86" s="93">
        <f t="shared" si="89"/>
        <v>0</v>
      </c>
      <c r="DB86" s="95">
        <f t="shared" si="86"/>
        <v>0</v>
      </c>
      <c r="DC86" s="100">
        <f t="shared" si="87"/>
        <v>0</v>
      </c>
      <c r="DD86" s="100"/>
      <c r="DE86" s="100">
        <f t="shared" si="79"/>
        <v>0</v>
      </c>
      <c r="DF86" s="13"/>
      <c r="DG86" s="2"/>
      <c r="DH86" s="46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</row>
    <row r="87" spans="1:156" s="1" customFormat="1" hidden="1" x14ac:dyDescent="0.2">
      <c r="A87" s="88">
        <f t="shared" si="52"/>
        <v>509635</v>
      </c>
      <c r="B87" s="21">
        <v>9635</v>
      </c>
      <c r="C87" s="21" t="s">
        <v>98</v>
      </c>
      <c r="D87" s="84" t="s">
        <v>99</v>
      </c>
      <c r="E87" s="114" t="s">
        <v>201</v>
      </c>
      <c r="F87" s="85">
        <v>0</v>
      </c>
      <c r="G87" s="84"/>
      <c r="H87" s="85">
        <v>62</v>
      </c>
      <c r="I87" s="86"/>
      <c r="J87" s="85"/>
      <c r="K87" s="21" t="s">
        <v>12</v>
      </c>
      <c r="L87" s="21"/>
      <c r="M87" s="87"/>
      <c r="N87" s="88"/>
      <c r="O87" s="88">
        <v>28</v>
      </c>
      <c r="P87" s="89">
        <f t="shared" si="80"/>
        <v>6031.2240000000002</v>
      </c>
      <c r="Q87" s="90">
        <f t="shared" si="81"/>
        <v>20104.080000000002</v>
      </c>
      <c r="R87" s="90">
        <f t="shared" si="82"/>
        <v>27928.380449999997</v>
      </c>
      <c r="S87" s="91"/>
      <c r="T87" s="92"/>
      <c r="U87" s="32"/>
      <c r="V87" s="32"/>
      <c r="W87" s="32"/>
      <c r="X87" s="93"/>
      <c r="Y87" s="32"/>
      <c r="Z87" s="32"/>
      <c r="AA87" s="32">
        <v>0</v>
      </c>
      <c r="AB87" s="32">
        <v>0</v>
      </c>
      <c r="AC87" s="32"/>
      <c r="AD87" s="32">
        <v>0</v>
      </c>
      <c r="AE87" s="32">
        <v>0</v>
      </c>
      <c r="AF87" s="32">
        <v>0</v>
      </c>
      <c r="AG87" s="32">
        <v>0</v>
      </c>
      <c r="AH87" s="32">
        <v>0</v>
      </c>
      <c r="AI87" s="32">
        <v>0</v>
      </c>
      <c r="AJ87" s="93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94">
        <f t="shared" si="53"/>
        <v>0</v>
      </c>
      <c r="AV87" s="95">
        <f t="shared" si="54"/>
        <v>0</v>
      </c>
      <c r="AW87" s="95">
        <f t="shared" si="55"/>
        <v>0</v>
      </c>
      <c r="AX87" s="95">
        <f t="shared" si="56"/>
        <v>0</v>
      </c>
      <c r="AY87" s="95">
        <f t="shared" si="57"/>
        <v>0</v>
      </c>
      <c r="AZ87" s="95">
        <f t="shared" si="58"/>
        <v>0</v>
      </c>
      <c r="BA87" s="95">
        <f t="shared" si="59"/>
        <v>0</v>
      </c>
      <c r="BB87" s="95">
        <f t="shared" si="60"/>
        <v>0</v>
      </c>
      <c r="BC87" s="96">
        <f t="shared" si="61"/>
        <v>0</v>
      </c>
      <c r="BD87" s="96">
        <f t="shared" si="62"/>
        <v>0</v>
      </c>
      <c r="BE87" s="96">
        <f t="shared" si="51"/>
        <v>0</v>
      </c>
      <c r="BF87" s="96">
        <f t="shared" si="63"/>
        <v>0</v>
      </c>
      <c r="BG87" s="96">
        <f t="shared" si="64"/>
        <v>0</v>
      </c>
      <c r="BH87" s="96">
        <f t="shared" si="65"/>
        <v>0</v>
      </c>
      <c r="BI87" s="96">
        <f t="shared" si="66"/>
        <v>0</v>
      </c>
      <c r="BJ87" s="96">
        <f t="shared" si="67"/>
        <v>0</v>
      </c>
      <c r="BK87" s="96">
        <f t="shared" si="68"/>
        <v>0</v>
      </c>
      <c r="BL87" s="96">
        <f t="shared" si="69"/>
        <v>0</v>
      </c>
      <c r="BM87" s="96">
        <f t="shared" si="70"/>
        <v>0</v>
      </c>
      <c r="BN87" s="96"/>
      <c r="BO87" s="95"/>
      <c r="BP87" s="95">
        <f t="shared" si="71"/>
        <v>0</v>
      </c>
      <c r="BQ87" s="95"/>
      <c r="BR87" s="95"/>
      <c r="BS87" s="95">
        <f t="shared" si="72"/>
        <v>0</v>
      </c>
      <c r="BT87" s="95">
        <f t="shared" si="73"/>
        <v>0</v>
      </c>
      <c r="BU87" s="95">
        <f t="shared" si="74"/>
        <v>0</v>
      </c>
      <c r="BV87" s="95">
        <f t="shared" si="75"/>
        <v>0</v>
      </c>
      <c r="BW87" s="95"/>
      <c r="BX87" s="95"/>
      <c r="BY87" s="95"/>
      <c r="BZ87" s="95"/>
      <c r="CA87" s="95">
        <f t="shared" si="83"/>
        <v>0</v>
      </c>
      <c r="CB87" s="97">
        <f t="shared" si="48"/>
        <v>0</v>
      </c>
      <c r="CC87" s="95"/>
      <c r="CD87" s="95"/>
      <c r="CE87" s="95">
        <f t="shared" si="76"/>
        <v>0</v>
      </c>
      <c r="CF87" s="95">
        <f t="shared" si="84"/>
        <v>0</v>
      </c>
      <c r="CG87" s="113"/>
      <c r="CH87" s="22"/>
      <c r="CI87" s="98">
        <f t="shared" si="77"/>
        <v>0</v>
      </c>
      <c r="CJ87" s="95">
        <f t="shared" si="78"/>
        <v>0</v>
      </c>
      <c r="CK87" s="95">
        <f t="shared" si="85"/>
        <v>0</v>
      </c>
      <c r="CL87" s="95"/>
      <c r="CM87" s="99"/>
      <c r="CN87" s="99"/>
      <c r="CO87" s="110"/>
      <c r="CP87" s="99"/>
      <c r="CQ87" s="99"/>
      <c r="CR87" s="99"/>
      <c r="CS87" s="95"/>
      <c r="CT87" s="95"/>
      <c r="CU87" s="96"/>
      <c r="CV87" s="96"/>
      <c r="CW87" s="96"/>
      <c r="CX87" s="96"/>
      <c r="CY87" s="96"/>
      <c r="CZ87" s="93">
        <f t="shared" si="88"/>
        <v>0</v>
      </c>
      <c r="DA87" s="93">
        <f t="shared" si="89"/>
        <v>0</v>
      </c>
      <c r="DB87" s="95">
        <f t="shared" si="86"/>
        <v>0</v>
      </c>
      <c r="DC87" s="100">
        <f t="shared" si="87"/>
        <v>0</v>
      </c>
      <c r="DD87" s="100"/>
      <c r="DE87" s="100">
        <f t="shared" si="79"/>
        <v>0</v>
      </c>
      <c r="DF87" s="13"/>
      <c r="DG87" s="2"/>
      <c r="DH87" s="46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</row>
    <row r="88" spans="1:156" s="1" customFormat="1" hidden="1" x14ac:dyDescent="0.2">
      <c r="A88" s="88">
        <f t="shared" si="52"/>
        <v>509742</v>
      </c>
      <c r="B88" s="21">
        <v>9742</v>
      </c>
      <c r="C88" s="21" t="s">
        <v>98</v>
      </c>
      <c r="D88" s="84" t="s">
        <v>158</v>
      </c>
      <c r="E88" s="114" t="s">
        <v>201</v>
      </c>
      <c r="F88" s="85">
        <v>0</v>
      </c>
      <c r="G88" s="84"/>
      <c r="H88" s="85"/>
      <c r="I88" s="86"/>
      <c r="J88" s="85"/>
      <c r="K88" s="21" t="s">
        <v>10</v>
      </c>
      <c r="L88" s="21"/>
      <c r="M88" s="87"/>
      <c r="N88" s="88"/>
      <c r="O88" s="88">
        <v>3</v>
      </c>
      <c r="P88" s="89">
        <f t="shared" si="80"/>
        <v>5700.7259999999997</v>
      </c>
      <c r="Q88" s="90">
        <f t="shared" si="81"/>
        <v>19002.419999999998</v>
      </c>
      <c r="R88" s="90">
        <f t="shared" si="82"/>
        <v>26397.963600000003</v>
      </c>
      <c r="S88" s="91"/>
      <c r="T88" s="92"/>
      <c r="U88" s="32"/>
      <c r="V88" s="32"/>
      <c r="W88" s="32"/>
      <c r="X88" s="93"/>
      <c r="Y88" s="32"/>
      <c r="Z88" s="32"/>
      <c r="AA88" s="32">
        <v>0</v>
      </c>
      <c r="AB88" s="32">
        <v>0</v>
      </c>
      <c r="AC88" s="32"/>
      <c r="AD88" s="32">
        <v>0</v>
      </c>
      <c r="AE88" s="32">
        <v>0</v>
      </c>
      <c r="AF88" s="32">
        <v>0</v>
      </c>
      <c r="AG88" s="32">
        <v>0</v>
      </c>
      <c r="AH88" s="32">
        <v>0</v>
      </c>
      <c r="AI88" s="32">
        <v>0</v>
      </c>
      <c r="AJ88" s="93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94">
        <f t="shared" si="53"/>
        <v>0</v>
      </c>
      <c r="AV88" s="95">
        <f t="shared" si="54"/>
        <v>0</v>
      </c>
      <c r="AW88" s="95">
        <f t="shared" si="55"/>
        <v>0</v>
      </c>
      <c r="AX88" s="95">
        <f t="shared" si="56"/>
        <v>0</v>
      </c>
      <c r="AY88" s="95">
        <f t="shared" si="57"/>
        <v>0</v>
      </c>
      <c r="AZ88" s="95">
        <f t="shared" si="58"/>
        <v>0</v>
      </c>
      <c r="BA88" s="95">
        <f t="shared" si="59"/>
        <v>0</v>
      </c>
      <c r="BB88" s="95">
        <f t="shared" si="60"/>
        <v>0</v>
      </c>
      <c r="BC88" s="96">
        <f t="shared" si="61"/>
        <v>0</v>
      </c>
      <c r="BD88" s="96">
        <f t="shared" si="62"/>
        <v>0</v>
      </c>
      <c r="BE88" s="96">
        <f t="shared" si="51"/>
        <v>0</v>
      </c>
      <c r="BF88" s="96">
        <f t="shared" si="63"/>
        <v>0</v>
      </c>
      <c r="BG88" s="96">
        <f t="shared" si="64"/>
        <v>0</v>
      </c>
      <c r="BH88" s="96">
        <f t="shared" si="65"/>
        <v>0</v>
      </c>
      <c r="BI88" s="96">
        <f t="shared" si="66"/>
        <v>0</v>
      </c>
      <c r="BJ88" s="96">
        <f t="shared" si="67"/>
        <v>0</v>
      </c>
      <c r="BK88" s="96">
        <f t="shared" si="68"/>
        <v>0</v>
      </c>
      <c r="BL88" s="96">
        <f t="shared" si="69"/>
        <v>0</v>
      </c>
      <c r="BM88" s="96">
        <f t="shared" si="70"/>
        <v>0</v>
      </c>
      <c r="BN88" s="96"/>
      <c r="BO88" s="95"/>
      <c r="BP88" s="95">
        <f t="shared" si="71"/>
        <v>0</v>
      </c>
      <c r="BQ88" s="95"/>
      <c r="BR88" s="95"/>
      <c r="BS88" s="95">
        <f t="shared" si="72"/>
        <v>0</v>
      </c>
      <c r="BT88" s="95">
        <f t="shared" si="73"/>
        <v>0</v>
      </c>
      <c r="BU88" s="95">
        <f t="shared" si="74"/>
        <v>0</v>
      </c>
      <c r="BV88" s="95">
        <f t="shared" si="75"/>
        <v>0</v>
      </c>
      <c r="BW88" s="95"/>
      <c r="BX88" s="95"/>
      <c r="BY88" s="95"/>
      <c r="BZ88" s="95"/>
      <c r="CA88" s="95">
        <f t="shared" si="83"/>
        <v>0</v>
      </c>
      <c r="CB88" s="97">
        <f t="shared" si="48"/>
        <v>0</v>
      </c>
      <c r="CC88" s="95"/>
      <c r="CD88" s="95"/>
      <c r="CE88" s="95">
        <f t="shared" si="76"/>
        <v>0</v>
      </c>
      <c r="CF88" s="95">
        <f t="shared" si="84"/>
        <v>0</v>
      </c>
      <c r="CG88" s="113"/>
      <c r="CH88" s="22"/>
      <c r="CI88" s="98">
        <f t="shared" si="77"/>
        <v>0</v>
      </c>
      <c r="CJ88" s="95">
        <f t="shared" si="78"/>
        <v>0</v>
      </c>
      <c r="CK88" s="95">
        <f t="shared" si="85"/>
        <v>0</v>
      </c>
      <c r="CL88" s="95"/>
      <c r="CM88" s="99"/>
      <c r="CN88" s="99"/>
      <c r="CO88" s="110"/>
      <c r="CP88" s="99"/>
      <c r="CQ88" s="99"/>
      <c r="CR88" s="99"/>
      <c r="CS88" s="95"/>
      <c r="CT88" s="95"/>
      <c r="CU88" s="96"/>
      <c r="CV88" s="96"/>
      <c r="CW88" s="96"/>
      <c r="CX88" s="96"/>
      <c r="CY88" s="96"/>
      <c r="CZ88" s="93">
        <f t="shared" si="88"/>
        <v>0</v>
      </c>
      <c r="DA88" s="93">
        <f t="shared" si="89"/>
        <v>0</v>
      </c>
      <c r="DB88" s="95">
        <f t="shared" si="86"/>
        <v>0</v>
      </c>
      <c r="DC88" s="100">
        <f t="shared" si="87"/>
        <v>0</v>
      </c>
      <c r="DD88" s="100"/>
      <c r="DE88" s="100">
        <f t="shared" si="79"/>
        <v>0</v>
      </c>
      <c r="DF88" s="13"/>
      <c r="DG88" s="2"/>
      <c r="DH88" s="46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</row>
    <row r="89" spans="1:156" s="1" customFormat="1" hidden="1" x14ac:dyDescent="0.2">
      <c r="A89" s="88">
        <f t="shared" si="52"/>
        <v>509745</v>
      </c>
      <c r="B89" s="21">
        <v>9745</v>
      </c>
      <c r="C89" s="21" t="s">
        <v>98</v>
      </c>
      <c r="D89" s="84" t="s">
        <v>161</v>
      </c>
      <c r="E89" s="114" t="s">
        <v>201</v>
      </c>
      <c r="F89" s="85">
        <v>0</v>
      </c>
      <c r="G89" s="84"/>
      <c r="H89" s="85"/>
      <c r="I89" s="86"/>
      <c r="J89" s="85"/>
      <c r="K89" s="21" t="s">
        <v>10</v>
      </c>
      <c r="L89" s="21"/>
      <c r="M89" s="87"/>
      <c r="N89" s="88"/>
      <c r="O89" s="88">
        <v>4</v>
      </c>
      <c r="P89" s="89">
        <f t="shared" si="80"/>
        <v>5700.7259999999997</v>
      </c>
      <c r="Q89" s="90">
        <f t="shared" si="81"/>
        <v>19002.419999999998</v>
      </c>
      <c r="R89" s="90">
        <f t="shared" si="82"/>
        <v>26397.963600000003</v>
      </c>
      <c r="S89" s="91"/>
      <c r="T89" s="92"/>
      <c r="U89" s="32"/>
      <c r="V89" s="32"/>
      <c r="W89" s="32"/>
      <c r="X89" s="93"/>
      <c r="Y89" s="32"/>
      <c r="Z89" s="32"/>
      <c r="AA89" s="32">
        <v>0</v>
      </c>
      <c r="AB89" s="32">
        <v>0</v>
      </c>
      <c r="AC89" s="32"/>
      <c r="AD89" s="32">
        <v>0</v>
      </c>
      <c r="AE89" s="32">
        <v>0</v>
      </c>
      <c r="AF89" s="32">
        <v>0</v>
      </c>
      <c r="AG89" s="32">
        <v>0</v>
      </c>
      <c r="AH89" s="32">
        <v>0</v>
      </c>
      <c r="AI89" s="32">
        <v>0</v>
      </c>
      <c r="AJ89" s="93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94">
        <f t="shared" si="53"/>
        <v>0</v>
      </c>
      <c r="AV89" s="95">
        <f t="shared" si="54"/>
        <v>0</v>
      </c>
      <c r="AW89" s="95">
        <f t="shared" si="55"/>
        <v>0</v>
      </c>
      <c r="AX89" s="95">
        <f t="shared" si="56"/>
        <v>0</v>
      </c>
      <c r="AY89" s="95">
        <f t="shared" si="57"/>
        <v>0</v>
      </c>
      <c r="AZ89" s="95">
        <f t="shared" si="58"/>
        <v>0</v>
      </c>
      <c r="BA89" s="95">
        <f t="shared" si="59"/>
        <v>0</v>
      </c>
      <c r="BB89" s="95">
        <f t="shared" si="60"/>
        <v>0</v>
      </c>
      <c r="BC89" s="96">
        <f t="shared" si="61"/>
        <v>0</v>
      </c>
      <c r="BD89" s="96">
        <f t="shared" si="62"/>
        <v>0</v>
      </c>
      <c r="BE89" s="96">
        <f t="shared" si="51"/>
        <v>0</v>
      </c>
      <c r="BF89" s="96">
        <f t="shared" si="63"/>
        <v>0</v>
      </c>
      <c r="BG89" s="96">
        <f t="shared" si="64"/>
        <v>0</v>
      </c>
      <c r="BH89" s="96">
        <f t="shared" si="65"/>
        <v>0</v>
      </c>
      <c r="BI89" s="96">
        <f t="shared" si="66"/>
        <v>0</v>
      </c>
      <c r="BJ89" s="96">
        <f t="shared" si="67"/>
        <v>0</v>
      </c>
      <c r="BK89" s="96">
        <f t="shared" si="68"/>
        <v>0</v>
      </c>
      <c r="BL89" s="96">
        <f t="shared" si="69"/>
        <v>0</v>
      </c>
      <c r="BM89" s="96">
        <f t="shared" si="70"/>
        <v>0</v>
      </c>
      <c r="BN89" s="96"/>
      <c r="BO89" s="95"/>
      <c r="BP89" s="95">
        <f t="shared" si="71"/>
        <v>0</v>
      </c>
      <c r="BQ89" s="95"/>
      <c r="BR89" s="95"/>
      <c r="BS89" s="95">
        <f t="shared" si="72"/>
        <v>0</v>
      </c>
      <c r="BT89" s="95">
        <f t="shared" si="73"/>
        <v>0</v>
      </c>
      <c r="BU89" s="95">
        <f t="shared" si="74"/>
        <v>0</v>
      </c>
      <c r="BV89" s="95">
        <f t="shared" si="75"/>
        <v>0</v>
      </c>
      <c r="BW89" s="95"/>
      <c r="BX89" s="95"/>
      <c r="BY89" s="95"/>
      <c r="BZ89" s="95"/>
      <c r="CA89" s="95">
        <f t="shared" si="83"/>
        <v>0</v>
      </c>
      <c r="CB89" s="97">
        <f t="shared" si="48"/>
        <v>0</v>
      </c>
      <c r="CC89" s="95"/>
      <c r="CD89" s="95"/>
      <c r="CE89" s="95">
        <f t="shared" si="76"/>
        <v>0</v>
      </c>
      <c r="CF89" s="95">
        <f t="shared" si="84"/>
        <v>0</v>
      </c>
      <c r="CG89" s="113"/>
      <c r="CH89" s="22"/>
      <c r="CI89" s="98">
        <f t="shared" si="77"/>
        <v>0</v>
      </c>
      <c r="CJ89" s="95">
        <f t="shared" si="78"/>
        <v>0</v>
      </c>
      <c r="CK89" s="95">
        <f t="shared" si="85"/>
        <v>0</v>
      </c>
      <c r="CL89" s="95"/>
      <c r="CM89" s="99"/>
      <c r="CN89" s="99"/>
      <c r="CO89" s="110"/>
      <c r="CP89" s="99"/>
      <c r="CQ89" s="99"/>
      <c r="CR89" s="99"/>
      <c r="CS89" s="95"/>
      <c r="CT89" s="95"/>
      <c r="CU89" s="96"/>
      <c r="CV89" s="96"/>
      <c r="CW89" s="96"/>
      <c r="CX89" s="96"/>
      <c r="CY89" s="96"/>
      <c r="CZ89" s="93">
        <f t="shared" si="88"/>
        <v>0</v>
      </c>
      <c r="DA89" s="93">
        <f t="shared" si="89"/>
        <v>0</v>
      </c>
      <c r="DB89" s="95">
        <f t="shared" si="86"/>
        <v>0</v>
      </c>
      <c r="DC89" s="100">
        <f t="shared" si="87"/>
        <v>0</v>
      </c>
      <c r="DD89" s="100"/>
      <c r="DE89" s="100">
        <f t="shared" si="79"/>
        <v>0</v>
      </c>
      <c r="DF89" s="13"/>
      <c r="DG89" s="2"/>
      <c r="DH89" s="46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</row>
    <row r="90" spans="1:156" s="1" customFormat="1" hidden="1" x14ac:dyDescent="0.2">
      <c r="A90" s="88">
        <f t="shared" si="52"/>
        <v>509710</v>
      </c>
      <c r="B90" s="21">
        <v>9710</v>
      </c>
      <c r="C90" s="21" t="s">
        <v>98</v>
      </c>
      <c r="D90" s="84" t="s">
        <v>142</v>
      </c>
      <c r="E90" s="115" t="s">
        <v>202</v>
      </c>
      <c r="F90" s="85">
        <v>3</v>
      </c>
      <c r="G90" s="84"/>
      <c r="H90" s="85"/>
      <c r="I90" s="86"/>
      <c r="J90" s="85"/>
      <c r="K90" s="21" t="s">
        <v>10</v>
      </c>
      <c r="L90" s="21"/>
      <c r="M90" s="87"/>
      <c r="N90" s="88"/>
      <c r="O90" s="88">
        <v>6</v>
      </c>
      <c r="P90" s="89">
        <f t="shared" si="80"/>
        <v>5700.7259999999997</v>
      </c>
      <c r="Q90" s="90">
        <f t="shared" si="81"/>
        <v>19002.419999999998</v>
      </c>
      <c r="R90" s="90">
        <f t="shared" si="82"/>
        <v>26397.963600000003</v>
      </c>
      <c r="S90" s="91"/>
      <c r="T90" s="92"/>
      <c r="U90" s="32"/>
      <c r="V90" s="32"/>
      <c r="W90" s="32"/>
      <c r="X90" s="93"/>
      <c r="Y90" s="32"/>
      <c r="Z90" s="32"/>
      <c r="AA90" s="32">
        <v>0</v>
      </c>
      <c r="AB90" s="32">
        <v>0</v>
      </c>
      <c r="AC90" s="32"/>
      <c r="AD90" s="32">
        <v>0</v>
      </c>
      <c r="AE90" s="32">
        <v>0</v>
      </c>
      <c r="AF90" s="32">
        <v>0</v>
      </c>
      <c r="AG90" s="32">
        <v>0</v>
      </c>
      <c r="AH90" s="32">
        <v>0</v>
      </c>
      <c r="AI90" s="32">
        <v>0</v>
      </c>
      <c r="AJ90" s="93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94">
        <f t="shared" si="53"/>
        <v>0</v>
      </c>
      <c r="AV90" s="95">
        <f t="shared" si="54"/>
        <v>0</v>
      </c>
      <c r="AW90" s="95">
        <f t="shared" si="55"/>
        <v>0</v>
      </c>
      <c r="AX90" s="95">
        <f t="shared" si="56"/>
        <v>0</v>
      </c>
      <c r="AY90" s="95">
        <f t="shared" si="57"/>
        <v>0</v>
      </c>
      <c r="AZ90" s="95">
        <f t="shared" si="58"/>
        <v>0</v>
      </c>
      <c r="BA90" s="95">
        <f t="shared" si="59"/>
        <v>0</v>
      </c>
      <c r="BB90" s="95">
        <f t="shared" si="60"/>
        <v>0</v>
      </c>
      <c r="BC90" s="96">
        <f t="shared" si="61"/>
        <v>0</v>
      </c>
      <c r="BD90" s="96">
        <f t="shared" si="62"/>
        <v>0</v>
      </c>
      <c r="BE90" s="96">
        <f t="shared" si="51"/>
        <v>0</v>
      </c>
      <c r="BF90" s="96">
        <f t="shared" si="63"/>
        <v>0</v>
      </c>
      <c r="BG90" s="96">
        <f t="shared" si="64"/>
        <v>0</v>
      </c>
      <c r="BH90" s="96">
        <f t="shared" si="65"/>
        <v>0</v>
      </c>
      <c r="BI90" s="96">
        <f t="shared" si="66"/>
        <v>0</v>
      </c>
      <c r="BJ90" s="96">
        <f t="shared" si="67"/>
        <v>0</v>
      </c>
      <c r="BK90" s="96">
        <f t="shared" si="68"/>
        <v>0</v>
      </c>
      <c r="BL90" s="96">
        <f t="shared" si="69"/>
        <v>0</v>
      </c>
      <c r="BM90" s="96">
        <f t="shared" si="70"/>
        <v>0</v>
      </c>
      <c r="BN90" s="96"/>
      <c r="BO90" s="95"/>
      <c r="BP90" s="95">
        <f t="shared" si="71"/>
        <v>0</v>
      </c>
      <c r="BQ90" s="95"/>
      <c r="BR90" s="95"/>
      <c r="BS90" s="95">
        <f t="shared" si="72"/>
        <v>0</v>
      </c>
      <c r="BT90" s="95">
        <f t="shared" si="73"/>
        <v>0</v>
      </c>
      <c r="BU90" s="95">
        <f t="shared" si="74"/>
        <v>0</v>
      </c>
      <c r="BV90" s="95">
        <f t="shared" si="75"/>
        <v>0</v>
      </c>
      <c r="BW90" s="95"/>
      <c r="BX90" s="95"/>
      <c r="BY90" s="95"/>
      <c r="BZ90" s="95"/>
      <c r="CA90" s="95">
        <f t="shared" si="83"/>
        <v>0</v>
      </c>
      <c r="CB90" s="97">
        <f t="shared" si="48"/>
        <v>0</v>
      </c>
      <c r="CC90" s="95"/>
      <c r="CD90" s="95"/>
      <c r="CE90" s="95">
        <f t="shared" si="76"/>
        <v>0</v>
      </c>
      <c r="CF90" s="95">
        <f t="shared" si="84"/>
        <v>0</v>
      </c>
      <c r="CG90" s="113"/>
      <c r="CH90" s="22"/>
      <c r="CI90" s="98">
        <f t="shared" si="77"/>
        <v>0</v>
      </c>
      <c r="CJ90" s="95">
        <f t="shared" si="78"/>
        <v>0</v>
      </c>
      <c r="CK90" s="95">
        <f t="shared" si="85"/>
        <v>0</v>
      </c>
      <c r="CL90" s="95"/>
      <c r="CM90" s="99"/>
      <c r="CN90" s="99"/>
      <c r="CO90" s="110"/>
      <c r="CP90" s="99"/>
      <c r="CQ90" s="99"/>
      <c r="CR90" s="99"/>
      <c r="CS90" s="95"/>
      <c r="CT90" s="95"/>
      <c r="CU90" s="96"/>
      <c r="CV90" s="96"/>
      <c r="CW90" s="96"/>
      <c r="CX90" s="96"/>
      <c r="CY90" s="96"/>
      <c r="CZ90" s="93">
        <f t="shared" si="88"/>
        <v>0</v>
      </c>
      <c r="DA90" s="93">
        <f t="shared" si="89"/>
        <v>0</v>
      </c>
      <c r="DB90" s="95">
        <f t="shared" si="86"/>
        <v>0</v>
      </c>
      <c r="DC90" s="100">
        <f t="shared" si="87"/>
        <v>0</v>
      </c>
      <c r="DD90" s="100"/>
      <c r="DE90" s="100">
        <f t="shared" si="79"/>
        <v>0</v>
      </c>
      <c r="DF90" s="13"/>
      <c r="DG90" s="2"/>
      <c r="DH90" s="46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</row>
    <row r="91" spans="1:156" s="1" customFormat="1" hidden="1" x14ac:dyDescent="0.2">
      <c r="A91" s="88">
        <f t="shared" si="52"/>
        <v>509712</v>
      </c>
      <c r="B91" s="21">
        <v>9712</v>
      </c>
      <c r="C91" s="21" t="s">
        <v>98</v>
      </c>
      <c r="D91" s="84" t="s">
        <v>143</v>
      </c>
      <c r="E91" s="115" t="s">
        <v>202</v>
      </c>
      <c r="F91" s="85">
        <v>0</v>
      </c>
      <c r="G91" s="84"/>
      <c r="H91" s="85">
        <v>63</v>
      </c>
      <c r="I91" s="86"/>
      <c r="J91" s="85"/>
      <c r="K91" s="21" t="s">
        <v>8</v>
      </c>
      <c r="L91" s="21"/>
      <c r="M91" s="87"/>
      <c r="N91" s="88"/>
      <c r="O91" s="88">
        <v>8</v>
      </c>
      <c r="P91" s="89">
        <f t="shared" si="80"/>
        <v>5401.2359999999999</v>
      </c>
      <c r="Q91" s="90">
        <f t="shared" si="81"/>
        <v>18004.12</v>
      </c>
      <c r="R91" s="90">
        <f t="shared" si="82"/>
        <v>25011.1211</v>
      </c>
      <c r="S91" s="91"/>
      <c r="T91" s="92"/>
      <c r="U91" s="32"/>
      <c r="V91" s="32"/>
      <c r="W91" s="32"/>
      <c r="X91" s="93"/>
      <c r="Y91" s="32"/>
      <c r="Z91" s="32"/>
      <c r="AA91" s="32">
        <v>0</v>
      </c>
      <c r="AB91" s="32">
        <v>0</v>
      </c>
      <c r="AC91" s="32"/>
      <c r="AD91" s="32">
        <v>0</v>
      </c>
      <c r="AE91" s="32">
        <v>0</v>
      </c>
      <c r="AF91" s="32">
        <v>0</v>
      </c>
      <c r="AG91" s="32">
        <v>0</v>
      </c>
      <c r="AH91" s="32">
        <v>0</v>
      </c>
      <c r="AI91" s="32">
        <v>0</v>
      </c>
      <c r="AJ91" s="93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94">
        <f t="shared" si="53"/>
        <v>0</v>
      </c>
      <c r="AV91" s="95">
        <f t="shared" si="54"/>
        <v>0</v>
      </c>
      <c r="AW91" s="95">
        <f t="shared" si="55"/>
        <v>0</v>
      </c>
      <c r="AX91" s="95">
        <f t="shared" si="56"/>
        <v>0</v>
      </c>
      <c r="AY91" s="95">
        <f t="shared" si="57"/>
        <v>0</v>
      </c>
      <c r="AZ91" s="95">
        <f t="shared" si="58"/>
        <v>0</v>
      </c>
      <c r="BA91" s="95">
        <f t="shared" si="59"/>
        <v>0</v>
      </c>
      <c r="BB91" s="95">
        <f t="shared" si="60"/>
        <v>0</v>
      </c>
      <c r="BC91" s="96">
        <f t="shared" si="61"/>
        <v>0</v>
      </c>
      <c r="BD91" s="96">
        <f t="shared" si="62"/>
        <v>0</v>
      </c>
      <c r="BE91" s="96">
        <f t="shared" si="51"/>
        <v>0</v>
      </c>
      <c r="BF91" s="96">
        <f t="shared" si="63"/>
        <v>0</v>
      </c>
      <c r="BG91" s="96">
        <f t="shared" si="64"/>
        <v>0</v>
      </c>
      <c r="BH91" s="96">
        <f t="shared" si="65"/>
        <v>0</v>
      </c>
      <c r="BI91" s="96">
        <f t="shared" si="66"/>
        <v>0</v>
      </c>
      <c r="BJ91" s="96">
        <f t="shared" si="67"/>
        <v>0</v>
      </c>
      <c r="BK91" s="96">
        <f t="shared" si="68"/>
        <v>0</v>
      </c>
      <c r="BL91" s="96">
        <f t="shared" si="69"/>
        <v>0</v>
      </c>
      <c r="BM91" s="96">
        <f t="shared" si="70"/>
        <v>0</v>
      </c>
      <c r="BN91" s="96"/>
      <c r="BO91" s="95"/>
      <c r="BP91" s="95">
        <f t="shared" si="71"/>
        <v>0</v>
      </c>
      <c r="BQ91" s="95"/>
      <c r="BR91" s="95"/>
      <c r="BS91" s="95">
        <f t="shared" si="72"/>
        <v>0</v>
      </c>
      <c r="BT91" s="95">
        <f t="shared" si="73"/>
        <v>0</v>
      </c>
      <c r="BU91" s="95">
        <f t="shared" si="74"/>
        <v>0</v>
      </c>
      <c r="BV91" s="95">
        <f t="shared" si="75"/>
        <v>0</v>
      </c>
      <c r="BW91" s="95"/>
      <c r="BX91" s="95"/>
      <c r="BY91" s="95"/>
      <c r="BZ91" s="95"/>
      <c r="CA91" s="95">
        <f t="shared" si="83"/>
        <v>0</v>
      </c>
      <c r="CB91" s="97">
        <f t="shared" si="48"/>
        <v>0</v>
      </c>
      <c r="CC91" s="95"/>
      <c r="CD91" s="95"/>
      <c r="CE91" s="95">
        <f t="shared" si="76"/>
        <v>0</v>
      </c>
      <c r="CF91" s="95">
        <f t="shared" si="84"/>
        <v>0</v>
      </c>
      <c r="CG91" s="113"/>
      <c r="CH91" s="22"/>
      <c r="CI91" s="98">
        <f t="shared" si="77"/>
        <v>0</v>
      </c>
      <c r="CJ91" s="95">
        <f t="shared" si="78"/>
        <v>0</v>
      </c>
      <c r="CK91" s="95">
        <f t="shared" si="85"/>
        <v>0</v>
      </c>
      <c r="CL91" s="95"/>
      <c r="CM91" s="99"/>
      <c r="CN91" s="99"/>
      <c r="CO91" s="110"/>
      <c r="CP91" s="99"/>
      <c r="CQ91" s="99"/>
      <c r="CR91" s="99"/>
      <c r="CS91" s="95"/>
      <c r="CT91" s="95"/>
      <c r="CU91" s="96"/>
      <c r="CV91" s="96"/>
      <c r="CW91" s="96"/>
      <c r="CX91" s="96"/>
      <c r="CY91" s="96"/>
      <c r="CZ91" s="93">
        <f t="shared" si="88"/>
        <v>0</v>
      </c>
      <c r="DA91" s="93">
        <f t="shared" si="89"/>
        <v>0</v>
      </c>
      <c r="DB91" s="95">
        <f t="shared" si="86"/>
        <v>0</v>
      </c>
      <c r="DC91" s="100">
        <f t="shared" si="87"/>
        <v>0</v>
      </c>
      <c r="DD91" s="100"/>
      <c r="DE91" s="100">
        <f t="shared" si="79"/>
        <v>0</v>
      </c>
      <c r="DF91" s="13"/>
      <c r="DG91" s="2"/>
      <c r="DH91" s="46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</row>
    <row r="92" spans="1:156" s="1" customFormat="1" hidden="1" x14ac:dyDescent="0.2">
      <c r="A92" s="88">
        <f t="shared" si="52"/>
        <v>509713</v>
      </c>
      <c r="B92" s="21">
        <v>9713</v>
      </c>
      <c r="C92" s="21" t="s">
        <v>98</v>
      </c>
      <c r="D92" s="84" t="s">
        <v>144</v>
      </c>
      <c r="E92" s="115" t="s">
        <v>202</v>
      </c>
      <c r="F92" s="85">
        <v>3</v>
      </c>
      <c r="G92" s="84"/>
      <c r="H92" s="85"/>
      <c r="I92" s="86"/>
      <c r="J92" s="85"/>
      <c r="K92" s="21" t="s">
        <v>10</v>
      </c>
      <c r="L92" s="21"/>
      <c r="M92" s="87"/>
      <c r="N92" s="88"/>
      <c r="O92" s="88">
        <v>6</v>
      </c>
      <c r="P92" s="89">
        <f t="shared" si="80"/>
        <v>5700.7259999999997</v>
      </c>
      <c r="Q92" s="90">
        <f t="shared" si="81"/>
        <v>19002.419999999998</v>
      </c>
      <c r="R92" s="90">
        <f t="shared" si="82"/>
        <v>26397.963600000003</v>
      </c>
      <c r="S92" s="91"/>
      <c r="T92" s="92"/>
      <c r="U92" s="32"/>
      <c r="V92" s="32"/>
      <c r="W92" s="32"/>
      <c r="X92" s="93"/>
      <c r="Y92" s="32"/>
      <c r="Z92" s="32"/>
      <c r="AA92" s="32">
        <v>0</v>
      </c>
      <c r="AB92" s="32">
        <v>0</v>
      </c>
      <c r="AC92" s="32"/>
      <c r="AD92" s="32">
        <v>0</v>
      </c>
      <c r="AE92" s="32">
        <v>0</v>
      </c>
      <c r="AF92" s="32">
        <v>0</v>
      </c>
      <c r="AG92" s="32">
        <v>0</v>
      </c>
      <c r="AH92" s="32">
        <v>0</v>
      </c>
      <c r="AI92" s="32">
        <v>0</v>
      </c>
      <c r="AJ92" s="93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94">
        <f t="shared" si="53"/>
        <v>0</v>
      </c>
      <c r="AV92" s="95">
        <f t="shared" si="54"/>
        <v>0</v>
      </c>
      <c r="AW92" s="95">
        <f t="shared" si="55"/>
        <v>0</v>
      </c>
      <c r="AX92" s="95">
        <f t="shared" si="56"/>
        <v>0</v>
      </c>
      <c r="AY92" s="95">
        <f t="shared" si="57"/>
        <v>0</v>
      </c>
      <c r="AZ92" s="95">
        <f t="shared" si="58"/>
        <v>0</v>
      </c>
      <c r="BA92" s="95">
        <f t="shared" si="59"/>
        <v>0</v>
      </c>
      <c r="BB92" s="95">
        <f t="shared" si="60"/>
        <v>0</v>
      </c>
      <c r="BC92" s="96">
        <f t="shared" si="61"/>
        <v>0</v>
      </c>
      <c r="BD92" s="96">
        <f t="shared" si="62"/>
        <v>0</v>
      </c>
      <c r="BE92" s="96">
        <f t="shared" si="51"/>
        <v>0</v>
      </c>
      <c r="BF92" s="96">
        <f t="shared" si="63"/>
        <v>0</v>
      </c>
      <c r="BG92" s="96">
        <f t="shared" si="64"/>
        <v>0</v>
      </c>
      <c r="BH92" s="96">
        <f t="shared" si="65"/>
        <v>0</v>
      </c>
      <c r="BI92" s="96">
        <f t="shared" si="66"/>
        <v>0</v>
      </c>
      <c r="BJ92" s="96">
        <f t="shared" si="67"/>
        <v>0</v>
      </c>
      <c r="BK92" s="96">
        <f t="shared" si="68"/>
        <v>0</v>
      </c>
      <c r="BL92" s="96">
        <f t="shared" si="69"/>
        <v>0</v>
      </c>
      <c r="BM92" s="96">
        <f t="shared" si="70"/>
        <v>0</v>
      </c>
      <c r="BN92" s="96"/>
      <c r="BO92" s="95"/>
      <c r="BP92" s="95">
        <f t="shared" si="71"/>
        <v>0</v>
      </c>
      <c r="BQ92" s="95"/>
      <c r="BR92" s="95"/>
      <c r="BS92" s="95">
        <f t="shared" si="72"/>
        <v>0</v>
      </c>
      <c r="BT92" s="95">
        <f t="shared" si="73"/>
        <v>0</v>
      </c>
      <c r="BU92" s="95">
        <f t="shared" si="74"/>
        <v>0</v>
      </c>
      <c r="BV92" s="95">
        <f t="shared" si="75"/>
        <v>0</v>
      </c>
      <c r="BW92" s="95"/>
      <c r="BX92" s="95"/>
      <c r="BY92" s="95"/>
      <c r="BZ92" s="95"/>
      <c r="CA92" s="95">
        <f t="shared" si="83"/>
        <v>0</v>
      </c>
      <c r="CB92" s="97">
        <f t="shared" si="48"/>
        <v>0</v>
      </c>
      <c r="CC92" s="95"/>
      <c r="CD92" s="95"/>
      <c r="CE92" s="95">
        <f t="shared" si="76"/>
        <v>0</v>
      </c>
      <c r="CF92" s="95">
        <f t="shared" si="84"/>
        <v>0</v>
      </c>
      <c r="CG92" s="113"/>
      <c r="CH92" s="22"/>
      <c r="CI92" s="98">
        <f t="shared" si="77"/>
        <v>0</v>
      </c>
      <c r="CJ92" s="95">
        <f t="shared" si="78"/>
        <v>0</v>
      </c>
      <c r="CK92" s="95">
        <f t="shared" si="85"/>
        <v>0</v>
      </c>
      <c r="CL92" s="95"/>
      <c r="CM92" s="99"/>
      <c r="CN92" s="99"/>
      <c r="CO92" s="110"/>
      <c r="CP92" s="99"/>
      <c r="CQ92" s="99"/>
      <c r="CR92" s="99"/>
      <c r="CS92" s="95"/>
      <c r="CT92" s="95"/>
      <c r="CU92" s="96"/>
      <c r="CV92" s="96"/>
      <c r="CW92" s="96"/>
      <c r="CX92" s="96"/>
      <c r="CY92" s="96"/>
      <c r="CZ92" s="93">
        <f t="shared" si="88"/>
        <v>0</v>
      </c>
      <c r="DA92" s="93">
        <f t="shared" si="89"/>
        <v>0</v>
      </c>
      <c r="DB92" s="95">
        <f t="shared" si="86"/>
        <v>0</v>
      </c>
      <c r="DC92" s="100">
        <f t="shared" si="87"/>
        <v>0</v>
      </c>
      <c r="DD92" s="100"/>
      <c r="DE92" s="100">
        <f t="shared" si="79"/>
        <v>0</v>
      </c>
      <c r="DF92" s="13"/>
      <c r="DG92" s="2"/>
      <c r="DH92" s="46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</row>
    <row r="93" spans="1:156" s="1" customFormat="1" x14ac:dyDescent="0.2">
      <c r="A93" s="88">
        <f t="shared" si="52"/>
        <v>509715</v>
      </c>
      <c r="B93" s="21">
        <v>9715</v>
      </c>
      <c r="C93" s="21" t="s">
        <v>98</v>
      </c>
      <c r="D93" s="84" t="s">
        <v>145</v>
      </c>
      <c r="E93" s="115" t="s">
        <v>202</v>
      </c>
      <c r="F93" s="85">
        <v>3</v>
      </c>
      <c r="G93" s="84"/>
      <c r="H93" s="85"/>
      <c r="I93" s="86"/>
      <c r="J93" s="85"/>
      <c r="K93" s="21" t="s">
        <v>10</v>
      </c>
      <c r="L93" s="21"/>
      <c r="M93" s="87"/>
      <c r="N93" s="88"/>
      <c r="O93" s="88">
        <v>8</v>
      </c>
      <c r="P93" s="89">
        <f t="shared" si="80"/>
        <v>5700.7259999999997</v>
      </c>
      <c r="Q93" s="90">
        <f t="shared" si="81"/>
        <v>19002.419999999998</v>
      </c>
      <c r="R93" s="90">
        <f t="shared" si="82"/>
        <v>26397.963600000003</v>
      </c>
      <c r="S93" s="91"/>
      <c r="T93" s="92"/>
      <c r="U93" s="32"/>
      <c r="V93" s="32"/>
      <c r="W93" s="32"/>
      <c r="X93" s="93"/>
      <c r="Y93" s="32"/>
      <c r="Z93" s="32"/>
      <c r="AA93" s="32">
        <v>15</v>
      </c>
      <c r="AB93" s="32">
        <v>0</v>
      </c>
      <c r="AC93" s="32"/>
      <c r="AD93" s="32">
        <v>0</v>
      </c>
      <c r="AE93" s="32">
        <v>0</v>
      </c>
      <c r="AF93" s="32">
        <v>0</v>
      </c>
      <c r="AG93" s="32">
        <v>0</v>
      </c>
      <c r="AH93" s="32">
        <v>0</v>
      </c>
      <c r="AI93" s="32">
        <v>3.625</v>
      </c>
      <c r="AJ93" s="93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94">
        <f t="shared" si="53"/>
        <v>0</v>
      </c>
      <c r="AV93" s="95">
        <f t="shared" si="54"/>
        <v>0</v>
      </c>
      <c r="AW93" s="95">
        <f t="shared" si="55"/>
        <v>0</v>
      </c>
      <c r="AX93" s="95">
        <f t="shared" si="56"/>
        <v>0</v>
      </c>
      <c r="AY93" s="95">
        <f t="shared" si="57"/>
        <v>0</v>
      </c>
      <c r="AZ93" s="95">
        <f t="shared" si="58"/>
        <v>0</v>
      </c>
      <c r="BA93" s="95">
        <f t="shared" si="59"/>
        <v>0</v>
      </c>
      <c r="BB93" s="95">
        <f t="shared" si="60"/>
        <v>35629.537499999999</v>
      </c>
      <c r="BC93" s="96">
        <f t="shared" si="61"/>
        <v>0</v>
      </c>
      <c r="BD93" s="96">
        <f t="shared" si="62"/>
        <v>0</v>
      </c>
      <c r="BE93" s="96">
        <f t="shared" si="51"/>
        <v>0</v>
      </c>
      <c r="BF93" s="96">
        <f t="shared" si="63"/>
        <v>0</v>
      </c>
      <c r="BG93" s="96">
        <f t="shared" si="64"/>
        <v>0</v>
      </c>
      <c r="BH93" s="96">
        <f t="shared" si="65"/>
        <v>0</v>
      </c>
      <c r="BI93" s="96">
        <f t="shared" si="66"/>
        <v>68883.772499999992</v>
      </c>
      <c r="BJ93" s="96">
        <f t="shared" si="67"/>
        <v>0</v>
      </c>
      <c r="BK93" s="96">
        <f t="shared" si="68"/>
        <v>0</v>
      </c>
      <c r="BL93" s="96">
        <f t="shared" si="69"/>
        <v>0</v>
      </c>
      <c r="BM93" s="96">
        <f t="shared" si="70"/>
        <v>0</v>
      </c>
      <c r="BN93" s="96"/>
      <c r="BO93" s="95"/>
      <c r="BP93" s="95">
        <f t="shared" si="71"/>
        <v>0</v>
      </c>
      <c r="BQ93" s="95"/>
      <c r="BR93" s="95"/>
      <c r="BS93" s="95">
        <f t="shared" si="72"/>
        <v>0</v>
      </c>
      <c r="BT93" s="95">
        <f t="shared" si="73"/>
        <v>0</v>
      </c>
      <c r="BU93" s="95">
        <f t="shared" si="74"/>
        <v>0</v>
      </c>
      <c r="BV93" s="95">
        <f t="shared" si="75"/>
        <v>0</v>
      </c>
      <c r="BW93" s="95"/>
      <c r="BX93" s="95"/>
      <c r="BY93" s="95"/>
      <c r="BZ93" s="95"/>
      <c r="CA93" s="95">
        <f t="shared" si="83"/>
        <v>0</v>
      </c>
      <c r="CB93" s="97">
        <f t="shared" si="48"/>
        <v>104513.31</v>
      </c>
      <c r="CC93" s="95"/>
      <c r="CD93" s="95"/>
      <c r="CE93" s="95">
        <f t="shared" si="76"/>
        <v>-3135.3993</v>
      </c>
      <c r="CF93" s="95">
        <f t="shared" si="84"/>
        <v>-1567.69965</v>
      </c>
      <c r="CG93" s="113"/>
      <c r="CH93" s="22"/>
      <c r="CI93" s="98">
        <f t="shared" si="77"/>
        <v>145189.89025199998</v>
      </c>
      <c r="CJ93" s="95">
        <f t="shared" si="78"/>
        <v>-4355.6967075599996</v>
      </c>
      <c r="CK93" s="95">
        <f t="shared" si="85"/>
        <v>-2177.8483537799998</v>
      </c>
      <c r="CL93" s="95"/>
      <c r="CM93" s="99"/>
      <c r="CN93" s="99"/>
      <c r="CO93" s="110"/>
      <c r="CP93" s="99"/>
      <c r="CQ93" s="99"/>
      <c r="CR93" s="99"/>
      <c r="CS93" s="95"/>
      <c r="CT93" s="95"/>
      <c r="CU93" s="96"/>
      <c r="CV93" s="96"/>
      <c r="CW93" s="96"/>
      <c r="CX93" s="96"/>
      <c r="CY93" s="96"/>
      <c r="CZ93" s="93">
        <f t="shared" si="88"/>
        <v>0</v>
      </c>
      <c r="DA93" s="93">
        <f t="shared" si="89"/>
        <v>0</v>
      </c>
      <c r="DB93" s="95">
        <f t="shared" si="86"/>
        <v>238466.55624065999</v>
      </c>
      <c r="DC93" s="100">
        <f t="shared" si="87"/>
        <v>238467</v>
      </c>
      <c r="DD93" s="100"/>
      <c r="DE93" s="100">
        <f t="shared" si="79"/>
        <v>-238467</v>
      </c>
      <c r="DF93" s="13"/>
      <c r="DG93" s="2"/>
      <c r="DH93" s="46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</row>
    <row r="94" spans="1:156" s="1" customFormat="1" hidden="1" x14ac:dyDescent="0.2">
      <c r="A94" s="88">
        <f t="shared" si="52"/>
        <v>509716</v>
      </c>
      <c r="B94" s="21">
        <v>9716</v>
      </c>
      <c r="C94" s="21" t="s">
        <v>98</v>
      </c>
      <c r="D94" s="84" t="s">
        <v>146</v>
      </c>
      <c r="E94" s="115" t="s">
        <v>202</v>
      </c>
      <c r="F94" s="85">
        <v>0</v>
      </c>
      <c r="G94" s="84"/>
      <c r="H94" s="85"/>
      <c r="I94" s="86"/>
      <c r="J94" s="85"/>
      <c r="K94" s="21" t="s">
        <v>10</v>
      </c>
      <c r="L94" s="21"/>
      <c r="M94" s="87"/>
      <c r="N94" s="88"/>
      <c r="O94" s="88">
        <v>0</v>
      </c>
      <c r="P94" s="89">
        <f t="shared" si="80"/>
        <v>5700.7259999999997</v>
      </c>
      <c r="Q94" s="90">
        <f t="shared" si="81"/>
        <v>19002.419999999998</v>
      </c>
      <c r="R94" s="90">
        <f t="shared" si="82"/>
        <v>26397.963600000003</v>
      </c>
      <c r="S94" s="91"/>
      <c r="T94" s="92"/>
      <c r="U94" s="32"/>
      <c r="V94" s="32"/>
      <c r="W94" s="32"/>
      <c r="X94" s="93"/>
      <c r="Y94" s="32"/>
      <c r="Z94" s="32"/>
      <c r="AA94" s="32">
        <v>0</v>
      </c>
      <c r="AB94" s="32">
        <v>0</v>
      </c>
      <c r="AC94" s="32"/>
      <c r="AD94" s="32">
        <v>0</v>
      </c>
      <c r="AE94" s="32">
        <v>0</v>
      </c>
      <c r="AF94" s="32">
        <v>0</v>
      </c>
      <c r="AG94" s="32">
        <v>0</v>
      </c>
      <c r="AH94" s="32">
        <v>0</v>
      </c>
      <c r="AI94" s="32">
        <v>0</v>
      </c>
      <c r="AJ94" s="93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94">
        <f t="shared" si="53"/>
        <v>0</v>
      </c>
      <c r="AV94" s="95">
        <f t="shared" si="54"/>
        <v>0</v>
      </c>
      <c r="AW94" s="95">
        <f t="shared" si="55"/>
        <v>0</v>
      </c>
      <c r="AX94" s="95">
        <f t="shared" si="56"/>
        <v>0</v>
      </c>
      <c r="AY94" s="95">
        <f t="shared" si="57"/>
        <v>0</v>
      </c>
      <c r="AZ94" s="95">
        <f t="shared" si="58"/>
        <v>0</v>
      </c>
      <c r="BA94" s="95">
        <f t="shared" si="59"/>
        <v>0</v>
      </c>
      <c r="BB94" s="95">
        <f t="shared" si="60"/>
        <v>0</v>
      </c>
      <c r="BC94" s="96">
        <f t="shared" si="61"/>
        <v>0</v>
      </c>
      <c r="BD94" s="96">
        <f t="shared" si="62"/>
        <v>0</v>
      </c>
      <c r="BE94" s="96">
        <f t="shared" si="51"/>
        <v>0</v>
      </c>
      <c r="BF94" s="96">
        <f t="shared" si="63"/>
        <v>0</v>
      </c>
      <c r="BG94" s="96">
        <f t="shared" si="64"/>
        <v>0</v>
      </c>
      <c r="BH94" s="96">
        <f t="shared" si="65"/>
        <v>0</v>
      </c>
      <c r="BI94" s="96">
        <f t="shared" si="66"/>
        <v>0</v>
      </c>
      <c r="BJ94" s="96">
        <f t="shared" si="67"/>
        <v>0</v>
      </c>
      <c r="BK94" s="96">
        <f t="shared" si="68"/>
        <v>0</v>
      </c>
      <c r="BL94" s="96">
        <f t="shared" si="69"/>
        <v>0</v>
      </c>
      <c r="BM94" s="96">
        <f t="shared" si="70"/>
        <v>0</v>
      </c>
      <c r="BN94" s="96"/>
      <c r="BO94" s="95"/>
      <c r="BP94" s="95">
        <f t="shared" si="71"/>
        <v>0</v>
      </c>
      <c r="BQ94" s="95"/>
      <c r="BR94" s="95"/>
      <c r="BS94" s="95">
        <f t="shared" si="72"/>
        <v>0</v>
      </c>
      <c r="BT94" s="95">
        <f t="shared" si="73"/>
        <v>0</v>
      </c>
      <c r="BU94" s="95">
        <f t="shared" si="74"/>
        <v>0</v>
      </c>
      <c r="BV94" s="95">
        <f t="shared" si="75"/>
        <v>0</v>
      </c>
      <c r="BW94" s="95"/>
      <c r="BX94" s="95"/>
      <c r="BY94" s="95"/>
      <c r="BZ94" s="95"/>
      <c r="CA94" s="95">
        <f t="shared" si="83"/>
        <v>0</v>
      </c>
      <c r="CB94" s="97">
        <f t="shared" si="48"/>
        <v>0</v>
      </c>
      <c r="CC94" s="95"/>
      <c r="CD94" s="95"/>
      <c r="CE94" s="95">
        <f t="shared" si="76"/>
        <v>0</v>
      </c>
      <c r="CF94" s="95">
        <f t="shared" si="84"/>
        <v>0</v>
      </c>
      <c r="CG94" s="113"/>
      <c r="CH94" s="22"/>
      <c r="CI94" s="98">
        <f t="shared" si="77"/>
        <v>0</v>
      </c>
      <c r="CJ94" s="95">
        <f t="shared" si="78"/>
        <v>0</v>
      </c>
      <c r="CK94" s="95">
        <f t="shared" si="85"/>
        <v>0</v>
      </c>
      <c r="CL94" s="95"/>
      <c r="CM94" s="99"/>
      <c r="CN94" s="99"/>
      <c r="CO94" s="110"/>
      <c r="CP94" s="99"/>
      <c r="CQ94" s="99"/>
      <c r="CR94" s="99"/>
      <c r="CS94" s="95"/>
      <c r="CT94" s="95"/>
      <c r="CU94" s="96"/>
      <c r="CV94" s="96"/>
      <c r="CW94" s="96"/>
      <c r="CX94" s="96"/>
      <c r="CY94" s="96"/>
      <c r="CZ94" s="93">
        <f t="shared" si="88"/>
        <v>0</v>
      </c>
      <c r="DA94" s="93">
        <f t="shared" si="89"/>
        <v>0</v>
      </c>
      <c r="DB94" s="95">
        <f t="shared" si="86"/>
        <v>0</v>
      </c>
      <c r="DC94" s="100">
        <f t="shared" si="87"/>
        <v>0</v>
      </c>
      <c r="DD94" s="100"/>
      <c r="DE94" s="100">
        <f t="shared" si="79"/>
        <v>0</v>
      </c>
      <c r="DF94" s="13"/>
      <c r="DG94" s="2"/>
      <c r="DH94" s="46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</row>
    <row r="95" spans="1:156" s="1" customFormat="1" hidden="1" x14ac:dyDescent="0.2">
      <c r="A95" s="88">
        <f t="shared" si="52"/>
        <v>509719</v>
      </c>
      <c r="B95" s="21">
        <v>9719</v>
      </c>
      <c r="C95" s="21" t="s">
        <v>98</v>
      </c>
      <c r="D95" s="84" t="s">
        <v>147</v>
      </c>
      <c r="E95" s="115" t="s">
        <v>202</v>
      </c>
      <c r="F95" s="85">
        <v>3</v>
      </c>
      <c r="G95" s="84"/>
      <c r="H95" s="85"/>
      <c r="I95" s="86"/>
      <c r="J95" s="85"/>
      <c r="K95" s="21" t="s">
        <v>8</v>
      </c>
      <c r="L95" s="21"/>
      <c r="M95" s="87"/>
      <c r="N95" s="88"/>
      <c r="O95" s="88">
        <v>18</v>
      </c>
      <c r="P95" s="89">
        <f t="shared" si="80"/>
        <v>5401.2359999999999</v>
      </c>
      <c r="Q95" s="90">
        <f t="shared" si="81"/>
        <v>18004.12</v>
      </c>
      <c r="R95" s="90">
        <f t="shared" si="82"/>
        <v>25011.1211</v>
      </c>
      <c r="S95" s="91"/>
      <c r="T95" s="92"/>
      <c r="U95" s="32"/>
      <c r="V95" s="32"/>
      <c r="W95" s="32"/>
      <c r="X95" s="93"/>
      <c r="Y95" s="32"/>
      <c r="Z95" s="32"/>
      <c r="AA95" s="32">
        <v>0</v>
      </c>
      <c r="AB95" s="32">
        <v>0</v>
      </c>
      <c r="AC95" s="32"/>
      <c r="AD95" s="32">
        <v>0</v>
      </c>
      <c r="AE95" s="32">
        <v>0</v>
      </c>
      <c r="AF95" s="32">
        <v>0</v>
      </c>
      <c r="AG95" s="32">
        <v>0</v>
      </c>
      <c r="AH95" s="32">
        <v>0</v>
      </c>
      <c r="AI95" s="32">
        <v>0</v>
      </c>
      <c r="AJ95" s="93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94">
        <f t="shared" si="53"/>
        <v>0</v>
      </c>
      <c r="AV95" s="95">
        <f t="shared" si="54"/>
        <v>0</v>
      </c>
      <c r="AW95" s="95">
        <f t="shared" si="55"/>
        <v>0</v>
      </c>
      <c r="AX95" s="95">
        <f t="shared" si="56"/>
        <v>0</v>
      </c>
      <c r="AY95" s="95">
        <f t="shared" si="57"/>
        <v>0</v>
      </c>
      <c r="AZ95" s="95">
        <f t="shared" si="58"/>
        <v>0</v>
      </c>
      <c r="BA95" s="95">
        <f t="shared" si="59"/>
        <v>0</v>
      </c>
      <c r="BB95" s="95">
        <f t="shared" si="60"/>
        <v>0</v>
      </c>
      <c r="BC95" s="96">
        <f t="shared" si="61"/>
        <v>0</v>
      </c>
      <c r="BD95" s="96">
        <f t="shared" si="62"/>
        <v>0</v>
      </c>
      <c r="BE95" s="96">
        <f t="shared" si="51"/>
        <v>0</v>
      </c>
      <c r="BF95" s="96">
        <f t="shared" si="63"/>
        <v>0</v>
      </c>
      <c r="BG95" s="96">
        <f t="shared" si="64"/>
        <v>0</v>
      </c>
      <c r="BH95" s="96">
        <f t="shared" si="65"/>
        <v>0</v>
      </c>
      <c r="BI95" s="96">
        <f t="shared" si="66"/>
        <v>0</v>
      </c>
      <c r="BJ95" s="96">
        <f t="shared" si="67"/>
        <v>0</v>
      </c>
      <c r="BK95" s="96">
        <f t="shared" si="68"/>
        <v>0</v>
      </c>
      <c r="BL95" s="96">
        <f t="shared" si="69"/>
        <v>0</v>
      </c>
      <c r="BM95" s="96">
        <f t="shared" si="70"/>
        <v>0</v>
      </c>
      <c r="BN95" s="96"/>
      <c r="BO95" s="95"/>
      <c r="BP95" s="95">
        <f t="shared" si="71"/>
        <v>0</v>
      </c>
      <c r="BQ95" s="95"/>
      <c r="BR95" s="95"/>
      <c r="BS95" s="95">
        <f t="shared" si="72"/>
        <v>0</v>
      </c>
      <c r="BT95" s="95">
        <f t="shared" si="73"/>
        <v>0</v>
      </c>
      <c r="BU95" s="95">
        <f t="shared" si="74"/>
        <v>0</v>
      </c>
      <c r="BV95" s="95">
        <f t="shared" si="75"/>
        <v>0</v>
      </c>
      <c r="BW95" s="95"/>
      <c r="BX95" s="95"/>
      <c r="BY95" s="95"/>
      <c r="BZ95" s="95"/>
      <c r="CA95" s="95">
        <f t="shared" si="83"/>
        <v>0</v>
      </c>
      <c r="CB95" s="97">
        <f t="shared" si="48"/>
        <v>0</v>
      </c>
      <c r="CC95" s="95"/>
      <c r="CD95" s="95"/>
      <c r="CE95" s="95">
        <f t="shared" si="76"/>
        <v>0</v>
      </c>
      <c r="CF95" s="95">
        <f t="shared" si="84"/>
        <v>0</v>
      </c>
      <c r="CG95" s="113"/>
      <c r="CH95" s="22"/>
      <c r="CI95" s="98">
        <f t="shared" si="77"/>
        <v>0</v>
      </c>
      <c r="CJ95" s="95">
        <f t="shared" si="78"/>
        <v>0</v>
      </c>
      <c r="CK95" s="95">
        <f t="shared" si="85"/>
        <v>0</v>
      </c>
      <c r="CL95" s="95"/>
      <c r="CM95" s="99"/>
      <c r="CN95" s="99"/>
      <c r="CO95" s="110"/>
      <c r="CP95" s="99"/>
      <c r="CQ95" s="99"/>
      <c r="CR95" s="99"/>
      <c r="CS95" s="95"/>
      <c r="CT95" s="95"/>
      <c r="CU95" s="96"/>
      <c r="CV95" s="96"/>
      <c r="CW95" s="96"/>
      <c r="CX95" s="96"/>
      <c r="CY95" s="96"/>
      <c r="CZ95" s="93">
        <f t="shared" si="88"/>
        <v>0</v>
      </c>
      <c r="DA95" s="93">
        <f t="shared" si="89"/>
        <v>0</v>
      </c>
      <c r="DB95" s="95">
        <f t="shared" si="86"/>
        <v>0</v>
      </c>
      <c r="DC95" s="100">
        <f t="shared" si="87"/>
        <v>0</v>
      </c>
      <c r="DD95" s="100"/>
      <c r="DE95" s="100">
        <f t="shared" si="79"/>
        <v>0</v>
      </c>
      <c r="DF95" s="13"/>
      <c r="DG95" s="2"/>
      <c r="DH95" s="46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</row>
    <row r="96" spans="1:156" s="1" customFormat="1" x14ac:dyDescent="0.2">
      <c r="A96" s="88">
        <f t="shared" si="52"/>
        <v>509722</v>
      </c>
      <c r="B96" s="21">
        <v>9722</v>
      </c>
      <c r="C96" s="21" t="s">
        <v>98</v>
      </c>
      <c r="D96" s="84" t="s">
        <v>148</v>
      </c>
      <c r="E96" s="115" t="s">
        <v>202</v>
      </c>
      <c r="F96" s="85">
        <v>3</v>
      </c>
      <c r="G96" s="84"/>
      <c r="H96" s="85"/>
      <c r="I96" s="86"/>
      <c r="J96" s="85"/>
      <c r="K96" s="21" t="s">
        <v>10</v>
      </c>
      <c r="L96" s="21"/>
      <c r="M96" s="87"/>
      <c r="N96" s="88"/>
      <c r="O96" s="88">
        <v>17</v>
      </c>
      <c r="P96" s="89">
        <f t="shared" si="80"/>
        <v>5700.7259999999997</v>
      </c>
      <c r="Q96" s="90">
        <f t="shared" si="81"/>
        <v>19002.419999999998</v>
      </c>
      <c r="R96" s="90">
        <f t="shared" si="82"/>
        <v>26397.963600000003</v>
      </c>
      <c r="S96" s="91"/>
      <c r="T96" s="92"/>
      <c r="U96" s="32"/>
      <c r="V96" s="32"/>
      <c r="W96" s="32"/>
      <c r="X96" s="93"/>
      <c r="Y96" s="32"/>
      <c r="Z96" s="32"/>
      <c r="AA96" s="32">
        <v>15</v>
      </c>
      <c r="AB96" s="32">
        <v>0</v>
      </c>
      <c r="AC96" s="32"/>
      <c r="AD96" s="32">
        <v>0</v>
      </c>
      <c r="AE96" s="32">
        <v>0</v>
      </c>
      <c r="AF96" s="32">
        <v>0</v>
      </c>
      <c r="AG96" s="32">
        <v>0</v>
      </c>
      <c r="AH96" s="32">
        <v>0</v>
      </c>
      <c r="AI96" s="32">
        <v>1.125</v>
      </c>
      <c r="AJ96" s="93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94">
        <f t="shared" si="53"/>
        <v>0</v>
      </c>
      <c r="AV96" s="95">
        <f t="shared" si="54"/>
        <v>0</v>
      </c>
      <c r="AW96" s="95">
        <f t="shared" si="55"/>
        <v>0</v>
      </c>
      <c r="AX96" s="95">
        <f t="shared" si="56"/>
        <v>0</v>
      </c>
      <c r="AY96" s="95">
        <f t="shared" si="57"/>
        <v>0</v>
      </c>
      <c r="AZ96" s="95">
        <f t="shared" si="58"/>
        <v>0</v>
      </c>
      <c r="BA96" s="95">
        <f t="shared" si="59"/>
        <v>0</v>
      </c>
      <c r="BB96" s="95">
        <f t="shared" si="60"/>
        <v>35629.537499999999</v>
      </c>
      <c r="BC96" s="96">
        <f t="shared" si="61"/>
        <v>0</v>
      </c>
      <c r="BD96" s="96">
        <f t="shared" si="62"/>
        <v>0</v>
      </c>
      <c r="BE96" s="96">
        <f t="shared" si="51"/>
        <v>0</v>
      </c>
      <c r="BF96" s="96">
        <f t="shared" si="63"/>
        <v>0</v>
      </c>
      <c r="BG96" s="96">
        <f t="shared" si="64"/>
        <v>0</v>
      </c>
      <c r="BH96" s="96">
        <f t="shared" si="65"/>
        <v>0</v>
      </c>
      <c r="BI96" s="96">
        <f t="shared" si="66"/>
        <v>21377.722499999996</v>
      </c>
      <c r="BJ96" s="96">
        <f t="shared" si="67"/>
        <v>0</v>
      </c>
      <c r="BK96" s="96">
        <f t="shared" si="68"/>
        <v>0</v>
      </c>
      <c r="BL96" s="96">
        <f t="shared" si="69"/>
        <v>0</v>
      </c>
      <c r="BM96" s="96">
        <f t="shared" si="70"/>
        <v>0</v>
      </c>
      <c r="BN96" s="96"/>
      <c r="BO96" s="95"/>
      <c r="BP96" s="95">
        <f t="shared" si="71"/>
        <v>0</v>
      </c>
      <c r="BQ96" s="95"/>
      <c r="BR96" s="95"/>
      <c r="BS96" s="95">
        <f t="shared" si="72"/>
        <v>0</v>
      </c>
      <c r="BT96" s="95">
        <f t="shared" si="73"/>
        <v>0</v>
      </c>
      <c r="BU96" s="95">
        <f t="shared" si="74"/>
        <v>0</v>
      </c>
      <c r="BV96" s="95">
        <f t="shared" si="75"/>
        <v>0</v>
      </c>
      <c r="BW96" s="95"/>
      <c r="BX96" s="95"/>
      <c r="BY96" s="95"/>
      <c r="BZ96" s="95"/>
      <c r="CA96" s="95">
        <f t="shared" si="83"/>
        <v>0</v>
      </c>
      <c r="CB96" s="97">
        <f t="shared" si="48"/>
        <v>57007.259999999995</v>
      </c>
      <c r="CC96" s="95"/>
      <c r="CD96" s="95"/>
      <c r="CE96" s="95">
        <f t="shared" si="76"/>
        <v>-1710.2177999999997</v>
      </c>
      <c r="CF96" s="95">
        <f t="shared" si="84"/>
        <v>-855.10889999999984</v>
      </c>
      <c r="CG96" s="113"/>
      <c r="CH96" s="22"/>
      <c r="CI96" s="98">
        <f t="shared" si="77"/>
        <v>79194.485591999983</v>
      </c>
      <c r="CJ96" s="95">
        <f t="shared" si="78"/>
        <v>-2375.8345677599996</v>
      </c>
      <c r="CK96" s="95">
        <f t="shared" si="85"/>
        <v>-1187.9172838799998</v>
      </c>
      <c r="CL96" s="95"/>
      <c r="CM96" s="99"/>
      <c r="CN96" s="99"/>
      <c r="CO96" s="110"/>
      <c r="CP96" s="99"/>
      <c r="CQ96" s="99"/>
      <c r="CR96" s="99"/>
      <c r="CS96" s="95"/>
      <c r="CT96" s="95"/>
      <c r="CU96" s="96"/>
      <c r="CV96" s="96"/>
      <c r="CW96" s="96"/>
      <c r="CX96" s="96"/>
      <c r="CY96" s="96"/>
      <c r="CZ96" s="93">
        <f t="shared" si="88"/>
        <v>0</v>
      </c>
      <c r="DA96" s="93">
        <f t="shared" si="89"/>
        <v>0</v>
      </c>
      <c r="DB96" s="95">
        <f t="shared" si="86"/>
        <v>130072.66704035999</v>
      </c>
      <c r="DC96" s="100">
        <f t="shared" si="87"/>
        <v>130073</v>
      </c>
      <c r="DD96" s="100"/>
      <c r="DE96" s="100">
        <f t="shared" si="79"/>
        <v>-130073</v>
      </c>
      <c r="DF96" s="13"/>
      <c r="DG96" s="2"/>
      <c r="DH96" s="46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</row>
    <row r="97" spans="1:156" s="1" customFormat="1" hidden="1" x14ac:dyDescent="0.2">
      <c r="A97" s="88">
        <f t="shared" si="52"/>
        <v>509723</v>
      </c>
      <c r="B97" s="21">
        <v>9723</v>
      </c>
      <c r="C97" s="21" t="s">
        <v>98</v>
      </c>
      <c r="D97" s="84" t="s">
        <v>149</v>
      </c>
      <c r="E97" s="115" t="s">
        <v>202</v>
      </c>
      <c r="F97" s="85">
        <v>3</v>
      </c>
      <c r="G97" s="84"/>
      <c r="H97" s="85"/>
      <c r="I97" s="86"/>
      <c r="J97" s="85"/>
      <c r="K97" s="21" t="s">
        <v>10</v>
      </c>
      <c r="L97" s="21"/>
      <c r="M97" s="87"/>
      <c r="N97" s="88"/>
      <c r="O97" s="88">
        <v>12</v>
      </c>
      <c r="P97" s="89">
        <f t="shared" si="80"/>
        <v>5700.7259999999997</v>
      </c>
      <c r="Q97" s="90">
        <f t="shared" si="81"/>
        <v>19002.419999999998</v>
      </c>
      <c r="R97" s="90">
        <f t="shared" si="82"/>
        <v>26397.963600000003</v>
      </c>
      <c r="S97" s="91"/>
      <c r="T97" s="92"/>
      <c r="U97" s="32"/>
      <c r="V97" s="32"/>
      <c r="W97" s="32"/>
      <c r="X97" s="93"/>
      <c r="Y97" s="32"/>
      <c r="Z97" s="32"/>
      <c r="AA97" s="32">
        <v>0</v>
      </c>
      <c r="AB97" s="32">
        <v>0</v>
      </c>
      <c r="AC97" s="32"/>
      <c r="AD97" s="32">
        <v>0</v>
      </c>
      <c r="AE97" s="32">
        <v>0</v>
      </c>
      <c r="AF97" s="32">
        <v>0</v>
      </c>
      <c r="AG97" s="32">
        <v>0</v>
      </c>
      <c r="AH97" s="32">
        <v>0</v>
      </c>
      <c r="AI97" s="32">
        <v>0</v>
      </c>
      <c r="AJ97" s="93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94">
        <f t="shared" si="53"/>
        <v>0</v>
      </c>
      <c r="AV97" s="95">
        <f t="shared" si="54"/>
        <v>0</v>
      </c>
      <c r="AW97" s="95">
        <f t="shared" si="55"/>
        <v>0</v>
      </c>
      <c r="AX97" s="95">
        <f t="shared" si="56"/>
        <v>0</v>
      </c>
      <c r="AY97" s="95">
        <f t="shared" si="57"/>
        <v>0</v>
      </c>
      <c r="AZ97" s="95">
        <f t="shared" si="58"/>
        <v>0</v>
      </c>
      <c r="BA97" s="95">
        <f t="shared" si="59"/>
        <v>0</v>
      </c>
      <c r="BB97" s="95">
        <f t="shared" si="60"/>
        <v>0</v>
      </c>
      <c r="BC97" s="96">
        <f t="shared" si="61"/>
        <v>0</v>
      </c>
      <c r="BD97" s="96">
        <f t="shared" si="62"/>
        <v>0</v>
      </c>
      <c r="BE97" s="96">
        <f t="shared" si="51"/>
        <v>0</v>
      </c>
      <c r="BF97" s="96">
        <f t="shared" si="63"/>
        <v>0</v>
      </c>
      <c r="BG97" s="96">
        <f t="shared" si="64"/>
        <v>0</v>
      </c>
      <c r="BH97" s="96">
        <f t="shared" si="65"/>
        <v>0</v>
      </c>
      <c r="BI97" s="96">
        <f t="shared" si="66"/>
        <v>0</v>
      </c>
      <c r="BJ97" s="96">
        <f t="shared" si="67"/>
        <v>0</v>
      </c>
      <c r="BK97" s="96">
        <f t="shared" si="68"/>
        <v>0</v>
      </c>
      <c r="BL97" s="96">
        <f t="shared" si="69"/>
        <v>0</v>
      </c>
      <c r="BM97" s="96">
        <f t="shared" si="70"/>
        <v>0</v>
      </c>
      <c r="BN97" s="96"/>
      <c r="BO97" s="95"/>
      <c r="BP97" s="95">
        <f t="shared" si="71"/>
        <v>0</v>
      </c>
      <c r="BQ97" s="95"/>
      <c r="BR97" s="95"/>
      <c r="BS97" s="95">
        <f t="shared" si="72"/>
        <v>0</v>
      </c>
      <c r="BT97" s="95">
        <f t="shared" si="73"/>
        <v>0</v>
      </c>
      <c r="BU97" s="95">
        <f t="shared" si="74"/>
        <v>0</v>
      </c>
      <c r="BV97" s="95">
        <f t="shared" si="75"/>
        <v>0</v>
      </c>
      <c r="BW97" s="95"/>
      <c r="BX97" s="95"/>
      <c r="BY97" s="95"/>
      <c r="BZ97" s="95"/>
      <c r="CA97" s="95">
        <f t="shared" si="83"/>
        <v>0</v>
      </c>
      <c r="CB97" s="97">
        <f t="shared" si="48"/>
        <v>0</v>
      </c>
      <c r="CC97" s="95"/>
      <c r="CD97" s="95"/>
      <c r="CE97" s="95">
        <f t="shared" si="76"/>
        <v>0</v>
      </c>
      <c r="CF97" s="95">
        <f t="shared" si="84"/>
        <v>0</v>
      </c>
      <c r="CG97" s="113"/>
      <c r="CH97" s="22"/>
      <c r="CI97" s="98">
        <f t="shared" si="77"/>
        <v>0</v>
      </c>
      <c r="CJ97" s="95">
        <f t="shared" si="78"/>
        <v>0</v>
      </c>
      <c r="CK97" s="95">
        <f t="shared" si="85"/>
        <v>0</v>
      </c>
      <c r="CL97" s="95"/>
      <c r="CM97" s="99"/>
      <c r="CN97" s="99"/>
      <c r="CO97" s="110"/>
      <c r="CP97" s="99"/>
      <c r="CQ97" s="99"/>
      <c r="CR97" s="99"/>
      <c r="CS97" s="95"/>
      <c r="CT97" s="95"/>
      <c r="CU97" s="96"/>
      <c r="CV97" s="96"/>
      <c r="CW97" s="96"/>
      <c r="CX97" s="96"/>
      <c r="CY97" s="96"/>
      <c r="CZ97" s="93">
        <f t="shared" si="88"/>
        <v>0</v>
      </c>
      <c r="DA97" s="93">
        <f t="shared" si="89"/>
        <v>0</v>
      </c>
      <c r="DB97" s="95">
        <f t="shared" si="86"/>
        <v>0</v>
      </c>
      <c r="DC97" s="100">
        <f t="shared" si="87"/>
        <v>0</v>
      </c>
      <c r="DD97" s="100"/>
      <c r="DE97" s="100">
        <f t="shared" si="79"/>
        <v>0</v>
      </c>
      <c r="DF97" s="13"/>
      <c r="DG97" s="2"/>
      <c r="DH97" s="46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</row>
    <row r="98" spans="1:156" s="1" customFormat="1" hidden="1" x14ac:dyDescent="0.2">
      <c r="A98" s="88">
        <f t="shared" si="52"/>
        <v>509724</v>
      </c>
      <c r="B98" s="21">
        <v>9724</v>
      </c>
      <c r="C98" s="21" t="s">
        <v>98</v>
      </c>
      <c r="D98" s="84" t="s">
        <v>150</v>
      </c>
      <c r="E98" s="115" t="s">
        <v>202</v>
      </c>
      <c r="F98" s="85">
        <v>3</v>
      </c>
      <c r="G98" s="84"/>
      <c r="H98" s="85">
        <v>61</v>
      </c>
      <c r="I98" s="86"/>
      <c r="J98" s="85"/>
      <c r="K98" s="21" t="s">
        <v>10</v>
      </c>
      <c r="L98" s="21"/>
      <c r="M98" s="87"/>
      <c r="N98" s="88"/>
      <c r="O98" s="88">
        <v>17</v>
      </c>
      <c r="P98" s="89">
        <f t="shared" si="80"/>
        <v>5700.7259999999997</v>
      </c>
      <c r="Q98" s="90">
        <f t="shared" si="81"/>
        <v>19002.419999999998</v>
      </c>
      <c r="R98" s="90">
        <f t="shared" si="82"/>
        <v>26397.963600000003</v>
      </c>
      <c r="S98" s="91"/>
      <c r="T98" s="92"/>
      <c r="U98" s="32"/>
      <c r="V98" s="32"/>
      <c r="W98" s="32"/>
      <c r="X98" s="93"/>
      <c r="Y98" s="32"/>
      <c r="Z98" s="32"/>
      <c r="AA98" s="32">
        <v>0</v>
      </c>
      <c r="AB98" s="32">
        <v>0</v>
      </c>
      <c r="AC98" s="32"/>
      <c r="AD98" s="32">
        <v>0</v>
      </c>
      <c r="AE98" s="32">
        <v>0</v>
      </c>
      <c r="AF98" s="32">
        <v>0</v>
      </c>
      <c r="AG98" s="32">
        <v>0</v>
      </c>
      <c r="AH98" s="32">
        <v>0</v>
      </c>
      <c r="AI98" s="32">
        <v>0</v>
      </c>
      <c r="AJ98" s="93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94">
        <f t="shared" si="53"/>
        <v>0</v>
      </c>
      <c r="AV98" s="95">
        <f t="shared" si="54"/>
        <v>0</v>
      </c>
      <c r="AW98" s="95">
        <f t="shared" si="55"/>
        <v>0</v>
      </c>
      <c r="AX98" s="95">
        <f t="shared" si="56"/>
        <v>0</v>
      </c>
      <c r="AY98" s="95">
        <f t="shared" si="57"/>
        <v>0</v>
      </c>
      <c r="AZ98" s="95">
        <f t="shared" si="58"/>
        <v>0</v>
      </c>
      <c r="BA98" s="95">
        <f t="shared" si="59"/>
        <v>0</v>
      </c>
      <c r="BB98" s="95">
        <f t="shared" si="60"/>
        <v>0</v>
      </c>
      <c r="BC98" s="96">
        <f t="shared" si="61"/>
        <v>0</v>
      </c>
      <c r="BD98" s="96">
        <f t="shared" si="62"/>
        <v>0</v>
      </c>
      <c r="BE98" s="96">
        <f t="shared" si="51"/>
        <v>0</v>
      </c>
      <c r="BF98" s="96">
        <f t="shared" si="63"/>
        <v>0</v>
      </c>
      <c r="BG98" s="96">
        <f t="shared" si="64"/>
        <v>0</v>
      </c>
      <c r="BH98" s="96">
        <f t="shared" si="65"/>
        <v>0</v>
      </c>
      <c r="BI98" s="96">
        <f t="shared" si="66"/>
        <v>0</v>
      </c>
      <c r="BJ98" s="96">
        <f t="shared" si="67"/>
        <v>0</v>
      </c>
      <c r="BK98" s="96">
        <f t="shared" si="68"/>
        <v>0</v>
      </c>
      <c r="BL98" s="96">
        <f t="shared" si="69"/>
        <v>0</v>
      </c>
      <c r="BM98" s="96">
        <f t="shared" si="70"/>
        <v>0</v>
      </c>
      <c r="BN98" s="96"/>
      <c r="BO98" s="95"/>
      <c r="BP98" s="95">
        <f t="shared" si="71"/>
        <v>0</v>
      </c>
      <c r="BQ98" s="95"/>
      <c r="BR98" s="95"/>
      <c r="BS98" s="95">
        <f t="shared" si="72"/>
        <v>0</v>
      </c>
      <c r="BT98" s="95">
        <f t="shared" si="73"/>
        <v>0</v>
      </c>
      <c r="BU98" s="95">
        <f t="shared" si="74"/>
        <v>0</v>
      </c>
      <c r="BV98" s="95">
        <f t="shared" si="75"/>
        <v>0</v>
      </c>
      <c r="BW98" s="95"/>
      <c r="BX98" s="95"/>
      <c r="BY98" s="95"/>
      <c r="BZ98" s="95"/>
      <c r="CA98" s="95">
        <f t="shared" si="83"/>
        <v>0</v>
      </c>
      <c r="CB98" s="97">
        <f t="shared" si="48"/>
        <v>0</v>
      </c>
      <c r="CC98" s="95"/>
      <c r="CD98" s="95"/>
      <c r="CE98" s="95">
        <f t="shared" si="76"/>
        <v>0</v>
      </c>
      <c r="CF98" s="95">
        <f t="shared" si="84"/>
        <v>0</v>
      </c>
      <c r="CG98" s="113"/>
      <c r="CH98" s="22"/>
      <c r="CI98" s="98">
        <f t="shared" si="77"/>
        <v>0</v>
      </c>
      <c r="CJ98" s="95">
        <f t="shared" si="78"/>
        <v>0</v>
      </c>
      <c r="CK98" s="95">
        <f t="shared" si="85"/>
        <v>0</v>
      </c>
      <c r="CL98" s="95"/>
      <c r="CM98" s="99"/>
      <c r="CN98" s="99"/>
      <c r="CO98" s="110"/>
      <c r="CP98" s="99"/>
      <c r="CQ98" s="99"/>
      <c r="CR98" s="99"/>
      <c r="CS98" s="95"/>
      <c r="CT98" s="95"/>
      <c r="CU98" s="96"/>
      <c r="CV98" s="96"/>
      <c r="CW98" s="96"/>
      <c r="CX98" s="96"/>
      <c r="CY98" s="96"/>
      <c r="CZ98" s="93">
        <f t="shared" si="88"/>
        <v>0</v>
      </c>
      <c r="DA98" s="93">
        <f t="shared" si="89"/>
        <v>0</v>
      </c>
      <c r="DB98" s="95">
        <f t="shared" si="86"/>
        <v>0</v>
      </c>
      <c r="DC98" s="100">
        <f t="shared" si="87"/>
        <v>0</v>
      </c>
      <c r="DD98" s="100"/>
      <c r="DE98" s="100">
        <f t="shared" si="79"/>
        <v>0</v>
      </c>
      <c r="DF98" s="13"/>
      <c r="DG98" s="2"/>
      <c r="DH98" s="46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</row>
    <row r="99" spans="1:156" s="1" customFormat="1" hidden="1" x14ac:dyDescent="0.2">
      <c r="A99" s="88">
        <f t="shared" si="52"/>
        <v>509726</v>
      </c>
      <c r="B99" s="21">
        <v>9726</v>
      </c>
      <c r="C99" s="21" t="s">
        <v>98</v>
      </c>
      <c r="D99" s="84" t="s">
        <v>151</v>
      </c>
      <c r="E99" s="115" t="s">
        <v>202</v>
      </c>
      <c r="F99" s="85">
        <v>3</v>
      </c>
      <c r="G99" s="84"/>
      <c r="H99" s="85"/>
      <c r="I99" s="86"/>
      <c r="J99" s="85"/>
      <c r="K99" s="21" t="s">
        <v>10</v>
      </c>
      <c r="L99" s="21"/>
      <c r="M99" s="87"/>
      <c r="N99" s="88"/>
      <c r="O99" s="88">
        <v>5</v>
      </c>
      <c r="P99" s="89">
        <f t="shared" si="80"/>
        <v>5700.7259999999997</v>
      </c>
      <c r="Q99" s="90">
        <f t="shared" si="81"/>
        <v>19002.419999999998</v>
      </c>
      <c r="R99" s="90">
        <f t="shared" si="82"/>
        <v>26397.963600000003</v>
      </c>
      <c r="S99" s="91"/>
      <c r="T99" s="92"/>
      <c r="U99" s="32"/>
      <c r="V99" s="32"/>
      <c r="W99" s="32"/>
      <c r="X99" s="93"/>
      <c r="Y99" s="32"/>
      <c r="Z99" s="32"/>
      <c r="AA99" s="32">
        <v>0</v>
      </c>
      <c r="AB99" s="32">
        <v>0</v>
      </c>
      <c r="AC99" s="32"/>
      <c r="AD99" s="32">
        <v>0</v>
      </c>
      <c r="AE99" s="32">
        <v>0</v>
      </c>
      <c r="AF99" s="32">
        <v>0</v>
      </c>
      <c r="AG99" s="32">
        <v>0</v>
      </c>
      <c r="AH99" s="32">
        <v>0</v>
      </c>
      <c r="AI99" s="32">
        <v>0</v>
      </c>
      <c r="AJ99" s="93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94">
        <f t="shared" si="53"/>
        <v>0</v>
      </c>
      <c r="AV99" s="95">
        <f t="shared" si="54"/>
        <v>0</v>
      </c>
      <c r="AW99" s="95">
        <f t="shared" si="55"/>
        <v>0</v>
      </c>
      <c r="AX99" s="95">
        <f t="shared" si="56"/>
        <v>0</v>
      </c>
      <c r="AY99" s="95">
        <f t="shared" si="57"/>
        <v>0</v>
      </c>
      <c r="AZ99" s="95">
        <f t="shared" si="58"/>
        <v>0</v>
      </c>
      <c r="BA99" s="95">
        <f t="shared" si="59"/>
        <v>0</v>
      </c>
      <c r="BB99" s="95">
        <f t="shared" si="60"/>
        <v>0</v>
      </c>
      <c r="BC99" s="96">
        <f t="shared" si="61"/>
        <v>0</v>
      </c>
      <c r="BD99" s="96">
        <f t="shared" si="62"/>
        <v>0</v>
      </c>
      <c r="BE99" s="96">
        <f t="shared" si="51"/>
        <v>0</v>
      </c>
      <c r="BF99" s="96">
        <f t="shared" si="63"/>
        <v>0</v>
      </c>
      <c r="BG99" s="96">
        <f t="shared" si="64"/>
        <v>0</v>
      </c>
      <c r="BH99" s="96">
        <f t="shared" si="65"/>
        <v>0</v>
      </c>
      <c r="BI99" s="96">
        <f t="shared" si="66"/>
        <v>0</v>
      </c>
      <c r="BJ99" s="96">
        <f t="shared" si="67"/>
        <v>0</v>
      </c>
      <c r="BK99" s="96">
        <f t="shared" si="68"/>
        <v>0</v>
      </c>
      <c r="BL99" s="96">
        <f t="shared" si="69"/>
        <v>0</v>
      </c>
      <c r="BM99" s="96">
        <f t="shared" si="70"/>
        <v>0</v>
      </c>
      <c r="BN99" s="96"/>
      <c r="BO99" s="95"/>
      <c r="BP99" s="95">
        <f t="shared" si="71"/>
        <v>0</v>
      </c>
      <c r="BQ99" s="95"/>
      <c r="BR99" s="95"/>
      <c r="BS99" s="95">
        <f t="shared" si="72"/>
        <v>0</v>
      </c>
      <c r="BT99" s="95">
        <f t="shared" si="73"/>
        <v>0</v>
      </c>
      <c r="BU99" s="95">
        <f t="shared" si="74"/>
        <v>0</v>
      </c>
      <c r="BV99" s="95">
        <f t="shared" si="75"/>
        <v>0</v>
      </c>
      <c r="BW99" s="95"/>
      <c r="BX99" s="95"/>
      <c r="BY99" s="95"/>
      <c r="BZ99" s="95"/>
      <c r="CA99" s="95">
        <f t="shared" si="83"/>
        <v>0</v>
      </c>
      <c r="CB99" s="97">
        <f t="shared" si="48"/>
        <v>0</v>
      </c>
      <c r="CC99" s="95"/>
      <c r="CD99" s="95"/>
      <c r="CE99" s="95">
        <f t="shared" si="76"/>
        <v>0</v>
      </c>
      <c r="CF99" s="95">
        <f t="shared" si="84"/>
        <v>0</v>
      </c>
      <c r="CG99" s="113"/>
      <c r="CH99" s="22"/>
      <c r="CI99" s="98">
        <f t="shared" si="77"/>
        <v>0</v>
      </c>
      <c r="CJ99" s="95">
        <f t="shared" si="78"/>
        <v>0</v>
      </c>
      <c r="CK99" s="95">
        <f t="shared" si="85"/>
        <v>0</v>
      </c>
      <c r="CL99" s="95"/>
      <c r="CM99" s="99"/>
      <c r="CN99" s="99"/>
      <c r="CO99" s="110"/>
      <c r="CP99" s="99"/>
      <c r="CQ99" s="99"/>
      <c r="CR99" s="99"/>
      <c r="CS99" s="95"/>
      <c r="CT99" s="95"/>
      <c r="CU99" s="96"/>
      <c r="CV99" s="96"/>
      <c r="CW99" s="96"/>
      <c r="CX99" s="96"/>
      <c r="CY99" s="96"/>
      <c r="CZ99" s="93">
        <f t="shared" si="88"/>
        <v>0</v>
      </c>
      <c r="DA99" s="93">
        <f t="shared" si="89"/>
        <v>0</v>
      </c>
      <c r="DB99" s="95">
        <f t="shared" si="86"/>
        <v>0</v>
      </c>
      <c r="DC99" s="100">
        <f t="shared" si="87"/>
        <v>0</v>
      </c>
      <c r="DD99" s="100"/>
      <c r="DE99" s="100">
        <f t="shared" si="79"/>
        <v>0</v>
      </c>
      <c r="DF99" s="13"/>
      <c r="DG99" s="2"/>
      <c r="DH99" s="46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</row>
    <row r="100" spans="1:156" s="1" customFormat="1" x14ac:dyDescent="0.2">
      <c r="A100" s="88">
        <f t="shared" si="52"/>
        <v>509640</v>
      </c>
      <c r="B100" s="21">
        <v>9640</v>
      </c>
      <c r="C100" s="21" t="s">
        <v>98</v>
      </c>
      <c r="D100" s="84" t="s">
        <v>103</v>
      </c>
      <c r="E100" s="115" t="s">
        <v>202</v>
      </c>
      <c r="F100" s="85">
        <v>3</v>
      </c>
      <c r="G100" s="84"/>
      <c r="H100" s="85"/>
      <c r="I100" s="86"/>
      <c r="J100" s="85"/>
      <c r="K100" s="21" t="s">
        <v>10</v>
      </c>
      <c r="L100" s="21"/>
      <c r="M100" s="87"/>
      <c r="N100" s="88"/>
      <c r="O100" s="88">
        <v>10</v>
      </c>
      <c r="P100" s="89">
        <f t="shared" si="80"/>
        <v>5700.7259999999997</v>
      </c>
      <c r="Q100" s="90">
        <f t="shared" si="81"/>
        <v>19002.419999999998</v>
      </c>
      <c r="R100" s="90">
        <f t="shared" si="82"/>
        <v>26397.963600000003</v>
      </c>
      <c r="S100" s="91"/>
      <c r="T100" s="92"/>
      <c r="U100" s="32"/>
      <c r="V100" s="32"/>
      <c r="W100" s="32"/>
      <c r="X100" s="93"/>
      <c r="Y100" s="32"/>
      <c r="Z100" s="32"/>
      <c r="AA100" s="32">
        <v>4</v>
      </c>
      <c r="AB100" s="32">
        <v>0</v>
      </c>
      <c r="AC100" s="32"/>
      <c r="AD100" s="32">
        <v>0</v>
      </c>
      <c r="AE100" s="32">
        <v>0</v>
      </c>
      <c r="AF100" s="32">
        <v>0</v>
      </c>
      <c r="AG100" s="32">
        <v>0</v>
      </c>
      <c r="AH100" s="32">
        <v>0</v>
      </c>
      <c r="AI100" s="32">
        <v>0</v>
      </c>
      <c r="AJ100" s="93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94">
        <f t="shared" si="53"/>
        <v>0</v>
      </c>
      <c r="AV100" s="95">
        <f t="shared" si="54"/>
        <v>0</v>
      </c>
      <c r="AW100" s="95">
        <f t="shared" si="55"/>
        <v>0</v>
      </c>
      <c r="AX100" s="95">
        <f t="shared" si="56"/>
        <v>0</v>
      </c>
      <c r="AY100" s="95">
        <f t="shared" si="57"/>
        <v>0</v>
      </c>
      <c r="AZ100" s="95">
        <f t="shared" si="58"/>
        <v>0</v>
      </c>
      <c r="BA100" s="95">
        <f t="shared" si="59"/>
        <v>0</v>
      </c>
      <c r="BB100" s="95">
        <f t="shared" si="60"/>
        <v>9501.2099999999991</v>
      </c>
      <c r="BC100" s="96">
        <f t="shared" si="61"/>
        <v>0</v>
      </c>
      <c r="BD100" s="96">
        <f t="shared" si="62"/>
        <v>0</v>
      </c>
      <c r="BE100" s="96">
        <f t="shared" si="51"/>
        <v>0</v>
      </c>
      <c r="BF100" s="96">
        <f t="shared" si="63"/>
        <v>0</v>
      </c>
      <c r="BG100" s="96">
        <f t="shared" si="64"/>
        <v>0</v>
      </c>
      <c r="BH100" s="96">
        <f t="shared" si="65"/>
        <v>0</v>
      </c>
      <c r="BI100" s="96">
        <f t="shared" si="66"/>
        <v>0</v>
      </c>
      <c r="BJ100" s="96">
        <f t="shared" si="67"/>
        <v>0</v>
      </c>
      <c r="BK100" s="96">
        <f t="shared" si="68"/>
        <v>0</v>
      </c>
      <c r="BL100" s="96">
        <f t="shared" si="69"/>
        <v>0</v>
      </c>
      <c r="BM100" s="96">
        <f t="shared" si="70"/>
        <v>0</v>
      </c>
      <c r="BN100" s="96"/>
      <c r="BO100" s="95"/>
      <c r="BP100" s="95">
        <f t="shared" si="71"/>
        <v>0</v>
      </c>
      <c r="BQ100" s="95"/>
      <c r="BR100" s="95"/>
      <c r="BS100" s="95">
        <f t="shared" si="72"/>
        <v>0</v>
      </c>
      <c r="BT100" s="95">
        <f t="shared" si="73"/>
        <v>0</v>
      </c>
      <c r="BU100" s="95">
        <f t="shared" si="74"/>
        <v>0</v>
      </c>
      <c r="BV100" s="95">
        <f t="shared" si="75"/>
        <v>0</v>
      </c>
      <c r="BW100" s="95"/>
      <c r="BX100" s="95"/>
      <c r="BY100" s="95"/>
      <c r="BZ100" s="95"/>
      <c r="CA100" s="95">
        <f t="shared" si="83"/>
        <v>0</v>
      </c>
      <c r="CB100" s="97">
        <f t="shared" si="48"/>
        <v>9501.2099999999991</v>
      </c>
      <c r="CC100" s="95"/>
      <c r="CD100" s="95"/>
      <c r="CE100" s="95">
        <f t="shared" si="76"/>
        <v>-285.03629999999998</v>
      </c>
      <c r="CF100" s="95">
        <f t="shared" si="84"/>
        <v>-142.51814999999999</v>
      </c>
      <c r="CG100" s="113"/>
      <c r="CH100" s="22"/>
      <c r="CI100" s="98">
        <f t="shared" si="77"/>
        <v>13199.080931999997</v>
      </c>
      <c r="CJ100" s="95">
        <f t="shared" si="78"/>
        <v>-395.97242795999989</v>
      </c>
      <c r="CK100" s="95">
        <f t="shared" si="85"/>
        <v>-197.98621397999995</v>
      </c>
      <c r="CL100" s="95"/>
      <c r="CM100" s="99"/>
      <c r="CN100" s="99"/>
      <c r="CO100" s="110"/>
      <c r="CP100" s="99"/>
      <c r="CQ100" s="99"/>
      <c r="CR100" s="99"/>
      <c r="CS100" s="95"/>
      <c r="CT100" s="95"/>
      <c r="CU100" s="96"/>
      <c r="CV100" s="96"/>
      <c r="CW100" s="96"/>
      <c r="CX100" s="96"/>
      <c r="CY100" s="96"/>
      <c r="CZ100" s="93">
        <f t="shared" si="88"/>
        <v>0</v>
      </c>
      <c r="DA100" s="93">
        <f t="shared" si="89"/>
        <v>0</v>
      </c>
      <c r="DB100" s="95">
        <f t="shared" si="86"/>
        <v>21678.777840059996</v>
      </c>
      <c r="DC100" s="100">
        <f t="shared" si="87"/>
        <v>21679</v>
      </c>
      <c r="DD100" s="100"/>
      <c r="DE100" s="100">
        <f t="shared" si="79"/>
        <v>-21679</v>
      </c>
      <c r="DF100" s="13"/>
      <c r="DG100" s="2"/>
      <c r="DH100" s="46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</row>
    <row r="101" spans="1:156" s="1" customFormat="1" hidden="1" x14ac:dyDescent="0.2">
      <c r="A101" s="88">
        <f t="shared" si="52"/>
        <v>509728</v>
      </c>
      <c r="B101" s="21">
        <v>9728</v>
      </c>
      <c r="C101" s="21" t="s">
        <v>98</v>
      </c>
      <c r="D101" s="84" t="s">
        <v>152</v>
      </c>
      <c r="E101" s="115" t="s">
        <v>202</v>
      </c>
      <c r="F101" s="85">
        <v>3</v>
      </c>
      <c r="G101" s="84"/>
      <c r="H101" s="85"/>
      <c r="I101" s="86"/>
      <c r="J101" s="85"/>
      <c r="K101" s="21" t="s">
        <v>10</v>
      </c>
      <c r="L101" s="21"/>
      <c r="M101" s="87"/>
      <c r="N101" s="88"/>
      <c r="O101" s="88">
        <v>7</v>
      </c>
      <c r="P101" s="89">
        <f t="shared" si="80"/>
        <v>5700.7259999999997</v>
      </c>
      <c r="Q101" s="90">
        <f t="shared" si="81"/>
        <v>19002.419999999998</v>
      </c>
      <c r="R101" s="90">
        <f t="shared" si="82"/>
        <v>26397.963600000003</v>
      </c>
      <c r="S101" s="91"/>
      <c r="T101" s="92"/>
      <c r="U101" s="32"/>
      <c r="V101" s="32"/>
      <c r="W101" s="32"/>
      <c r="X101" s="93"/>
      <c r="Y101" s="32"/>
      <c r="Z101" s="32"/>
      <c r="AA101" s="32">
        <v>0</v>
      </c>
      <c r="AB101" s="32">
        <v>0</v>
      </c>
      <c r="AC101" s="32"/>
      <c r="AD101" s="32">
        <v>0</v>
      </c>
      <c r="AE101" s="32">
        <v>0</v>
      </c>
      <c r="AF101" s="32">
        <v>0</v>
      </c>
      <c r="AG101" s="32">
        <v>0</v>
      </c>
      <c r="AH101" s="32">
        <v>0</v>
      </c>
      <c r="AI101" s="32">
        <v>0</v>
      </c>
      <c r="AJ101" s="93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94">
        <f t="shared" si="53"/>
        <v>0</v>
      </c>
      <c r="AV101" s="95">
        <f t="shared" si="54"/>
        <v>0</v>
      </c>
      <c r="AW101" s="95">
        <f t="shared" si="55"/>
        <v>0</v>
      </c>
      <c r="AX101" s="112">
        <f t="shared" si="56"/>
        <v>0</v>
      </c>
      <c r="AY101" s="95">
        <f t="shared" si="57"/>
        <v>0</v>
      </c>
      <c r="AZ101" s="95">
        <f t="shared" si="58"/>
        <v>0</v>
      </c>
      <c r="BA101" s="95">
        <f t="shared" si="59"/>
        <v>0</v>
      </c>
      <c r="BB101" s="95">
        <f t="shared" si="60"/>
        <v>0</v>
      </c>
      <c r="BC101" s="96">
        <f t="shared" si="61"/>
        <v>0</v>
      </c>
      <c r="BD101" s="96">
        <f t="shared" si="62"/>
        <v>0</v>
      </c>
      <c r="BE101" s="96">
        <f t="shared" si="51"/>
        <v>0</v>
      </c>
      <c r="BF101" s="96">
        <f t="shared" si="63"/>
        <v>0</v>
      </c>
      <c r="BG101" s="96">
        <f t="shared" si="64"/>
        <v>0</v>
      </c>
      <c r="BH101" s="96">
        <f t="shared" si="65"/>
        <v>0</v>
      </c>
      <c r="BI101" s="96">
        <f t="shared" si="66"/>
        <v>0</v>
      </c>
      <c r="BJ101" s="96">
        <f t="shared" si="67"/>
        <v>0</v>
      </c>
      <c r="BK101" s="96">
        <f t="shared" si="68"/>
        <v>0</v>
      </c>
      <c r="BL101" s="96">
        <f t="shared" si="69"/>
        <v>0</v>
      </c>
      <c r="BM101" s="96">
        <f t="shared" si="70"/>
        <v>0</v>
      </c>
      <c r="BN101" s="96"/>
      <c r="BO101" s="95"/>
      <c r="BP101" s="95">
        <f t="shared" si="71"/>
        <v>0</v>
      </c>
      <c r="BQ101" s="95"/>
      <c r="BR101" s="95"/>
      <c r="BS101" s="95">
        <f t="shared" si="72"/>
        <v>0</v>
      </c>
      <c r="BT101" s="95">
        <f t="shared" si="73"/>
        <v>0</v>
      </c>
      <c r="BU101" s="95">
        <f t="shared" si="74"/>
        <v>0</v>
      </c>
      <c r="BV101" s="95">
        <f t="shared" si="75"/>
        <v>0</v>
      </c>
      <c r="BW101" s="95"/>
      <c r="BX101" s="95"/>
      <c r="BY101" s="95"/>
      <c r="BZ101" s="95"/>
      <c r="CA101" s="95">
        <f t="shared" si="83"/>
        <v>0</v>
      </c>
      <c r="CB101" s="97">
        <f t="shared" si="48"/>
        <v>0</v>
      </c>
      <c r="CC101" s="95"/>
      <c r="CD101" s="95"/>
      <c r="CE101" s="95">
        <f t="shared" si="76"/>
        <v>0</v>
      </c>
      <c r="CF101" s="95">
        <f t="shared" si="84"/>
        <v>0</v>
      </c>
      <c r="CG101" s="113"/>
      <c r="CH101" s="22"/>
      <c r="CI101" s="98">
        <f t="shared" si="77"/>
        <v>0</v>
      </c>
      <c r="CJ101" s="95">
        <f t="shared" si="78"/>
        <v>0</v>
      </c>
      <c r="CK101" s="95">
        <f t="shared" si="85"/>
        <v>0</v>
      </c>
      <c r="CL101" s="95"/>
      <c r="CM101" s="99"/>
      <c r="CN101" s="99"/>
      <c r="CO101" s="110"/>
      <c r="CP101" s="99"/>
      <c r="CQ101" s="99"/>
      <c r="CR101" s="99"/>
      <c r="CS101" s="95"/>
      <c r="CT101" s="95"/>
      <c r="CU101" s="96"/>
      <c r="CV101" s="96"/>
      <c r="CW101" s="96"/>
      <c r="CX101" s="96"/>
      <c r="CY101" s="96"/>
      <c r="CZ101" s="93">
        <f t="shared" si="88"/>
        <v>0</v>
      </c>
      <c r="DA101" s="93">
        <f t="shared" si="89"/>
        <v>0</v>
      </c>
      <c r="DB101" s="95">
        <f t="shared" si="86"/>
        <v>0</v>
      </c>
      <c r="DC101" s="100">
        <f t="shared" si="87"/>
        <v>0</v>
      </c>
      <c r="DD101" s="100"/>
      <c r="DE101" s="100">
        <f t="shared" si="79"/>
        <v>0</v>
      </c>
      <c r="DF101" s="13"/>
      <c r="DG101" s="2"/>
      <c r="DH101" s="46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</row>
    <row r="102" spans="1:156" s="1" customFormat="1" hidden="1" x14ac:dyDescent="0.2">
      <c r="A102" s="88">
        <f t="shared" si="52"/>
        <v>509755</v>
      </c>
      <c r="B102" s="21">
        <v>9755</v>
      </c>
      <c r="C102" s="21" t="s">
        <v>98</v>
      </c>
      <c r="D102" s="102" t="s">
        <v>169</v>
      </c>
      <c r="E102" s="114" t="s">
        <v>201</v>
      </c>
      <c r="F102" s="85">
        <v>0</v>
      </c>
      <c r="G102" s="84"/>
      <c r="H102" s="85"/>
      <c r="I102" s="86"/>
      <c r="J102" s="85"/>
      <c r="K102" s="21" t="s">
        <v>10</v>
      </c>
      <c r="L102" s="21"/>
      <c r="M102" s="87"/>
      <c r="N102" s="88"/>
      <c r="O102" s="88">
        <v>4</v>
      </c>
      <c r="P102" s="89">
        <f t="shared" si="80"/>
        <v>5700.7259999999997</v>
      </c>
      <c r="Q102" s="90">
        <f t="shared" si="81"/>
        <v>19002.419999999998</v>
      </c>
      <c r="R102" s="90">
        <f t="shared" si="82"/>
        <v>26397.963600000003</v>
      </c>
      <c r="S102" s="91"/>
      <c r="T102" s="92"/>
      <c r="U102" s="32"/>
      <c r="V102" s="32"/>
      <c r="W102" s="32"/>
      <c r="X102" s="93"/>
      <c r="Y102" s="32"/>
      <c r="Z102" s="32"/>
      <c r="AA102" s="32">
        <v>0</v>
      </c>
      <c r="AB102" s="32">
        <v>0</v>
      </c>
      <c r="AC102" s="32"/>
      <c r="AD102" s="32">
        <v>0</v>
      </c>
      <c r="AE102" s="32">
        <v>0</v>
      </c>
      <c r="AF102" s="32">
        <v>0</v>
      </c>
      <c r="AG102" s="32">
        <v>0</v>
      </c>
      <c r="AH102" s="32">
        <v>0</v>
      </c>
      <c r="AI102" s="32">
        <v>0</v>
      </c>
      <c r="AJ102" s="93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94">
        <f t="shared" si="53"/>
        <v>0</v>
      </c>
      <c r="AV102" s="95">
        <f t="shared" si="54"/>
        <v>0</v>
      </c>
      <c r="AW102" s="95">
        <f t="shared" si="55"/>
        <v>0</v>
      </c>
      <c r="AX102" s="95">
        <f t="shared" si="56"/>
        <v>0</v>
      </c>
      <c r="AY102" s="95">
        <f t="shared" si="57"/>
        <v>0</v>
      </c>
      <c r="AZ102" s="112">
        <f t="shared" si="58"/>
        <v>0</v>
      </c>
      <c r="BA102" s="95">
        <f t="shared" si="59"/>
        <v>0</v>
      </c>
      <c r="BB102" s="95">
        <f t="shared" si="60"/>
        <v>0</v>
      </c>
      <c r="BC102" s="96">
        <f t="shared" si="61"/>
        <v>0</v>
      </c>
      <c r="BD102" s="96">
        <f t="shared" si="62"/>
        <v>0</v>
      </c>
      <c r="BE102" s="96">
        <f t="shared" si="51"/>
        <v>0</v>
      </c>
      <c r="BF102" s="96">
        <f t="shared" si="63"/>
        <v>0</v>
      </c>
      <c r="BG102" s="96">
        <f t="shared" si="64"/>
        <v>0</v>
      </c>
      <c r="BH102" s="96">
        <f t="shared" si="65"/>
        <v>0</v>
      </c>
      <c r="BI102" s="96">
        <f t="shared" si="66"/>
        <v>0</v>
      </c>
      <c r="BJ102" s="96">
        <f t="shared" si="67"/>
        <v>0</v>
      </c>
      <c r="BK102" s="96">
        <f t="shared" si="68"/>
        <v>0</v>
      </c>
      <c r="BL102" s="96">
        <f t="shared" si="69"/>
        <v>0</v>
      </c>
      <c r="BM102" s="96">
        <f t="shared" si="70"/>
        <v>0</v>
      </c>
      <c r="BN102" s="96"/>
      <c r="BO102" s="95"/>
      <c r="BP102" s="95">
        <f t="shared" si="71"/>
        <v>0</v>
      </c>
      <c r="BQ102" s="95"/>
      <c r="BR102" s="95"/>
      <c r="BS102" s="95">
        <f t="shared" si="72"/>
        <v>0</v>
      </c>
      <c r="BT102" s="95">
        <f t="shared" si="73"/>
        <v>0</v>
      </c>
      <c r="BU102" s="95">
        <f t="shared" si="74"/>
        <v>0</v>
      </c>
      <c r="BV102" s="95">
        <f t="shared" si="75"/>
        <v>0</v>
      </c>
      <c r="BW102" s="95"/>
      <c r="BX102" s="95"/>
      <c r="BY102" s="95"/>
      <c r="BZ102" s="95"/>
      <c r="CA102" s="95">
        <f t="shared" si="83"/>
        <v>0</v>
      </c>
      <c r="CB102" s="97">
        <f t="shared" si="48"/>
        <v>0</v>
      </c>
      <c r="CC102" s="95"/>
      <c r="CD102" s="95"/>
      <c r="CE102" s="95">
        <f t="shared" si="76"/>
        <v>0</v>
      </c>
      <c r="CF102" s="95">
        <f t="shared" si="84"/>
        <v>0</v>
      </c>
      <c r="CG102" s="113"/>
      <c r="CH102" s="22"/>
      <c r="CI102" s="98">
        <f t="shared" si="77"/>
        <v>0</v>
      </c>
      <c r="CJ102" s="95">
        <f t="shared" si="78"/>
        <v>0</v>
      </c>
      <c r="CK102" s="95">
        <f t="shared" si="85"/>
        <v>0</v>
      </c>
      <c r="CL102" s="95"/>
      <c r="CM102" s="99"/>
      <c r="CN102" s="99"/>
      <c r="CO102" s="110"/>
      <c r="CP102" s="99"/>
      <c r="CQ102" s="99"/>
      <c r="CR102" s="99"/>
      <c r="CS102" s="95"/>
      <c r="CT102" s="95"/>
      <c r="CU102" s="96"/>
      <c r="CV102" s="96"/>
      <c r="CW102" s="96"/>
      <c r="CX102" s="96"/>
      <c r="CY102" s="96"/>
      <c r="CZ102" s="93">
        <f t="shared" si="88"/>
        <v>0</v>
      </c>
      <c r="DA102" s="93">
        <f t="shared" si="89"/>
        <v>0</v>
      </c>
      <c r="DB102" s="95">
        <f t="shared" si="86"/>
        <v>0</v>
      </c>
      <c r="DC102" s="100">
        <f t="shared" si="87"/>
        <v>0</v>
      </c>
      <c r="DD102" s="100"/>
      <c r="DE102" s="100">
        <f t="shared" si="79"/>
        <v>0</v>
      </c>
      <c r="DF102" s="13"/>
      <c r="DG102" s="2"/>
      <c r="DH102" s="46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</row>
    <row r="103" spans="1:156" s="1" customFormat="1" x14ac:dyDescent="0.2">
      <c r="A103" s="88">
        <f t="shared" si="52"/>
        <v>509852</v>
      </c>
      <c r="B103" s="21">
        <v>9852</v>
      </c>
      <c r="C103" s="21" t="s">
        <v>98</v>
      </c>
      <c r="D103" s="84" t="s">
        <v>186</v>
      </c>
      <c r="E103" s="114" t="s">
        <v>201</v>
      </c>
      <c r="F103" s="85">
        <v>0</v>
      </c>
      <c r="G103" s="84"/>
      <c r="H103" s="85"/>
      <c r="I103" s="86"/>
      <c r="J103" s="85"/>
      <c r="K103" s="21" t="s">
        <v>8</v>
      </c>
      <c r="L103" s="21"/>
      <c r="M103" s="87"/>
      <c r="N103" s="88"/>
      <c r="O103" s="88">
        <v>0</v>
      </c>
      <c r="P103" s="89">
        <f t="shared" si="80"/>
        <v>5401.2359999999999</v>
      </c>
      <c r="Q103" s="90">
        <f t="shared" si="81"/>
        <v>18004.12</v>
      </c>
      <c r="R103" s="90">
        <f t="shared" si="82"/>
        <v>25011.1211</v>
      </c>
      <c r="S103" s="91"/>
      <c r="T103" s="92"/>
      <c r="U103" s="32"/>
      <c r="V103" s="32"/>
      <c r="W103" s="32"/>
      <c r="X103" s="93"/>
      <c r="Y103" s="32"/>
      <c r="Z103" s="32"/>
      <c r="AA103" s="32">
        <v>15</v>
      </c>
      <c r="AB103" s="32">
        <v>0</v>
      </c>
      <c r="AC103" s="32"/>
      <c r="AD103" s="32">
        <v>0</v>
      </c>
      <c r="AE103" s="32">
        <v>0</v>
      </c>
      <c r="AF103" s="32">
        <v>0</v>
      </c>
      <c r="AG103" s="32">
        <v>0</v>
      </c>
      <c r="AH103" s="32">
        <v>0</v>
      </c>
      <c r="AI103" s="32">
        <v>0.625</v>
      </c>
      <c r="AJ103" s="93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94">
        <f t="shared" si="53"/>
        <v>0</v>
      </c>
      <c r="AV103" s="95">
        <f t="shared" si="54"/>
        <v>0</v>
      </c>
      <c r="AW103" s="95">
        <f t="shared" si="55"/>
        <v>0</v>
      </c>
      <c r="AX103" s="95">
        <f t="shared" si="56"/>
        <v>0</v>
      </c>
      <c r="AY103" s="95">
        <f t="shared" si="57"/>
        <v>0</v>
      </c>
      <c r="AZ103" s="95">
        <f t="shared" si="58"/>
        <v>0</v>
      </c>
      <c r="BA103" s="95">
        <f t="shared" si="59"/>
        <v>0</v>
      </c>
      <c r="BB103" s="95">
        <f t="shared" si="60"/>
        <v>33757.724999999999</v>
      </c>
      <c r="BC103" s="96">
        <f t="shared" si="61"/>
        <v>0</v>
      </c>
      <c r="BD103" s="96">
        <f t="shared" si="62"/>
        <v>0</v>
      </c>
      <c r="BE103" s="96">
        <f t="shared" si="51"/>
        <v>0</v>
      </c>
      <c r="BF103" s="96">
        <f t="shared" si="63"/>
        <v>0</v>
      </c>
      <c r="BG103" s="96">
        <f t="shared" si="64"/>
        <v>0</v>
      </c>
      <c r="BH103" s="96">
        <f t="shared" si="65"/>
        <v>0</v>
      </c>
      <c r="BI103" s="96">
        <f t="shared" si="66"/>
        <v>11252.574999999999</v>
      </c>
      <c r="BJ103" s="96">
        <f t="shared" si="67"/>
        <v>0</v>
      </c>
      <c r="BK103" s="96">
        <f t="shared" si="68"/>
        <v>0</v>
      </c>
      <c r="BL103" s="96">
        <f t="shared" si="69"/>
        <v>0</v>
      </c>
      <c r="BM103" s="96">
        <f t="shared" si="70"/>
        <v>0</v>
      </c>
      <c r="BN103" s="96"/>
      <c r="BO103" s="95"/>
      <c r="BP103" s="95">
        <f t="shared" si="71"/>
        <v>0</v>
      </c>
      <c r="BQ103" s="95"/>
      <c r="BR103" s="95"/>
      <c r="BS103" s="95">
        <f t="shared" si="72"/>
        <v>0</v>
      </c>
      <c r="BT103" s="95">
        <f t="shared" si="73"/>
        <v>0</v>
      </c>
      <c r="BU103" s="95">
        <f t="shared" si="74"/>
        <v>0</v>
      </c>
      <c r="BV103" s="95">
        <f t="shared" si="75"/>
        <v>0</v>
      </c>
      <c r="BW103" s="95"/>
      <c r="BX103" s="95"/>
      <c r="BY103" s="95"/>
      <c r="BZ103" s="95"/>
      <c r="CA103" s="95">
        <f t="shared" si="83"/>
        <v>0</v>
      </c>
      <c r="CB103" s="97">
        <f t="shared" si="48"/>
        <v>45010.299999999996</v>
      </c>
      <c r="CC103" s="95"/>
      <c r="CD103" s="95"/>
      <c r="CE103" s="95">
        <f t="shared" si="76"/>
        <v>-1350.3089999999997</v>
      </c>
      <c r="CF103" s="95">
        <f t="shared" si="84"/>
        <v>-450.10299999999995</v>
      </c>
      <c r="CG103" s="113"/>
      <c r="CH103" s="22"/>
      <c r="CI103" s="98">
        <f t="shared" si="77"/>
        <v>62528.308759999985</v>
      </c>
      <c r="CJ103" s="95">
        <f t="shared" si="78"/>
        <v>-1875.8492627999995</v>
      </c>
      <c r="CK103" s="95">
        <f t="shared" si="85"/>
        <v>-625.28308759999982</v>
      </c>
      <c r="CL103" s="95"/>
      <c r="CM103" s="99"/>
      <c r="CN103" s="99"/>
      <c r="CO103" s="110"/>
      <c r="CP103" s="99"/>
      <c r="CQ103" s="99"/>
      <c r="CR103" s="99"/>
      <c r="CS103" s="95"/>
      <c r="CT103" s="95"/>
      <c r="CU103" s="96"/>
      <c r="CV103" s="96"/>
      <c r="CW103" s="96"/>
      <c r="CX103" s="96"/>
      <c r="CY103" s="96"/>
      <c r="CZ103" s="93">
        <f t="shared" si="88"/>
        <v>0</v>
      </c>
      <c r="DA103" s="93">
        <f t="shared" si="89"/>
        <v>0</v>
      </c>
      <c r="DB103" s="95">
        <f t="shared" si="86"/>
        <v>103237.06440959999</v>
      </c>
      <c r="DC103" s="100">
        <f t="shared" si="87"/>
        <v>103237</v>
      </c>
      <c r="DD103" s="100"/>
      <c r="DE103" s="100">
        <f t="shared" si="79"/>
        <v>-103237</v>
      </c>
      <c r="DF103" s="13"/>
      <c r="DG103" s="2"/>
      <c r="DH103" s="46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</row>
    <row r="104" spans="1:156" s="1" customFormat="1" hidden="1" x14ac:dyDescent="0.2">
      <c r="A104" s="88">
        <f t="shared" si="52"/>
        <v>509729</v>
      </c>
      <c r="B104" s="21">
        <v>9729</v>
      </c>
      <c r="C104" s="21" t="s">
        <v>98</v>
      </c>
      <c r="D104" s="84" t="s">
        <v>153</v>
      </c>
      <c r="E104" s="115" t="s">
        <v>202</v>
      </c>
      <c r="F104" s="85">
        <v>3</v>
      </c>
      <c r="G104" s="84"/>
      <c r="H104" s="85"/>
      <c r="I104" s="86"/>
      <c r="J104" s="85"/>
      <c r="K104" s="21" t="s">
        <v>10</v>
      </c>
      <c r="L104" s="21"/>
      <c r="M104" s="87"/>
      <c r="N104" s="88"/>
      <c r="O104" s="88">
        <v>6</v>
      </c>
      <c r="P104" s="89">
        <f t="shared" si="80"/>
        <v>5700.7259999999997</v>
      </c>
      <c r="Q104" s="90">
        <f t="shared" si="81"/>
        <v>19002.419999999998</v>
      </c>
      <c r="R104" s="90">
        <f t="shared" si="82"/>
        <v>26397.963600000003</v>
      </c>
      <c r="S104" s="91"/>
      <c r="T104" s="92"/>
      <c r="U104" s="32"/>
      <c r="V104" s="32"/>
      <c r="W104" s="32"/>
      <c r="X104" s="93"/>
      <c r="Y104" s="32"/>
      <c r="Z104" s="32"/>
      <c r="AA104" s="32">
        <v>0</v>
      </c>
      <c r="AB104" s="32">
        <v>0</v>
      </c>
      <c r="AC104" s="32"/>
      <c r="AD104" s="32">
        <v>0</v>
      </c>
      <c r="AE104" s="32">
        <v>0</v>
      </c>
      <c r="AF104" s="32">
        <v>0</v>
      </c>
      <c r="AG104" s="32">
        <v>0</v>
      </c>
      <c r="AH104" s="32">
        <v>0</v>
      </c>
      <c r="AI104" s="32">
        <v>0</v>
      </c>
      <c r="AJ104" s="93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94">
        <f t="shared" si="53"/>
        <v>0</v>
      </c>
      <c r="AV104" s="95">
        <f t="shared" si="54"/>
        <v>0</v>
      </c>
      <c r="AW104" s="95">
        <f t="shared" si="55"/>
        <v>0</v>
      </c>
      <c r="AX104" s="95">
        <f t="shared" si="56"/>
        <v>0</v>
      </c>
      <c r="AY104" s="95">
        <f t="shared" si="57"/>
        <v>0</v>
      </c>
      <c r="AZ104" s="95">
        <f t="shared" si="58"/>
        <v>0</v>
      </c>
      <c r="BA104" s="95">
        <f t="shared" si="59"/>
        <v>0</v>
      </c>
      <c r="BB104" s="95">
        <f t="shared" si="60"/>
        <v>0</v>
      </c>
      <c r="BC104" s="96">
        <f t="shared" si="61"/>
        <v>0</v>
      </c>
      <c r="BD104" s="96">
        <f t="shared" si="62"/>
        <v>0</v>
      </c>
      <c r="BE104" s="96">
        <f t="shared" si="51"/>
        <v>0</v>
      </c>
      <c r="BF104" s="96">
        <f t="shared" si="63"/>
        <v>0</v>
      </c>
      <c r="BG104" s="96">
        <f t="shared" si="64"/>
        <v>0</v>
      </c>
      <c r="BH104" s="96">
        <f t="shared" si="65"/>
        <v>0</v>
      </c>
      <c r="BI104" s="96">
        <f t="shared" si="66"/>
        <v>0</v>
      </c>
      <c r="BJ104" s="96">
        <f t="shared" si="67"/>
        <v>0</v>
      </c>
      <c r="BK104" s="96">
        <f t="shared" si="68"/>
        <v>0</v>
      </c>
      <c r="BL104" s="96">
        <f t="shared" si="69"/>
        <v>0</v>
      </c>
      <c r="BM104" s="96">
        <f t="shared" si="70"/>
        <v>0</v>
      </c>
      <c r="BN104" s="96"/>
      <c r="BO104" s="95"/>
      <c r="BP104" s="95">
        <f t="shared" si="71"/>
        <v>0</v>
      </c>
      <c r="BQ104" s="95"/>
      <c r="BR104" s="95"/>
      <c r="BS104" s="95">
        <f t="shared" si="72"/>
        <v>0</v>
      </c>
      <c r="BT104" s="95">
        <f t="shared" si="73"/>
        <v>0</v>
      </c>
      <c r="BU104" s="95">
        <f t="shared" si="74"/>
        <v>0</v>
      </c>
      <c r="BV104" s="95">
        <f t="shared" si="75"/>
        <v>0</v>
      </c>
      <c r="BW104" s="95"/>
      <c r="BX104" s="95"/>
      <c r="BY104" s="95"/>
      <c r="BZ104" s="95"/>
      <c r="CA104" s="95">
        <f t="shared" si="83"/>
        <v>0</v>
      </c>
      <c r="CB104" s="97">
        <f t="shared" si="48"/>
        <v>0</v>
      </c>
      <c r="CC104" s="95"/>
      <c r="CD104" s="95"/>
      <c r="CE104" s="95">
        <f t="shared" si="76"/>
        <v>0</v>
      </c>
      <c r="CF104" s="95">
        <f t="shared" si="84"/>
        <v>0</v>
      </c>
      <c r="CG104" s="113"/>
      <c r="CH104" s="22"/>
      <c r="CI104" s="98">
        <f t="shared" si="77"/>
        <v>0</v>
      </c>
      <c r="CJ104" s="95">
        <f t="shared" si="78"/>
        <v>0</v>
      </c>
      <c r="CK104" s="95">
        <f t="shared" si="85"/>
        <v>0</v>
      </c>
      <c r="CL104" s="95"/>
      <c r="CM104" s="99"/>
      <c r="CN104" s="99"/>
      <c r="CO104" s="110"/>
      <c r="CP104" s="99"/>
      <c r="CQ104" s="99"/>
      <c r="CR104" s="99"/>
      <c r="CS104" s="95"/>
      <c r="CT104" s="95"/>
      <c r="CU104" s="96"/>
      <c r="CV104" s="96"/>
      <c r="CW104" s="96"/>
      <c r="CX104" s="96"/>
      <c r="CY104" s="96"/>
      <c r="CZ104" s="93">
        <f t="shared" si="88"/>
        <v>0</v>
      </c>
      <c r="DA104" s="93">
        <f t="shared" si="89"/>
        <v>0</v>
      </c>
      <c r="DB104" s="95">
        <f t="shared" si="86"/>
        <v>0</v>
      </c>
      <c r="DC104" s="100">
        <f t="shared" si="87"/>
        <v>0</v>
      </c>
      <c r="DD104" s="100"/>
      <c r="DE104" s="100">
        <f t="shared" si="79"/>
        <v>0</v>
      </c>
      <c r="DF104" s="13"/>
      <c r="DG104" s="2"/>
      <c r="DH104" s="46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</row>
    <row r="105" spans="1:156" s="1" customFormat="1" x14ac:dyDescent="0.2">
      <c r="A105" s="88">
        <f t="shared" si="52"/>
        <v>509756</v>
      </c>
      <c r="B105" s="21">
        <v>9756</v>
      </c>
      <c r="C105" s="21" t="s">
        <v>98</v>
      </c>
      <c r="D105" s="84" t="s">
        <v>170</v>
      </c>
      <c r="E105" s="114" t="s">
        <v>201</v>
      </c>
      <c r="F105" s="85">
        <v>0</v>
      </c>
      <c r="G105" s="84"/>
      <c r="H105" s="85"/>
      <c r="I105" s="86"/>
      <c r="J105" s="85"/>
      <c r="K105" s="21" t="s">
        <v>8</v>
      </c>
      <c r="L105" s="21"/>
      <c r="M105" s="87"/>
      <c r="N105" s="88"/>
      <c r="O105" s="88">
        <v>3</v>
      </c>
      <c r="P105" s="89">
        <f t="shared" si="80"/>
        <v>5401.2359999999999</v>
      </c>
      <c r="Q105" s="90">
        <f t="shared" si="81"/>
        <v>18004.12</v>
      </c>
      <c r="R105" s="90">
        <f t="shared" si="82"/>
        <v>25011.1211</v>
      </c>
      <c r="S105" s="91"/>
      <c r="T105" s="92"/>
      <c r="U105" s="32"/>
      <c r="V105" s="32"/>
      <c r="W105" s="32"/>
      <c r="X105" s="93"/>
      <c r="Y105" s="32"/>
      <c r="Z105" s="32"/>
      <c r="AA105" s="32">
        <v>15</v>
      </c>
      <c r="AB105" s="32">
        <v>0</v>
      </c>
      <c r="AC105" s="32"/>
      <c r="AD105" s="32">
        <v>0</v>
      </c>
      <c r="AE105" s="32">
        <v>0</v>
      </c>
      <c r="AF105" s="32">
        <v>0</v>
      </c>
      <c r="AG105" s="32">
        <v>0</v>
      </c>
      <c r="AH105" s="32">
        <v>0</v>
      </c>
      <c r="AI105" s="32">
        <v>3.8125</v>
      </c>
      <c r="AJ105" s="93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94">
        <f t="shared" si="53"/>
        <v>0</v>
      </c>
      <c r="AV105" s="95">
        <f t="shared" si="54"/>
        <v>0</v>
      </c>
      <c r="AW105" s="95">
        <f t="shared" si="55"/>
        <v>0</v>
      </c>
      <c r="AX105" s="95">
        <f t="shared" si="56"/>
        <v>0</v>
      </c>
      <c r="AY105" s="95">
        <f t="shared" si="57"/>
        <v>0</v>
      </c>
      <c r="AZ105" s="112">
        <f t="shared" si="58"/>
        <v>0</v>
      </c>
      <c r="BA105" s="95">
        <f t="shared" si="59"/>
        <v>0</v>
      </c>
      <c r="BB105" s="95">
        <f t="shared" si="60"/>
        <v>33757.724999999999</v>
      </c>
      <c r="BC105" s="96">
        <f t="shared" si="61"/>
        <v>0</v>
      </c>
      <c r="BD105" s="96">
        <f t="shared" si="62"/>
        <v>0</v>
      </c>
      <c r="BE105" s="96">
        <f t="shared" si="51"/>
        <v>0</v>
      </c>
      <c r="BF105" s="96">
        <f t="shared" si="63"/>
        <v>0</v>
      </c>
      <c r="BG105" s="96">
        <f t="shared" si="64"/>
        <v>0</v>
      </c>
      <c r="BH105" s="96">
        <f t="shared" si="65"/>
        <v>0</v>
      </c>
      <c r="BI105" s="96">
        <f t="shared" si="66"/>
        <v>68640.70749999999</v>
      </c>
      <c r="BJ105" s="96">
        <f t="shared" si="67"/>
        <v>0</v>
      </c>
      <c r="BK105" s="96">
        <f t="shared" si="68"/>
        <v>0</v>
      </c>
      <c r="BL105" s="96">
        <f t="shared" si="69"/>
        <v>0</v>
      </c>
      <c r="BM105" s="96">
        <f t="shared" si="70"/>
        <v>0</v>
      </c>
      <c r="BN105" s="96"/>
      <c r="BO105" s="95"/>
      <c r="BP105" s="95">
        <f t="shared" si="71"/>
        <v>0</v>
      </c>
      <c r="BQ105" s="95"/>
      <c r="BR105" s="95"/>
      <c r="BS105" s="95">
        <f t="shared" si="72"/>
        <v>0</v>
      </c>
      <c r="BT105" s="95">
        <f t="shared" si="73"/>
        <v>0</v>
      </c>
      <c r="BU105" s="95">
        <f t="shared" si="74"/>
        <v>0</v>
      </c>
      <c r="BV105" s="95">
        <f t="shared" si="75"/>
        <v>0</v>
      </c>
      <c r="BW105" s="95"/>
      <c r="BX105" s="95"/>
      <c r="BY105" s="95"/>
      <c r="BZ105" s="95"/>
      <c r="CA105" s="95">
        <f t="shared" si="83"/>
        <v>0</v>
      </c>
      <c r="CB105" s="97">
        <f t="shared" si="48"/>
        <v>102398.4325</v>
      </c>
      <c r="CC105" s="95"/>
      <c r="CD105" s="95"/>
      <c r="CE105" s="95">
        <f t="shared" si="76"/>
        <v>-3071.9529749999997</v>
      </c>
      <c r="CF105" s="95">
        <f t="shared" si="84"/>
        <v>-1023.984325</v>
      </c>
      <c r="CG105" s="113"/>
      <c r="CH105" s="22"/>
      <c r="CI105" s="98">
        <f t="shared" si="77"/>
        <v>142251.90242899998</v>
      </c>
      <c r="CJ105" s="95">
        <f t="shared" si="78"/>
        <v>-4267.5570728699995</v>
      </c>
      <c r="CK105" s="95">
        <f t="shared" si="85"/>
        <v>-1422.5190242899998</v>
      </c>
      <c r="CL105" s="95"/>
      <c r="CM105" s="99"/>
      <c r="CN105" s="99"/>
      <c r="CO105" s="110"/>
      <c r="CP105" s="99"/>
      <c r="CQ105" s="99"/>
      <c r="CR105" s="99"/>
      <c r="CS105" s="95"/>
      <c r="CT105" s="95"/>
      <c r="CU105" s="96"/>
      <c r="CV105" s="96"/>
      <c r="CW105" s="96"/>
      <c r="CX105" s="96"/>
      <c r="CY105" s="96"/>
      <c r="CZ105" s="93">
        <f t="shared" si="88"/>
        <v>0</v>
      </c>
      <c r="DA105" s="93">
        <f t="shared" si="89"/>
        <v>0</v>
      </c>
      <c r="DB105" s="95">
        <f t="shared" si="86"/>
        <v>234864.32153183999</v>
      </c>
      <c r="DC105" s="100">
        <f t="shared" si="87"/>
        <v>234864</v>
      </c>
      <c r="DD105" s="100"/>
      <c r="DE105" s="100">
        <f t="shared" si="79"/>
        <v>-234864</v>
      </c>
      <c r="DF105" s="13"/>
      <c r="DG105" s="2"/>
      <c r="DH105" s="46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</row>
    <row r="106" spans="1:156" s="1" customFormat="1" x14ac:dyDescent="0.2">
      <c r="A106" s="88">
        <f t="shared" si="52"/>
        <v>509730</v>
      </c>
      <c r="B106" s="21">
        <v>9730</v>
      </c>
      <c r="C106" s="21" t="s">
        <v>98</v>
      </c>
      <c r="D106" s="84" t="s">
        <v>154</v>
      </c>
      <c r="E106" s="115" t="s">
        <v>202</v>
      </c>
      <c r="F106" s="85">
        <v>3</v>
      </c>
      <c r="G106" s="84"/>
      <c r="H106" s="85"/>
      <c r="I106" s="86"/>
      <c r="J106" s="85"/>
      <c r="K106" s="21" t="s">
        <v>8</v>
      </c>
      <c r="L106" s="21"/>
      <c r="M106" s="87"/>
      <c r="N106" s="88"/>
      <c r="O106" s="88">
        <v>15</v>
      </c>
      <c r="P106" s="89">
        <f t="shared" si="80"/>
        <v>5401.2359999999999</v>
      </c>
      <c r="Q106" s="90">
        <f t="shared" si="81"/>
        <v>18004.12</v>
      </c>
      <c r="R106" s="90">
        <f t="shared" si="82"/>
        <v>25011.1211</v>
      </c>
      <c r="S106" s="91"/>
      <c r="T106" s="92"/>
      <c r="U106" s="32"/>
      <c r="V106" s="32"/>
      <c r="W106" s="32"/>
      <c r="X106" s="93"/>
      <c r="Y106" s="32"/>
      <c r="Z106" s="32"/>
      <c r="AA106" s="32">
        <v>15</v>
      </c>
      <c r="AB106" s="32">
        <v>0</v>
      </c>
      <c r="AC106" s="32"/>
      <c r="AD106" s="32">
        <v>0</v>
      </c>
      <c r="AE106" s="32">
        <v>0</v>
      </c>
      <c r="AF106" s="32">
        <v>0</v>
      </c>
      <c r="AG106" s="32">
        <v>0</v>
      </c>
      <c r="AH106" s="32">
        <v>0</v>
      </c>
      <c r="AI106" s="32">
        <v>0.125</v>
      </c>
      <c r="AJ106" s="93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94">
        <f t="shared" si="53"/>
        <v>0</v>
      </c>
      <c r="AV106" s="95">
        <f t="shared" si="54"/>
        <v>0</v>
      </c>
      <c r="AW106" s="95">
        <f t="shared" si="55"/>
        <v>0</v>
      </c>
      <c r="AX106" s="95">
        <f t="shared" si="56"/>
        <v>0</v>
      </c>
      <c r="AY106" s="95">
        <f t="shared" si="57"/>
        <v>0</v>
      </c>
      <c r="AZ106" s="95">
        <f t="shared" si="58"/>
        <v>0</v>
      </c>
      <c r="BA106" s="95">
        <f t="shared" si="59"/>
        <v>0</v>
      </c>
      <c r="BB106" s="95">
        <f t="shared" si="60"/>
        <v>33757.724999999999</v>
      </c>
      <c r="BC106" s="96">
        <f t="shared" si="61"/>
        <v>0</v>
      </c>
      <c r="BD106" s="96">
        <f t="shared" si="62"/>
        <v>0</v>
      </c>
      <c r="BE106" s="96">
        <f t="shared" si="51"/>
        <v>0</v>
      </c>
      <c r="BF106" s="96">
        <f t="shared" si="63"/>
        <v>0</v>
      </c>
      <c r="BG106" s="96">
        <f t="shared" si="64"/>
        <v>0</v>
      </c>
      <c r="BH106" s="96">
        <f t="shared" si="65"/>
        <v>0</v>
      </c>
      <c r="BI106" s="96">
        <f t="shared" si="66"/>
        <v>2250.5149999999999</v>
      </c>
      <c r="BJ106" s="96">
        <f t="shared" si="67"/>
        <v>0</v>
      </c>
      <c r="BK106" s="96">
        <f t="shared" si="68"/>
        <v>0</v>
      </c>
      <c r="BL106" s="96">
        <f t="shared" si="69"/>
        <v>0</v>
      </c>
      <c r="BM106" s="96">
        <f t="shared" si="70"/>
        <v>0</v>
      </c>
      <c r="BN106" s="96"/>
      <c r="BO106" s="95"/>
      <c r="BP106" s="95">
        <f t="shared" si="71"/>
        <v>0</v>
      </c>
      <c r="BQ106" s="95"/>
      <c r="BR106" s="95"/>
      <c r="BS106" s="95">
        <f t="shared" si="72"/>
        <v>0</v>
      </c>
      <c r="BT106" s="95">
        <f t="shared" si="73"/>
        <v>0</v>
      </c>
      <c r="BU106" s="95">
        <f t="shared" si="74"/>
        <v>0</v>
      </c>
      <c r="BV106" s="95">
        <f t="shared" si="75"/>
        <v>0</v>
      </c>
      <c r="BW106" s="95"/>
      <c r="BX106" s="95"/>
      <c r="BY106" s="95"/>
      <c r="BZ106" s="95"/>
      <c r="CA106" s="95">
        <f t="shared" si="83"/>
        <v>0</v>
      </c>
      <c r="CB106" s="97">
        <f t="shared" si="48"/>
        <v>36008.239999999998</v>
      </c>
      <c r="CC106" s="95"/>
      <c r="CD106" s="95"/>
      <c r="CE106" s="95">
        <f t="shared" si="76"/>
        <v>-1080.2471999999998</v>
      </c>
      <c r="CF106" s="95">
        <f t="shared" si="84"/>
        <v>-540.1235999999999</v>
      </c>
      <c r="CG106" s="113"/>
      <c r="CH106" s="22"/>
      <c r="CI106" s="98">
        <f t="shared" si="77"/>
        <v>50022.647007999985</v>
      </c>
      <c r="CJ106" s="95">
        <f t="shared" si="78"/>
        <v>-1500.6794102399995</v>
      </c>
      <c r="CK106" s="95">
        <f t="shared" si="85"/>
        <v>-750.33970511999973</v>
      </c>
      <c r="CL106" s="95"/>
      <c r="CM106" s="99"/>
      <c r="CN106" s="99"/>
      <c r="CO106" s="110"/>
      <c r="CP106" s="99"/>
      <c r="CQ106" s="99"/>
      <c r="CR106" s="99"/>
      <c r="CS106" s="95"/>
      <c r="CT106" s="95"/>
      <c r="CU106" s="96"/>
      <c r="CV106" s="96"/>
      <c r="CW106" s="96"/>
      <c r="CX106" s="96"/>
      <c r="CY106" s="96"/>
      <c r="CZ106" s="93">
        <f t="shared" si="88"/>
        <v>0</v>
      </c>
      <c r="DA106" s="93">
        <f t="shared" si="89"/>
        <v>0</v>
      </c>
      <c r="DB106" s="95">
        <f t="shared" si="86"/>
        <v>82159.497092639984</v>
      </c>
      <c r="DC106" s="100">
        <f t="shared" si="87"/>
        <v>82159</v>
      </c>
      <c r="DD106" s="100"/>
      <c r="DE106" s="100">
        <f t="shared" si="79"/>
        <v>-82159</v>
      </c>
      <c r="DF106" s="13"/>
      <c r="DG106" s="2"/>
      <c r="DH106" s="46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</row>
    <row r="107" spans="1:156" s="1" customFormat="1" hidden="1" x14ac:dyDescent="0.2">
      <c r="A107" s="88">
        <f t="shared" si="52"/>
        <v>509740</v>
      </c>
      <c r="B107" s="21">
        <v>9740</v>
      </c>
      <c r="C107" s="21" t="s">
        <v>98</v>
      </c>
      <c r="D107" s="84" t="s">
        <v>156</v>
      </c>
      <c r="E107" s="114" t="s">
        <v>201</v>
      </c>
      <c r="F107" s="85">
        <v>0</v>
      </c>
      <c r="G107" s="84"/>
      <c r="H107" s="85"/>
      <c r="I107" s="86"/>
      <c r="J107" s="85"/>
      <c r="K107" s="21" t="s">
        <v>8</v>
      </c>
      <c r="L107" s="21"/>
      <c r="M107" s="87"/>
      <c r="N107" s="88"/>
      <c r="O107" s="88">
        <v>3</v>
      </c>
      <c r="P107" s="89">
        <f t="shared" si="80"/>
        <v>5401.2359999999999</v>
      </c>
      <c r="Q107" s="90">
        <f t="shared" si="81"/>
        <v>18004.12</v>
      </c>
      <c r="R107" s="90">
        <f t="shared" si="82"/>
        <v>25011.1211</v>
      </c>
      <c r="S107" s="91"/>
      <c r="T107" s="92"/>
      <c r="U107" s="32"/>
      <c r="V107" s="32"/>
      <c r="W107" s="32"/>
      <c r="X107" s="93"/>
      <c r="Y107" s="32"/>
      <c r="Z107" s="32"/>
      <c r="AA107" s="32">
        <v>0</v>
      </c>
      <c r="AB107" s="32">
        <v>0</v>
      </c>
      <c r="AC107" s="32"/>
      <c r="AD107" s="32">
        <v>0</v>
      </c>
      <c r="AE107" s="32">
        <v>0</v>
      </c>
      <c r="AF107" s="32">
        <v>0</v>
      </c>
      <c r="AG107" s="32">
        <v>0</v>
      </c>
      <c r="AH107" s="32">
        <v>0</v>
      </c>
      <c r="AI107" s="32">
        <v>0</v>
      </c>
      <c r="AJ107" s="93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94">
        <f t="shared" si="53"/>
        <v>0</v>
      </c>
      <c r="AV107" s="95">
        <f t="shared" si="54"/>
        <v>0</v>
      </c>
      <c r="AW107" s="95">
        <f t="shared" si="55"/>
        <v>0</v>
      </c>
      <c r="AX107" s="95">
        <f t="shared" si="56"/>
        <v>0</v>
      </c>
      <c r="AY107" s="95">
        <f t="shared" si="57"/>
        <v>0</v>
      </c>
      <c r="AZ107" s="95">
        <f t="shared" si="58"/>
        <v>0</v>
      </c>
      <c r="BA107" s="95">
        <f t="shared" si="59"/>
        <v>0</v>
      </c>
      <c r="BB107" s="95">
        <f t="shared" si="60"/>
        <v>0</v>
      </c>
      <c r="BC107" s="96">
        <f t="shared" si="61"/>
        <v>0</v>
      </c>
      <c r="BD107" s="96">
        <f t="shared" si="62"/>
        <v>0</v>
      </c>
      <c r="BE107" s="96">
        <f t="shared" si="51"/>
        <v>0</v>
      </c>
      <c r="BF107" s="96">
        <f t="shared" si="63"/>
        <v>0</v>
      </c>
      <c r="BG107" s="96">
        <f t="shared" si="64"/>
        <v>0</v>
      </c>
      <c r="BH107" s="96">
        <f t="shared" si="65"/>
        <v>0</v>
      </c>
      <c r="BI107" s="96">
        <f t="shared" si="66"/>
        <v>0</v>
      </c>
      <c r="BJ107" s="96">
        <f t="shared" si="67"/>
        <v>0</v>
      </c>
      <c r="BK107" s="96">
        <f t="shared" si="68"/>
        <v>0</v>
      </c>
      <c r="BL107" s="96">
        <f t="shared" si="69"/>
        <v>0</v>
      </c>
      <c r="BM107" s="96">
        <f t="shared" si="70"/>
        <v>0</v>
      </c>
      <c r="BN107" s="96"/>
      <c r="BO107" s="95"/>
      <c r="BP107" s="95">
        <f t="shared" si="71"/>
        <v>0</v>
      </c>
      <c r="BQ107" s="95"/>
      <c r="BR107" s="95"/>
      <c r="BS107" s="95">
        <f t="shared" si="72"/>
        <v>0</v>
      </c>
      <c r="BT107" s="95">
        <f t="shared" si="73"/>
        <v>0</v>
      </c>
      <c r="BU107" s="95">
        <f t="shared" si="74"/>
        <v>0</v>
      </c>
      <c r="BV107" s="95">
        <f t="shared" si="75"/>
        <v>0</v>
      </c>
      <c r="BW107" s="95"/>
      <c r="BX107" s="95"/>
      <c r="BY107" s="95"/>
      <c r="BZ107" s="95"/>
      <c r="CA107" s="95">
        <f t="shared" si="83"/>
        <v>0</v>
      </c>
      <c r="CB107" s="97">
        <f t="shared" si="48"/>
        <v>0</v>
      </c>
      <c r="CC107" s="95"/>
      <c r="CD107" s="95"/>
      <c r="CE107" s="95">
        <f t="shared" si="76"/>
        <v>0</v>
      </c>
      <c r="CF107" s="95">
        <f t="shared" si="84"/>
        <v>0</v>
      </c>
      <c r="CG107" s="113"/>
      <c r="CH107" s="22"/>
      <c r="CI107" s="98">
        <f t="shared" si="77"/>
        <v>0</v>
      </c>
      <c r="CJ107" s="95">
        <f t="shared" si="78"/>
        <v>0</v>
      </c>
      <c r="CK107" s="95">
        <f t="shared" si="85"/>
        <v>0</v>
      </c>
      <c r="CL107" s="95"/>
      <c r="CM107" s="99"/>
      <c r="CN107" s="99"/>
      <c r="CO107" s="110"/>
      <c r="CP107" s="99"/>
      <c r="CQ107" s="99"/>
      <c r="CR107" s="99"/>
      <c r="CS107" s="95"/>
      <c r="CT107" s="95"/>
      <c r="CU107" s="96"/>
      <c r="CV107" s="96"/>
      <c r="CW107" s="96"/>
      <c r="CX107" s="96"/>
      <c r="CY107" s="96"/>
      <c r="CZ107" s="93">
        <f t="shared" si="88"/>
        <v>0</v>
      </c>
      <c r="DA107" s="93">
        <f t="shared" si="89"/>
        <v>0</v>
      </c>
      <c r="DB107" s="95">
        <f t="shared" si="86"/>
        <v>0</v>
      </c>
      <c r="DC107" s="100">
        <f t="shared" si="87"/>
        <v>0</v>
      </c>
      <c r="DD107" s="100"/>
      <c r="DE107" s="100">
        <f t="shared" si="79"/>
        <v>0</v>
      </c>
      <c r="DF107" s="13"/>
      <c r="DG107" s="2"/>
      <c r="DH107" s="46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</row>
    <row r="108" spans="1:156" s="1" customFormat="1" hidden="1" x14ac:dyDescent="0.2">
      <c r="A108" s="88">
        <f t="shared" si="52"/>
        <v>509757</v>
      </c>
      <c r="B108" s="21">
        <v>9757</v>
      </c>
      <c r="C108" s="21" t="s">
        <v>98</v>
      </c>
      <c r="D108" s="84" t="s">
        <v>171</v>
      </c>
      <c r="E108" s="114" t="s">
        <v>201</v>
      </c>
      <c r="F108" s="85">
        <v>0</v>
      </c>
      <c r="G108" s="84"/>
      <c r="H108" s="85"/>
      <c r="I108" s="86"/>
      <c r="J108" s="85"/>
      <c r="K108" s="21" t="s">
        <v>8</v>
      </c>
      <c r="L108" s="21"/>
      <c r="M108" s="87"/>
      <c r="N108" s="88"/>
      <c r="O108" s="88">
        <v>3</v>
      </c>
      <c r="P108" s="89">
        <f t="shared" si="80"/>
        <v>5401.2359999999999</v>
      </c>
      <c r="Q108" s="90">
        <f t="shared" si="81"/>
        <v>18004.12</v>
      </c>
      <c r="R108" s="90">
        <f t="shared" si="82"/>
        <v>25011.1211</v>
      </c>
      <c r="S108" s="91"/>
      <c r="T108" s="92"/>
      <c r="U108" s="32"/>
      <c r="V108" s="32"/>
      <c r="W108" s="32"/>
      <c r="X108" s="93"/>
      <c r="Y108" s="32"/>
      <c r="Z108" s="32"/>
      <c r="AA108" s="32">
        <v>0</v>
      </c>
      <c r="AB108" s="32">
        <v>0</v>
      </c>
      <c r="AC108" s="32"/>
      <c r="AD108" s="32">
        <v>0</v>
      </c>
      <c r="AE108" s="32">
        <v>0</v>
      </c>
      <c r="AF108" s="32">
        <v>0</v>
      </c>
      <c r="AG108" s="32">
        <v>0</v>
      </c>
      <c r="AH108" s="32">
        <v>0</v>
      </c>
      <c r="AI108" s="32">
        <v>0</v>
      </c>
      <c r="AJ108" s="93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94">
        <f t="shared" si="53"/>
        <v>0</v>
      </c>
      <c r="AV108" s="95">
        <f t="shared" si="54"/>
        <v>0</v>
      </c>
      <c r="AW108" s="95">
        <f t="shared" si="55"/>
        <v>0</v>
      </c>
      <c r="AX108" s="95">
        <f t="shared" si="56"/>
        <v>0</v>
      </c>
      <c r="AY108" s="95">
        <f t="shared" si="57"/>
        <v>0</v>
      </c>
      <c r="AZ108" s="95">
        <f t="shared" si="58"/>
        <v>0</v>
      </c>
      <c r="BA108" s="95">
        <f t="shared" si="59"/>
        <v>0</v>
      </c>
      <c r="BB108" s="95">
        <f t="shared" si="60"/>
        <v>0</v>
      </c>
      <c r="BC108" s="96">
        <f t="shared" si="61"/>
        <v>0</v>
      </c>
      <c r="BD108" s="96">
        <f t="shared" si="62"/>
        <v>0</v>
      </c>
      <c r="BE108" s="96">
        <f t="shared" si="51"/>
        <v>0</v>
      </c>
      <c r="BF108" s="96">
        <f t="shared" si="63"/>
        <v>0</v>
      </c>
      <c r="BG108" s="96">
        <f t="shared" si="64"/>
        <v>0</v>
      </c>
      <c r="BH108" s="96">
        <f t="shared" si="65"/>
        <v>0</v>
      </c>
      <c r="BI108" s="96">
        <f t="shared" si="66"/>
        <v>0</v>
      </c>
      <c r="BJ108" s="96">
        <f t="shared" si="67"/>
        <v>0</v>
      </c>
      <c r="BK108" s="96">
        <f t="shared" si="68"/>
        <v>0</v>
      </c>
      <c r="BL108" s="96">
        <f t="shared" si="69"/>
        <v>0</v>
      </c>
      <c r="BM108" s="96">
        <f t="shared" si="70"/>
        <v>0</v>
      </c>
      <c r="BN108" s="96"/>
      <c r="BO108" s="95"/>
      <c r="BP108" s="95">
        <f t="shared" si="71"/>
        <v>0</v>
      </c>
      <c r="BQ108" s="95"/>
      <c r="BR108" s="95"/>
      <c r="BS108" s="95">
        <f t="shared" si="72"/>
        <v>0</v>
      </c>
      <c r="BT108" s="95">
        <f t="shared" si="73"/>
        <v>0</v>
      </c>
      <c r="BU108" s="95">
        <f t="shared" si="74"/>
        <v>0</v>
      </c>
      <c r="BV108" s="95">
        <f t="shared" si="75"/>
        <v>0</v>
      </c>
      <c r="BW108" s="95"/>
      <c r="BX108" s="95"/>
      <c r="BY108" s="95"/>
      <c r="BZ108" s="95"/>
      <c r="CA108" s="95">
        <f t="shared" si="83"/>
        <v>0</v>
      </c>
      <c r="CB108" s="97">
        <f t="shared" si="48"/>
        <v>0</v>
      </c>
      <c r="CC108" s="95"/>
      <c r="CD108" s="95"/>
      <c r="CE108" s="95">
        <f t="shared" si="76"/>
        <v>0</v>
      </c>
      <c r="CF108" s="95">
        <f t="shared" si="84"/>
        <v>0</v>
      </c>
      <c r="CG108" s="113"/>
      <c r="CH108" s="22"/>
      <c r="CI108" s="98">
        <f t="shared" si="77"/>
        <v>0</v>
      </c>
      <c r="CJ108" s="95">
        <f t="shared" si="78"/>
        <v>0</v>
      </c>
      <c r="CK108" s="95">
        <f t="shared" si="85"/>
        <v>0</v>
      </c>
      <c r="CL108" s="95"/>
      <c r="CM108" s="99"/>
      <c r="CN108" s="99"/>
      <c r="CO108" s="110"/>
      <c r="CP108" s="99"/>
      <c r="CQ108" s="99"/>
      <c r="CR108" s="99"/>
      <c r="CS108" s="95"/>
      <c r="CT108" s="95"/>
      <c r="CU108" s="96"/>
      <c r="CV108" s="96"/>
      <c r="CW108" s="96"/>
      <c r="CX108" s="96"/>
      <c r="CY108" s="96"/>
      <c r="CZ108" s="93">
        <f t="shared" si="88"/>
        <v>0</v>
      </c>
      <c r="DA108" s="93">
        <f t="shared" si="89"/>
        <v>0</v>
      </c>
      <c r="DB108" s="95">
        <f t="shared" si="86"/>
        <v>0</v>
      </c>
      <c r="DC108" s="100">
        <f t="shared" si="87"/>
        <v>0</v>
      </c>
      <c r="DD108" s="100"/>
      <c r="DE108" s="100">
        <f t="shared" si="79"/>
        <v>0</v>
      </c>
      <c r="DF108" s="13"/>
      <c r="DG108" s="2"/>
      <c r="DH108" s="46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</row>
    <row r="109" spans="1:156" s="1" customFormat="1" hidden="1" x14ac:dyDescent="0.2">
      <c r="A109" s="88">
        <f t="shared" si="52"/>
        <v>509758</v>
      </c>
      <c r="B109" s="21">
        <v>9758</v>
      </c>
      <c r="C109" s="21" t="s">
        <v>98</v>
      </c>
      <c r="D109" s="84" t="s">
        <v>172</v>
      </c>
      <c r="E109" s="114" t="s">
        <v>201</v>
      </c>
      <c r="F109" s="85">
        <v>0</v>
      </c>
      <c r="G109" s="84"/>
      <c r="H109" s="85"/>
      <c r="I109" s="86"/>
      <c r="J109" s="85"/>
      <c r="K109" s="21" t="s">
        <v>8</v>
      </c>
      <c r="L109" s="21"/>
      <c r="M109" s="87"/>
      <c r="N109" s="88"/>
      <c r="O109" s="88">
        <v>2</v>
      </c>
      <c r="P109" s="89">
        <f t="shared" si="80"/>
        <v>5401.2359999999999</v>
      </c>
      <c r="Q109" s="90">
        <f t="shared" si="81"/>
        <v>18004.12</v>
      </c>
      <c r="R109" s="90">
        <f t="shared" si="82"/>
        <v>25011.1211</v>
      </c>
      <c r="S109" s="91"/>
      <c r="T109" s="92"/>
      <c r="U109" s="32"/>
      <c r="V109" s="32"/>
      <c r="W109" s="32"/>
      <c r="X109" s="93"/>
      <c r="Y109" s="32"/>
      <c r="Z109" s="32"/>
      <c r="AA109" s="32">
        <v>0</v>
      </c>
      <c r="AB109" s="32">
        <v>0</v>
      </c>
      <c r="AC109" s="32"/>
      <c r="AD109" s="32">
        <v>0</v>
      </c>
      <c r="AE109" s="32">
        <v>0</v>
      </c>
      <c r="AF109" s="32">
        <v>0</v>
      </c>
      <c r="AG109" s="32">
        <v>0</v>
      </c>
      <c r="AH109" s="32">
        <v>0</v>
      </c>
      <c r="AI109" s="32">
        <v>0</v>
      </c>
      <c r="AJ109" s="93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94">
        <f t="shared" si="53"/>
        <v>0</v>
      </c>
      <c r="AV109" s="95">
        <f t="shared" si="54"/>
        <v>0</v>
      </c>
      <c r="AW109" s="95">
        <f t="shared" si="55"/>
        <v>0</v>
      </c>
      <c r="AX109" s="95">
        <f t="shared" si="56"/>
        <v>0</v>
      </c>
      <c r="AY109" s="95">
        <f t="shared" si="57"/>
        <v>0</v>
      </c>
      <c r="AZ109" s="95">
        <f t="shared" si="58"/>
        <v>0</v>
      </c>
      <c r="BA109" s="95">
        <f t="shared" si="59"/>
        <v>0</v>
      </c>
      <c r="BB109" s="95">
        <f t="shared" si="60"/>
        <v>0</v>
      </c>
      <c r="BC109" s="96">
        <f t="shared" si="61"/>
        <v>0</v>
      </c>
      <c r="BD109" s="96">
        <f t="shared" si="62"/>
        <v>0</v>
      </c>
      <c r="BE109" s="96">
        <f t="shared" si="51"/>
        <v>0</v>
      </c>
      <c r="BF109" s="96">
        <f t="shared" si="63"/>
        <v>0</v>
      </c>
      <c r="BG109" s="96">
        <f t="shared" si="64"/>
        <v>0</v>
      </c>
      <c r="BH109" s="96">
        <f t="shared" si="65"/>
        <v>0</v>
      </c>
      <c r="BI109" s="96">
        <f t="shared" si="66"/>
        <v>0</v>
      </c>
      <c r="BJ109" s="96">
        <f t="shared" si="67"/>
        <v>0</v>
      </c>
      <c r="BK109" s="96">
        <f t="shared" si="68"/>
        <v>0</v>
      </c>
      <c r="BL109" s="96">
        <f t="shared" si="69"/>
        <v>0</v>
      </c>
      <c r="BM109" s="96">
        <f t="shared" si="70"/>
        <v>0</v>
      </c>
      <c r="BN109" s="96"/>
      <c r="BO109" s="95"/>
      <c r="BP109" s="95">
        <f t="shared" si="71"/>
        <v>0</v>
      </c>
      <c r="BQ109" s="95"/>
      <c r="BR109" s="95"/>
      <c r="BS109" s="95">
        <f t="shared" si="72"/>
        <v>0</v>
      </c>
      <c r="BT109" s="95">
        <f t="shared" si="73"/>
        <v>0</v>
      </c>
      <c r="BU109" s="95">
        <f t="shared" si="74"/>
        <v>0</v>
      </c>
      <c r="BV109" s="95">
        <f t="shared" si="75"/>
        <v>0</v>
      </c>
      <c r="BW109" s="95"/>
      <c r="BX109" s="95"/>
      <c r="BY109" s="95"/>
      <c r="BZ109" s="95"/>
      <c r="CA109" s="95">
        <f t="shared" si="83"/>
        <v>0</v>
      </c>
      <c r="CB109" s="97">
        <f t="shared" si="48"/>
        <v>0</v>
      </c>
      <c r="CC109" s="95"/>
      <c r="CD109" s="95"/>
      <c r="CE109" s="95">
        <f t="shared" si="76"/>
        <v>0</v>
      </c>
      <c r="CF109" s="95">
        <f t="shared" si="84"/>
        <v>0</v>
      </c>
      <c r="CG109" s="113"/>
      <c r="CH109" s="22"/>
      <c r="CI109" s="98">
        <f t="shared" si="77"/>
        <v>0</v>
      </c>
      <c r="CJ109" s="95">
        <f t="shared" si="78"/>
        <v>0</v>
      </c>
      <c r="CK109" s="95">
        <f t="shared" si="85"/>
        <v>0</v>
      </c>
      <c r="CL109" s="95"/>
      <c r="CM109" s="99"/>
      <c r="CN109" s="99"/>
      <c r="CO109" s="110"/>
      <c r="CP109" s="99"/>
      <c r="CQ109" s="99"/>
      <c r="CR109" s="99"/>
      <c r="CS109" s="95"/>
      <c r="CT109" s="95"/>
      <c r="CU109" s="96"/>
      <c r="CV109" s="96"/>
      <c r="CW109" s="96"/>
      <c r="CX109" s="96"/>
      <c r="CY109" s="96"/>
      <c r="CZ109" s="93">
        <f t="shared" si="88"/>
        <v>0</v>
      </c>
      <c r="DA109" s="93">
        <f t="shared" si="89"/>
        <v>0</v>
      </c>
      <c r="DB109" s="95">
        <f t="shared" si="86"/>
        <v>0</v>
      </c>
      <c r="DC109" s="100">
        <f t="shared" si="87"/>
        <v>0</v>
      </c>
      <c r="DD109" s="100"/>
      <c r="DE109" s="100">
        <f t="shared" si="79"/>
        <v>0</v>
      </c>
      <c r="DF109" s="13"/>
      <c r="DG109" s="2"/>
      <c r="DH109" s="46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</row>
    <row r="110" spans="1:156" s="1" customFormat="1" x14ac:dyDescent="0.2">
      <c r="A110" s="88">
        <f t="shared" si="52"/>
        <v>509644</v>
      </c>
      <c r="B110" s="21">
        <v>9644</v>
      </c>
      <c r="C110" s="21" t="s">
        <v>98</v>
      </c>
      <c r="D110" s="84" t="s">
        <v>105</v>
      </c>
      <c r="E110" s="115" t="s">
        <v>202</v>
      </c>
      <c r="F110" s="85">
        <v>3</v>
      </c>
      <c r="G110" s="84"/>
      <c r="H110" s="85"/>
      <c r="I110" s="86"/>
      <c r="J110" s="85"/>
      <c r="K110" s="21" t="s">
        <v>10</v>
      </c>
      <c r="L110" s="21"/>
      <c r="M110" s="87"/>
      <c r="N110" s="88"/>
      <c r="O110" s="88">
        <v>13</v>
      </c>
      <c r="P110" s="89">
        <f t="shared" si="80"/>
        <v>5700.7259999999997</v>
      </c>
      <c r="Q110" s="90">
        <f t="shared" si="81"/>
        <v>19002.419999999998</v>
      </c>
      <c r="R110" s="90">
        <f t="shared" si="82"/>
        <v>26397.963600000003</v>
      </c>
      <c r="S110" s="91"/>
      <c r="T110" s="92"/>
      <c r="U110" s="32"/>
      <c r="V110" s="32"/>
      <c r="W110" s="32"/>
      <c r="X110" s="93"/>
      <c r="Y110" s="32"/>
      <c r="Z110" s="32"/>
      <c r="AA110" s="32">
        <v>4</v>
      </c>
      <c r="AB110" s="32">
        <v>0</v>
      </c>
      <c r="AC110" s="32"/>
      <c r="AD110" s="32">
        <v>0</v>
      </c>
      <c r="AE110" s="32">
        <v>0</v>
      </c>
      <c r="AF110" s="32">
        <v>0</v>
      </c>
      <c r="AG110" s="32">
        <v>0</v>
      </c>
      <c r="AH110" s="32">
        <v>0</v>
      </c>
      <c r="AI110" s="32">
        <v>0</v>
      </c>
      <c r="AJ110" s="93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94">
        <f t="shared" si="53"/>
        <v>0</v>
      </c>
      <c r="AV110" s="95">
        <f t="shared" si="54"/>
        <v>0</v>
      </c>
      <c r="AW110" s="95">
        <f t="shared" si="55"/>
        <v>0</v>
      </c>
      <c r="AX110" s="95">
        <f t="shared" si="56"/>
        <v>0</v>
      </c>
      <c r="AY110" s="95">
        <f t="shared" si="57"/>
        <v>0</v>
      </c>
      <c r="AZ110" s="95">
        <f t="shared" si="58"/>
        <v>0</v>
      </c>
      <c r="BA110" s="95">
        <f t="shared" si="59"/>
        <v>0</v>
      </c>
      <c r="BB110" s="95">
        <f t="shared" si="60"/>
        <v>9501.2099999999991</v>
      </c>
      <c r="BC110" s="96">
        <f t="shared" si="61"/>
        <v>0</v>
      </c>
      <c r="BD110" s="96">
        <f t="shared" si="62"/>
        <v>0</v>
      </c>
      <c r="BE110" s="96">
        <f t="shared" si="51"/>
        <v>0</v>
      </c>
      <c r="BF110" s="96">
        <f t="shared" si="63"/>
        <v>0</v>
      </c>
      <c r="BG110" s="96">
        <f t="shared" si="64"/>
        <v>0</v>
      </c>
      <c r="BH110" s="96">
        <f t="shared" si="65"/>
        <v>0</v>
      </c>
      <c r="BI110" s="96">
        <f t="shared" si="66"/>
        <v>0</v>
      </c>
      <c r="BJ110" s="96">
        <f t="shared" si="67"/>
        <v>0</v>
      </c>
      <c r="BK110" s="96">
        <f t="shared" si="68"/>
        <v>0</v>
      </c>
      <c r="BL110" s="96">
        <f t="shared" si="69"/>
        <v>0</v>
      </c>
      <c r="BM110" s="96">
        <f t="shared" si="70"/>
        <v>0</v>
      </c>
      <c r="BN110" s="96"/>
      <c r="BO110" s="95"/>
      <c r="BP110" s="95">
        <f t="shared" si="71"/>
        <v>0</v>
      </c>
      <c r="BQ110" s="95"/>
      <c r="BR110" s="95"/>
      <c r="BS110" s="95">
        <f t="shared" si="72"/>
        <v>0</v>
      </c>
      <c r="BT110" s="95">
        <f t="shared" si="73"/>
        <v>0</v>
      </c>
      <c r="BU110" s="95">
        <f t="shared" si="74"/>
        <v>0</v>
      </c>
      <c r="BV110" s="95">
        <f t="shared" si="75"/>
        <v>0</v>
      </c>
      <c r="BW110" s="95"/>
      <c r="BX110" s="95"/>
      <c r="BY110" s="95"/>
      <c r="BZ110" s="95"/>
      <c r="CA110" s="95">
        <f t="shared" si="83"/>
        <v>0</v>
      </c>
      <c r="CB110" s="97">
        <f t="shared" si="48"/>
        <v>9501.2099999999991</v>
      </c>
      <c r="CC110" s="95"/>
      <c r="CD110" s="95"/>
      <c r="CE110" s="95">
        <f t="shared" si="76"/>
        <v>-285.03629999999998</v>
      </c>
      <c r="CF110" s="95">
        <f t="shared" si="84"/>
        <v>-142.51814999999999</v>
      </c>
      <c r="CG110" s="113"/>
      <c r="CH110" s="22"/>
      <c r="CI110" s="98">
        <f t="shared" si="77"/>
        <v>13199.080931999997</v>
      </c>
      <c r="CJ110" s="95">
        <f t="shared" si="78"/>
        <v>-395.97242795999989</v>
      </c>
      <c r="CK110" s="95">
        <f t="shared" si="85"/>
        <v>-197.98621397999995</v>
      </c>
      <c r="CL110" s="95"/>
      <c r="CM110" s="99"/>
      <c r="CN110" s="99"/>
      <c r="CO110" s="110"/>
      <c r="CP110" s="99"/>
      <c r="CQ110" s="99"/>
      <c r="CR110" s="99"/>
      <c r="CS110" s="95"/>
      <c r="CT110" s="95"/>
      <c r="CU110" s="96"/>
      <c r="CV110" s="96"/>
      <c r="CW110" s="96"/>
      <c r="CX110" s="96"/>
      <c r="CY110" s="96"/>
      <c r="CZ110" s="93">
        <f t="shared" si="88"/>
        <v>0</v>
      </c>
      <c r="DA110" s="93">
        <f t="shared" si="89"/>
        <v>0</v>
      </c>
      <c r="DB110" s="95">
        <f t="shared" si="86"/>
        <v>21678.777840059996</v>
      </c>
      <c r="DC110" s="100">
        <f t="shared" si="87"/>
        <v>21679</v>
      </c>
      <c r="DD110" s="100"/>
      <c r="DE110" s="100">
        <f t="shared" si="79"/>
        <v>-21679</v>
      </c>
      <c r="DF110" s="13"/>
      <c r="DG110" s="2"/>
      <c r="DH110" s="46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</row>
    <row r="111" spans="1:156" s="1" customFormat="1" hidden="1" x14ac:dyDescent="0.2">
      <c r="A111" s="88">
        <f t="shared" si="52"/>
        <v>509830</v>
      </c>
      <c r="B111" s="104">
        <v>9830</v>
      </c>
      <c r="C111" s="21" t="s">
        <v>98</v>
      </c>
      <c r="D111" s="84" t="s">
        <v>179</v>
      </c>
      <c r="E111" s="114" t="s">
        <v>201</v>
      </c>
      <c r="F111" s="85">
        <v>0</v>
      </c>
      <c r="G111" s="84"/>
      <c r="H111" s="85"/>
      <c r="I111" s="86"/>
      <c r="J111" s="85"/>
      <c r="K111" s="21" t="s">
        <v>8</v>
      </c>
      <c r="L111" s="21"/>
      <c r="M111" s="87"/>
      <c r="N111" s="88"/>
      <c r="O111" s="88">
        <v>0</v>
      </c>
      <c r="P111" s="89">
        <f t="shared" si="80"/>
        <v>5401.2359999999999</v>
      </c>
      <c r="Q111" s="90">
        <f t="shared" si="81"/>
        <v>18004.12</v>
      </c>
      <c r="R111" s="90">
        <f t="shared" si="82"/>
        <v>25011.1211</v>
      </c>
      <c r="S111" s="91"/>
      <c r="T111" s="92"/>
      <c r="U111" s="32"/>
      <c r="V111" s="32"/>
      <c r="W111" s="32"/>
      <c r="X111" s="93"/>
      <c r="Y111" s="32"/>
      <c r="Z111" s="32"/>
      <c r="AA111" s="32">
        <v>0</v>
      </c>
      <c r="AB111" s="32">
        <v>0</v>
      </c>
      <c r="AC111" s="32"/>
      <c r="AD111" s="32">
        <v>0</v>
      </c>
      <c r="AE111" s="32">
        <v>0</v>
      </c>
      <c r="AF111" s="32">
        <v>0</v>
      </c>
      <c r="AG111" s="32">
        <v>0</v>
      </c>
      <c r="AH111" s="32">
        <v>0</v>
      </c>
      <c r="AI111" s="32">
        <v>0</v>
      </c>
      <c r="AJ111" s="93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94">
        <f t="shared" si="53"/>
        <v>0</v>
      </c>
      <c r="AV111" s="95">
        <f t="shared" si="54"/>
        <v>0</v>
      </c>
      <c r="AW111" s="95">
        <f t="shared" si="55"/>
        <v>0</v>
      </c>
      <c r="AX111" s="95">
        <f t="shared" si="56"/>
        <v>0</v>
      </c>
      <c r="AY111" s="95">
        <f t="shared" si="57"/>
        <v>0</v>
      </c>
      <c r="AZ111" s="95">
        <f t="shared" si="58"/>
        <v>0</v>
      </c>
      <c r="BA111" s="95">
        <f t="shared" si="59"/>
        <v>0</v>
      </c>
      <c r="BB111" s="95">
        <f t="shared" si="60"/>
        <v>0</v>
      </c>
      <c r="BC111" s="96">
        <f t="shared" si="61"/>
        <v>0</v>
      </c>
      <c r="BD111" s="96">
        <f t="shared" si="62"/>
        <v>0</v>
      </c>
      <c r="BE111" s="96">
        <f t="shared" si="51"/>
        <v>0</v>
      </c>
      <c r="BF111" s="96">
        <f t="shared" si="63"/>
        <v>0</v>
      </c>
      <c r="BG111" s="96">
        <f t="shared" si="64"/>
        <v>0</v>
      </c>
      <c r="BH111" s="96">
        <f t="shared" si="65"/>
        <v>0</v>
      </c>
      <c r="BI111" s="96">
        <f t="shared" si="66"/>
        <v>0</v>
      </c>
      <c r="BJ111" s="96">
        <f t="shared" si="67"/>
        <v>0</v>
      </c>
      <c r="BK111" s="96">
        <f t="shared" si="68"/>
        <v>0</v>
      </c>
      <c r="BL111" s="96">
        <f t="shared" si="69"/>
        <v>0</v>
      </c>
      <c r="BM111" s="96">
        <f t="shared" si="70"/>
        <v>0</v>
      </c>
      <c r="BN111" s="96"/>
      <c r="BO111" s="95"/>
      <c r="BP111" s="95">
        <f t="shared" si="71"/>
        <v>0</v>
      </c>
      <c r="BQ111" s="95"/>
      <c r="BR111" s="95"/>
      <c r="BS111" s="95">
        <f t="shared" si="72"/>
        <v>0</v>
      </c>
      <c r="BT111" s="95">
        <f t="shared" si="73"/>
        <v>0</v>
      </c>
      <c r="BU111" s="95">
        <f t="shared" si="74"/>
        <v>0</v>
      </c>
      <c r="BV111" s="95">
        <f t="shared" si="75"/>
        <v>0</v>
      </c>
      <c r="BW111" s="95"/>
      <c r="BX111" s="95"/>
      <c r="BY111" s="95"/>
      <c r="BZ111" s="95"/>
      <c r="CA111" s="95">
        <f t="shared" si="83"/>
        <v>0</v>
      </c>
      <c r="CB111" s="97">
        <f t="shared" si="48"/>
        <v>0</v>
      </c>
      <c r="CC111" s="95"/>
      <c r="CD111" s="95"/>
      <c r="CE111" s="95">
        <f t="shared" si="76"/>
        <v>0</v>
      </c>
      <c r="CF111" s="95">
        <f t="shared" si="84"/>
        <v>0</v>
      </c>
      <c r="CG111" s="113"/>
      <c r="CH111" s="22"/>
      <c r="CI111" s="98">
        <f t="shared" si="77"/>
        <v>0</v>
      </c>
      <c r="CJ111" s="95">
        <f t="shared" si="78"/>
        <v>0</v>
      </c>
      <c r="CK111" s="95">
        <f t="shared" si="85"/>
        <v>0</v>
      </c>
      <c r="CL111" s="95"/>
      <c r="CM111" s="99"/>
      <c r="CN111" s="99"/>
      <c r="CO111" s="110"/>
      <c r="CP111" s="99"/>
      <c r="CQ111" s="99"/>
      <c r="CR111" s="99"/>
      <c r="CS111" s="95"/>
      <c r="CT111" s="95"/>
      <c r="CU111" s="96"/>
      <c r="CV111" s="96"/>
      <c r="CW111" s="96"/>
      <c r="CX111" s="96"/>
      <c r="CY111" s="96"/>
      <c r="CZ111" s="93">
        <f t="shared" si="88"/>
        <v>0</v>
      </c>
      <c r="DA111" s="93">
        <f t="shared" si="89"/>
        <v>0</v>
      </c>
      <c r="DB111" s="95">
        <f t="shared" si="86"/>
        <v>0</v>
      </c>
      <c r="DC111" s="100">
        <f t="shared" si="87"/>
        <v>0</v>
      </c>
      <c r="DD111" s="100"/>
      <c r="DE111" s="100">
        <f t="shared" si="79"/>
        <v>0</v>
      </c>
      <c r="DF111" s="13"/>
      <c r="DG111" s="2"/>
      <c r="DH111" s="46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</row>
    <row r="112" spans="1:156" s="1" customFormat="1" hidden="1" x14ac:dyDescent="0.2">
      <c r="A112" s="88">
        <f t="shared" si="52"/>
        <v>509732</v>
      </c>
      <c r="B112" s="21">
        <v>9732</v>
      </c>
      <c r="C112" s="21" t="s">
        <v>98</v>
      </c>
      <c r="D112" s="84" t="s">
        <v>155</v>
      </c>
      <c r="E112" s="114" t="s">
        <v>201</v>
      </c>
      <c r="F112" s="85">
        <v>3</v>
      </c>
      <c r="G112" s="84"/>
      <c r="H112" s="85"/>
      <c r="I112" s="86"/>
      <c r="J112" s="85"/>
      <c r="K112" s="21" t="s">
        <v>8</v>
      </c>
      <c r="L112" s="21"/>
      <c r="M112" s="87"/>
      <c r="N112" s="88"/>
      <c r="O112" s="88">
        <v>6</v>
      </c>
      <c r="P112" s="89">
        <f t="shared" si="80"/>
        <v>5401.2359999999999</v>
      </c>
      <c r="Q112" s="90">
        <f t="shared" si="81"/>
        <v>18004.12</v>
      </c>
      <c r="R112" s="90">
        <f t="shared" si="82"/>
        <v>25011.1211</v>
      </c>
      <c r="S112" s="91"/>
      <c r="T112" s="92"/>
      <c r="U112" s="32"/>
      <c r="V112" s="32"/>
      <c r="W112" s="32"/>
      <c r="X112" s="93"/>
      <c r="Y112" s="32"/>
      <c r="Z112" s="32"/>
      <c r="AA112" s="32">
        <v>0</v>
      </c>
      <c r="AB112" s="32">
        <v>0</v>
      </c>
      <c r="AC112" s="32"/>
      <c r="AD112" s="32">
        <v>0</v>
      </c>
      <c r="AE112" s="32">
        <v>0</v>
      </c>
      <c r="AF112" s="32">
        <v>0</v>
      </c>
      <c r="AG112" s="32">
        <v>0</v>
      </c>
      <c r="AH112" s="32">
        <v>0</v>
      </c>
      <c r="AI112" s="32">
        <v>0</v>
      </c>
      <c r="AJ112" s="93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94">
        <f t="shared" si="53"/>
        <v>0</v>
      </c>
      <c r="AV112" s="95">
        <f t="shared" si="54"/>
        <v>0</v>
      </c>
      <c r="AW112" s="95">
        <f t="shared" si="55"/>
        <v>0</v>
      </c>
      <c r="AX112" s="95">
        <f t="shared" si="56"/>
        <v>0</v>
      </c>
      <c r="AY112" s="95">
        <f t="shared" si="57"/>
        <v>0</v>
      </c>
      <c r="AZ112" s="95">
        <f t="shared" si="58"/>
        <v>0</v>
      </c>
      <c r="BA112" s="95">
        <f t="shared" si="59"/>
        <v>0</v>
      </c>
      <c r="BB112" s="95">
        <f t="shared" si="60"/>
        <v>0</v>
      </c>
      <c r="BC112" s="96">
        <f t="shared" si="61"/>
        <v>0</v>
      </c>
      <c r="BD112" s="96">
        <f t="shared" si="62"/>
        <v>0</v>
      </c>
      <c r="BE112" s="96">
        <f t="shared" si="51"/>
        <v>0</v>
      </c>
      <c r="BF112" s="96">
        <f t="shared" si="63"/>
        <v>0</v>
      </c>
      <c r="BG112" s="96">
        <f t="shared" si="64"/>
        <v>0</v>
      </c>
      <c r="BH112" s="96">
        <f t="shared" si="65"/>
        <v>0</v>
      </c>
      <c r="BI112" s="96">
        <f t="shared" si="66"/>
        <v>0</v>
      </c>
      <c r="BJ112" s="96">
        <f t="shared" si="67"/>
        <v>0</v>
      </c>
      <c r="BK112" s="96">
        <f t="shared" si="68"/>
        <v>0</v>
      </c>
      <c r="BL112" s="96">
        <f t="shared" si="69"/>
        <v>0</v>
      </c>
      <c r="BM112" s="96">
        <f t="shared" si="70"/>
        <v>0</v>
      </c>
      <c r="BN112" s="96"/>
      <c r="BO112" s="95"/>
      <c r="BP112" s="95">
        <f t="shared" si="71"/>
        <v>0</v>
      </c>
      <c r="BQ112" s="95"/>
      <c r="BR112" s="95"/>
      <c r="BS112" s="95">
        <f t="shared" si="72"/>
        <v>0</v>
      </c>
      <c r="BT112" s="95">
        <f t="shared" si="73"/>
        <v>0</v>
      </c>
      <c r="BU112" s="95">
        <f t="shared" si="74"/>
        <v>0</v>
      </c>
      <c r="BV112" s="95">
        <f t="shared" si="75"/>
        <v>0</v>
      </c>
      <c r="BW112" s="95"/>
      <c r="BX112" s="95"/>
      <c r="BY112" s="95"/>
      <c r="BZ112" s="95"/>
      <c r="CA112" s="95">
        <f t="shared" si="83"/>
        <v>0</v>
      </c>
      <c r="CB112" s="97">
        <f t="shared" si="48"/>
        <v>0</v>
      </c>
      <c r="CC112" s="95"/>
      <c r="CD112" s="95"/>
      <c r="CE112" s="95">
        <f t="shared" si="76"/>
        <v>0</v>
      </c>
      <c r="CF112" s="95">
        <f t="shared" si="84"/>
        <v>0</v>
      </c>
      <c r="CG112" s="113"/>
      <c r="CH112" s="22"/>
      <c r="CI112" s="98">
        <f t="shared" si="77"/>
        <v>0</v>
      </c>
      <c r="CJ112" s="95">
        <f t="shared" si="78"/>
        <v>0</v>
      </c>
      <c r="CK112" s="95">
        <f t="shared" si="85"/>
        <v>0</v>
      </c>
      <c r="CL112" s="95"/>
      <c r="CM112" s="99"/>
      <c r="CN112" s="99"/>
      <c r="CO112" s="110"/>
      <c r="CP112" s="99"/>
      <c r="CQ112" s="99"/>
      <c r="CR112" s="99"/>
      <c r="CS112" s="95"/>
      <c r="CT112" s="95"/>
      <c r="CU112" s="96"/>
      <c r="CV112" s="96"/>
      <c r="CW112" s="96"/>
      <c r="CX112" s="96"/>
      <c r="CY112" s="96"/>
      <c r="CZ112" s="93">
        <f t="shared" si="88"/>
        <v>0</v>
      </c>
      <c r="DA112" s="93">
        <f t="shared" si="89"/>
        <v>0</v>
      </c>
      <c r="DB112" s="95">
        <f t="shared" si="86"/>
        <v>0</v>
      </c>
      <c r="DC112" s="100">
        <f t="shared" si="87"/>
        <v>0</v>
      </c>
      <c r="DD112" s="100"/>
      <c r="DE112" s="100">
        <f t="shared" si="79"/>
        <v>0</v>
      </c>
      <c r="DF112" s="13"/>
      <c r="DG112" s="2"/>
      <c r="DH112" s="46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</row>
    <row r="113" spans="1:156" s="1" customFormat="1" hidden="1" x14ac:dyDescent="0.2">
      <c r="A113" s="88">
        <f t="shared" si="52"/>
        <v>509860</v>
      </c>
      <c r="B113" s="21">
        <v>9860</v>
      </c>
      <c r="C113" s="21" t="s">
        <v>98</v>
      </c>
      <c r="D113" s="84" t="s">
        <v>192</v>
      </c>
      <c r="E113" s="115" t="s">
        <v>202</v>
      </c>
      <c r="F113" s="85">
        <v>0</v>
      </c>
      <c r="G113" s="84"/>
      <c r="H113" s="85"/>
      <c r="I113" s="86"/>
      <c r="J113" s="85"/>
      <c r="K113" s="21" t="s">
        <v>10</v>
      </c>
      <c r="L113" s="21"/>
      <c r="M113" s="87"/>
      <c r="N113" s="88"/>
      <c r="O113" s="88">
        <v>0</v>
      </c>
      <c r="P113" s="89">
        <f t="shared" si="80"/>
        <v>5700.7259999999997</v>
      </c>
      <c r="Q113" s="90">
        <f t="shared" si="81"/>
        <v>19002.419999999998</v>
      </c>
      <c r="R113" s="90">
        <f t="shared" si="82"/>
        <v>26397.963600000003</v>
      </c>
      <c r="S113" s="91"/>
      <c r="T113" s="92"/>
      <c r="U113" s="32"/>
      <c r="V113" s="32"/>
      <c r="W113" s="32"/>
      <c r="X113" s="93"/>
      <c r="Y113" s="32"/>
      <c r="Z113" s="32"/>
      <c r="AA113" s="32">
        <v>0</v>
      </c>
      <c r="AB113" s="32">
        <v>0</v>
      </c>
      <c r="AC113" s="32"/>
      <c r="AD113" s="32">
        <v>0</v>
      </c>
      <c r="AE113" s="32">
        <v>0</v>
      </c>
      <c r="AF113" s="32">
        <v>0</v>
      </c>
      <c r="AG113" s="32">
        <v>0</v>
      </c>
      <c r="AH113" s="32">
        <v>0</v>
      </c>
      <c r="AI113" s="32">
        <v>0</v>
      </c>
      <c r="AJ113" s="93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94">
        <f t="shared" si="53"/>
        <v>0</v>
      </c>
      <c r="AV113" s="95">
        <f t="shared" si="54"/>
        <v>0</v>
      </c>
      <c r="AW113" s="95">
        <f t="shared" si="55"/>
        <v>0</v>
      </c>
      <c r="AX113" s="95">
        <f t="shared" si="56"/>
        <v>0</v>
      </c>
      <c r="AY113" s="95">
        <f t="shared" si="57"/>
        <v>0</v>
      </c>
      <c r="AZ113" s="95">
        <f t="shared" si="58"/>
        <v>0</v>
      </c>
      <c r="BA113" s="95">
        <f t="shared" si="59"/>
        <v>0</v>
      </c>
      <c r="BB113" s="95">
        <f t="shared" si="60"/>
        <v>0</v>
      </c>
      <c r="BC113" s="96">
        <f t="shared" si="61"/>
        <v>0</v>
      </c>
      <c r="BD113" s="96">
        <f t="shared" si="62"/>
        <v>0</v>
      </c>
      <c r="BE113" s="96">
        <f t="shared" si="51"/>
        <v>0</v>
      </c>
      <c r="BF113" s="96">
        <f t="shared" si="63"/>
        <v>0</v>
      </c>
      <c r="BG113" s="96">
        <f t="shared" si="64"/>
        <v>0</v>
      </c>
      <c r="BH113" s="96">
        <f t="shared" si="65"/>
        <v>0</v>
      </c>
      <c r="BI113" s="96">
        <f t="shared" si="66"/>
        <v>0</v>
      </c>
      <c r="BJ113" s="96">
        <f t="shared" si="67"/>
        <v>0</v>
      </c>
      <c r="BK113" s="96">
        <f t="shared" si="68"/>
        <v>0</v>
      </c>
      <c r="BL113" s="96">
        <f t="shared" si="69"/>
        <v>0</v>
      </c>
      <c r="BM113" s="96">
        <f t="shared" si="70"/>
        <v>0</v>
      </c>
      <c r="BN113" s="96"/>
      <c r="BO113" s="95"/>
      <c r="BP113" s="95">
        <f t="shared" si="71"/>
        <v>0</v>
      </c>
      <c r="BQ113" s="95"/>
      <c r="BR113" s="95"/>
      <c r="BS113" s="95">
        <f t="shared" si="72"/>
        <v>0</v>
      </c>
      <c r="BT113" s="95">
        <f t="shared" si="73"/>
        <v>0</v>
      </c>
      <c r="BU113" s="95">
        <f t="shared" si="74"/>
        <v>0</v>
      </c>
      <c r="BV113" s="95">
        <f t="shared" si="75"/>
        <v>0</v>
      </c>
      <c r="BW113" s="95"/>
      <c r="BX113" s="95"/>
      <c r="BY113" s="95"/>
      <c r="BZ113" s="95"/>
      <c r="CA113" s="95">
        <f t="shared" si="83"/>
        <v>0</v>
      </c>
      <c r="CB113" s="97">
        <f t="shared" si="48"/>
        <v>0</v>
      </c>
      <c r="CC113" s="95"/>
      <c r="CD113" s="95"/>
      <c r="CE113" s="95">
        <f t="shared" si="76"/>
        <v>0</v>
      </c>
      <c r="CF113" s="95">
        <f t="shared" si="84"/>
        <v>0</v>
      </c>
      <c r="CG113" s="113"/>
      <c r="CH113" s="22"/>
      <c r="CI113" s="98">
        <f t="shared" si="77"/>
        <v>0</v>
      </c>
      <c r="CJ113" s="95">
        <f t="shared" si="78"/>
        <v>0</v>
      </c>
      <c r="CK113" s="95">
        <f t="shared" si="85"/>
        <v>0</v>
      </c>
      <c r="CL113" s="95"/>
      <c r="CM113" s="99"/>
      <c r="CN113" s="99"/>
      <c r="CO113" s="110"/>
      <c r="CP113" s="99"/>
      <c r="CQ113" s="99"/>
      <c r="CR113" s="99"/>
      <c r="CS113" s="95"/>
      <c r="CT113" s="95"/>
      <c r="CU113" s="96"/>
      <c r="CV113" s="96"/>
      <c r="CW113" s="96"/>
      <c r="CX113" s="96"/>
      <c r="CY113" s="96"/>
      <c r="CZ113" s="93">
        <f t="shared" si="88"/>
        <v>0</v>
      </c>
      <c r="DA113" s="93">
        <f t="shared" si="89"/>
        <v>0</v>
      </c>
      <c r="DB113" s="95">
        <f t="shared" si="86"/>
        <v>0</v>
      </c>
      <c r="DC113" s="100">
        <f t="shared" si="87"/>
        <v>0</v>
      </c>
      <c r="DD113" s="100"/>
      <c r="DE113" s="100">
        <f t="shared" si="79"/>
        <v>0</v>
      </c>
      <c r="DF113" s="13"/>
      <c r="DG113" s="2"/>
      <c r="DH113" s="46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</row>
    <row r="114" spans="1:156" x14ac:dyDescent="0.2">
      <c r="A114" s="51">
        <f>+COUNT(A18:A113)</f>
        <v>96</v>
      </c>
      <c r="B114" s="51">
        <f>+COUNT(B18:B113)</f>
        <v>96</v>
      </c>
      <c r="C114" s="105"/>
      <c r="D114" s="105"/>
      <c r="E114" s="105"/>
      <c r="F114" s="51"/>
      <c r="G114" s="105"/>
      <c r="H114" s="106">
        <f t="shared" ref="H114:J114" si="90">+SUM(H18:H113)</f>
        <v>624</v>
      </c>
      <c r="I114" s="106">
        <f t="shared" si="90"/>
        <v>0</v>
      </c>
      <c r="J114" s="106">
        <f t="shared" si="90"/>
        <v>0</v>
      </c>
      <c r="K114" s="105"/>
      <c r="L114" s="105"/>
      <c r="M114" s="105"/>
      <c r="N114" s="105"/>
      <c r="O114" s="105"/>
      <c r="P114" s="106"/>
      <c r="Q114" s="106">
        <f t="shared" ref="Q114:Y114" si="91">+SUM(Q18:Q113)</f>
        <v>1793491.7400000007</v>
      </c>
      <c r="R114" s="106">
        <f t="shared" si="91"/>
        <v>2491499.5367999994</v>
      </c>
      <c r="S114" s="106">
        <f t="shared" si="91"/>
        <v>0</v>
      </c>
      <c r="T114" s="106">
        <f t="shared" si="91"/>
        <v>0</v>
      </c>
      <c r="U114" s="106">
        <f t="shared" si="91"/>
        <v>0</v>
      </c>
      <c r="V114" s="106">
        <f t="shared" si="91"/>
        <v>0</v>
      </c>
      <c r="W114" s="106">
        <f t="shared" si="91"/>
        <v>0</v>
      </c>
      <c r="X114" s="106">
        <f t="shared" si="91"/>
        <v>0</v>
      </c>
      <c r="Y114" s="106">
        <f t="shared" si="91"/>
        <v>0</v>
      </c>
      <c r="Z114" s="106">
        <v>0</v>
      </c>
      <c r="AA114" s="106">
        <f t="shared" ref="AA114:CL114" si="92">+SUM(AA18:AA113)</f>
        <v>392</v>
      </c>
      <c r="AB114" s="106">
        <f t="shared" si="92"/>
        <v>0</v>
      </c>
      <c r="AC114" s="106">
        <f t="shared" si="92"/>
        <v>0</v>
      </c>
      <c r="AD114" s="106">
        <f t="shared" si="92"/>
        <v>0</v>
      </c>
      <c r="AE114" s="106">
        <f t="shared" si="92"/>
        <v>0</v>
      </c>
      <c r="AF114" s="106">
        <f t="shared" si="92"/>
        <v>0</v>
      </c>
      <c r="AG114" s="106">
        <f t="shared" si="92"/>
        <v>0</v>
      </c>
      <c r="AH114" s="106">
        <f t="shared" si="92"/>
        <v>0</v>
      </c>
      <c r="AI114" s="106">
        <f t="shared" si="92"/>
        <v>91.4375</v>
      </c>
      <c r="AJ114" s="106">
        <f t="shared" si="92"/>
        <v>0</v>
      </c>
      <c r="AK114" s="106">
        <f t="shared" si="92"/>
        <v>0</v>
      </c>
      <c r="AL114" s="106">
        <f t="shared" si="92"/>
        <v>0</v>
      </c>
      <c r="AM114" s="106">
        <f t="shared" si="92"/>
        <v>0</v>
      </c>
      <c r="AN114" s="106">
        <f t="shared" si="92"/>
        <v>0</v>
      </c>
      <c r="AO114" s="106">
        <f t="shared" si="92"/>
        <v>0</v>
      </c>
      <c r="AP114" s="106">
        <f t="shared" si="92"/>
        <v>0</v>
      </c>
      <c r="AQ114" s="106">
        <f t="shared" si="92"/>
        <v>0</v>
      </c>
      <c r="AR114" s="106">
        <f t="shared" si="92"/>
        <v>0</v>
      </c>
      <c r="AS114" s="106">
        <f t="shared" si="92"/>
        <v>0</v>
      </c>
      <c r="AT114" s="106">
        <f t="shared" si="92"/>
        <v>0</v>
      </c>
      <c r="AU114" s="106">
        <f t="shared" si="92"/>
        <v>0</v>
      </c>
      <c r="AV114" s="106">
        <f t="shared" si="92"/>
        <v>0</v>
      </c>
      <c r="AW114" s="106">
        <f t="shared" si="92"/>
        <v>0</v>
      </c>
      <c r="AX114" s="106">
        <f t="shared" si="92"/>
        <v>0</v>
      </c>
      <c r="AY114" s="106">
        <f t="shared" si="92"/>
        <v>0</v>
      </c>
      <c r="AZ114" s="106">
        <f t="shared" si="92"/>
        <v>0</v>
      </c>
      <c r="BA114" s="106">
        <f t="shared" si="92"/>
        <v>0</v>
      </c>
      <c r="BB114" s="106">
        <f t="shared" si="92"/>
        <v>910029.4924999997</v>
      </c>
      <c r="BC114" s="106">
        <f t="shared" si="92"/>
        <v>0</v>
      </c>
      <c r="BD114" s="106">
        <f t="shared" si="92"/>
        <v>0</v>
      </c>
      <c r="BE114" s="106">
        <f t="shared" si="92"/>
        <v>0</v>
      </c>
      <c r="BF114" s="106">
        <f t="shared" si="92"/>
        <v>0</v>
      </c>
      <c r="BG114" s="106">
        <f t="shared" si="92"/>
        <v>0</v>
      </c>
      <c r="BH114" s="106">
        <f t="shared" si="92"/>
        <v>0</v>
      </c>
      <c r="BI114" s="106">
        <f t="shared" si="92"/>
        <v>1696041.9349999998</v>
      </c>
      <c r="BJ114" s="106">
        <f t="shared" si="92"/>
        <v>0</v>
      </c>
      <c r="BK114" s="106">
        <f t="shared" si="92"/>
        <v>0</v>
      </c>
      <c r="BL114" s="106">
        <f t="shared" si="92"/>
        <v>0</v>
      </c>
      <c r="BM114" s="106">
        <f t="shared" si="92"/>
        <v>0</v>
      </c>
      <c r="BN114" s="106">
        <f t="shared" si="92"/>
        <v>0</v>
      </c>
      <c r="BO114" s="106">
        <f t="shared" si="92"/>
        <v>0</v>
      </c>
      <c r="BP114" s="106">
        <f t="shared" si="92"/>
        <v>13387.245000000017</v>
      </c>
      <c r="BQ114" s="106">
        <f t="shared" si="92"/>
        <v>0</v>
      </c>
      <c r="BR114" s="106">
        <f t="shared" si="92"/>
        <v>0</v>
      </c>
      <c r="BS114" s="106">
        <f t="shared" si="92"/>
        <v>0</v>
      </c>
      <c r="BT114" s="106">
        <f t="shared" si="92"/>
        <v>0</v>
      </c>
      <c r="BU114" s="106">
        <f t="shared" si="92"/>
        <v>0</v>
      </c>
      <c r="BV114" s="106">
        <f t="shared" si="92"/>
        <v>0</v>
      </c>
      <c r="BW114" s="106">
        <f t="shared" si="92"/>
        <v>0</v>
      </c>
      <c r="BX114" s="106">
        <f t="shared" si="92"/>
        <v>0</v>
      </c>
      <c r="BY114" s="106">
        <f t="shared" si="92"/>
        <v>0</v>
      </c>
      <c r="BZ114" s="106">
        <f t="shared" si="92"/>
        <v>0</v>
      </c>
      <c r="CA114" s="106">
        <f t="shared" si="92"/>
        <v>0</v>
      </c>
      <c r="CB114" s="106">
        <f t="shared" si="92"/>
        <v>2619458.6724999999</v>
      </c>
      <c r="CC114" s="106">
        <f t="shared" si="92"/>
        <v>0</v>
      </c>
      <c r="CD114" s="106">
        <f t="shared" si="92"/>
        <v>0</v>
      </c>
      <c r="CE114" s="106">
        <f t="shared" si="92"/>
        <v>-78583.760175000003</v>
      </c>
      <c r="CF114" s="106">
        <f t="shared" si="92"/>
        <v>-31443.403012499999</v>
      </c>
      <c r="CG114" s="106">
        <f t="shared" si="92"/>
        <v>0</v>
      </c>
      <c r="CH114" s="106">
        <f t="shared" si="92"/>
        <v>0</v>
      </c>
      <c r="CI114" s="106">
        <f t="shared" si="92"/>
        <v>3638951.9878370003</v>
      </c>
      <c r="CJ114" s="106">
        <f t="shared" si="92"/>
        <v>-109168.55963510998</v>
      </c>
      <c r="CK114" s="106">
        <f t="shared" si="92"/>
        <v>-43681.17546496501</v>
      </c>
      <c r="CL114" s="106">
        <f t="shared" si="92"/>
        <v>0</v>
      </c>
      <c r="CM114" s="106">
        <f t="shared" ref="CM114:DE114" si="93">+SUM(CM18:CM113)</f>
        <v>0</v>
      </c>
      <c r="CN114" s="106">
        <f t="shared" si="93"/>
        <v>0</v>
      </c>
      <c r="CO114" s="106">
        <f t="shared" si="93"/>
        <v>0</v>
      </c>
      <c r="CP114" s="106">
        <f t="shared" si="93"/>
        <v>0</v>
      </c>
      <c r="CQ114" s="106">
        <f t="shared" si="93"/>
        <v>0</v>
      </c>
      <c r="CR114" s="106">
        <f t="shared" si="93"/>
        <v>0</v>
      </c>
      <c r="CS114" s="106">
        <f t="shared" si="93"/>
        <v>0</v>
      </c>
      <c r="CT114" s="106">
        <f t="shared" si="93"/>
        <v>0</v>
      </c>
      <c r="CU114" s="106">
        <f t="shared" si="93"/>
        <v>0</v>
      </c>
      <c r="CV114" s="106">
        <f t="shared" si="93"/>
        <v>0</v>
      </c>
      <c r="CW114" s="106">
        <f t="shared" si="93"/>
        <v>0</v>
      </c>
      <c r="CX114" s="106">
        <f t="shared" si="93"/>
        <v>0</v>
      </c>
      <c r="CY114" s="106">
        <f t="shared" si="93"/>
        <v>0</v>
      </c>
      <c r="CZ114" s="106">
        <f t="shared" si="93"/>
        <v>0</v>
      </c>
      <c r="DA114" s="106">
        <f t="shared" si="93"/>
        <v>0</v>
      </c>
      <c r="DB114" s="106">
        <f t="shared" si="93"/>
        <v>5995533.7620494245</v>
      </c>
      <c r="DC114" s="106">
        <f>+SUM(DC18:DC113)</f>
        <v>5995536</v>
      </c>
      <c r="DD114" s="106">
        <f t="shared" si="93"/>
        <v>0</v>
      </c>
      <c r="DE114" s="106">
        <f t="shared" si="93"/>
        <v>-5995536</v>
      </c>
      <c r="DF114" s="42"/>
      <c r="DG114" s="107"/>
      <c r="DH114" s="42"/>
    </row>
    <row r="115" spans="1:156" x14ac:dyDescent="0.2">
      <c r="CC115" s="66"/>
      <c r="CD115" s="66"/>
      <c r="CE115" s="66"/>
      <c r="DH115" s="9"/>
    </row>
    <row r="116" spans="1:156" x14ac:dyDescent="0.2">
      <c r="CI116" s="66"/>
    </row>
    <row r="117" spans="1:156" x14ac:dyDescent="0.2">
      <c r="V117" s="108"/>
      <c r="AX117" s="66"/>
      <c r="CC117" s="66"/>
      <c r="CI117" s="66"/>
    </row>
    <row r="118" spans="1:156" x14ac:dyDescent="0.2">
      <c r="CB118" s="42"/>
      <c r="CC118" s="66"/>
      <c r="CI118" s="66"/>
    </row>
    <row r="119" spans="1:156" x14ac:dyDescent="0.2">
      <c r="CI119" s="66"/>
    </row>
    <row r="120" spans="1:156" x14ac:dyDescent="0.2">
      <c r="Z120" s="109"/>
      <c r="AW120" s="2" t="s">
        <v>199</v>
      </c>
      <c r="AX120" s="46">
        <f>AZ46/13/1.08333</f>
        <v>0</v>
      </c>
    </row>
    <row r="121" spans="1:156" x14ac:dyDescent="0.2">
      <c r="Z121" s="109"/>
      <c r="AX121" s="46">
        <f>AZ88/13/1.08333</f>
        <v>0</v>
      </c>
    </row>
    <row r="122" spans="1:156" x14ac:dyDescent="0.2">
      <c r="Z122" s="109"/>
      <c r="AX122" s="46">
        <f>AZ89/5/1.08333</f>
        <v>0</v>
      </c>
    </row>
    <row r="123" spans="1:156" x14ac:dyDescent="0.2">
      <c r="Z123" s="109"/>
    </row>
  </sheetData>
  <autoFilter ref="A16:EZ114" xr:uid="{00000000-0009-0000-0000-000001000000}">
    <filterColumn colId="105">
      <filters>
        <filter val="103.237,06"/>
        <filter val="130.072,67"/>
        <filter val="15.485,56"/>
        <filter val="162.590,83"/>
        <filter val="20.539,87"/>
        <filter val="20.647,41"/>
        <filter val="200.528,70"/>
        <filter val="21.678,78"/>
        <filter val="21.792,28"/>
        <filter val="216.787,78"/>
        <filter val="217.922,79"/>
        <filter val="221.959,69"/>
        <filter val="227.121,54"/>
        <filter val="234.864,32"/>
        <filter val="238.466,56"/>
        <filter val="252.930,81"/>
        <filter val="260.145,33"/>
        <filter val="266.955,42"/>
        <filter val="273.578,22"/>
        <filter val="310.539,98"/>
        <filter val="371.387,73"/>
        <filter val="411.896,78"/>
        <filter val="5.995.533,76"/>
        <filter val="650.393,51"/>
        <filter val="82.159,50"/>
      </filters>
    </filterColumn>
  </autoFilter>
  <dataConsolidate/>
  <mergeCells count="10">
    <mergeCell ref="AB2:AB3"/>
    <mergeCell ref="AC2:AC3"/>
    <mergeCell ref="A12:D12"/>
    <mergeCell ref="K15:L15"/>
    <mergeCell ref="U2:U3"/>
    <mergeCell ref="W2:W3"/>
    <mergeCell ref="X2:X3"/>
    <mergeCell ref="Y2:Y3"/>
    <mergeCell ref="Z2:Z3"/>
    <mergeCell ref="AA2:AA3"/>
  </mergeCells>
  <conditionalFormatting sqref="B18:B76">
    <cfRule type="duplicateValues" dxfId="16" priority="2" stopIfTrue="1"/>
    <cfRule type="duplicateValues" dxfId="15" priority="3" stopIfTrue="1"/>
  </conditionalFormatting>
  <conditionalFormatting sqref="AU77:AU113">
    <cfRule type="cellIs" dxfId="14" priority="1" stopIfTrue="1" operator="greaterThan">
      <formula>15</formula>
    </cfRule>
  </conditionalFormatting>
  <pageMargins left="0.74803149606299213" right="0.31496062992125984" top="0.19685039370078741" bottom="0.19685039370078741" header="0.11811023622047245" footer="0.23622047244094491"/>
  <pageSetup paperSize="9" scale="78" firstPageNumber="0"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2099A-2CA5-480D-8097-E2351F90E74B}">
  <sheetPr filterMode="1">
    <pageSetUpPr fitToPage="1"/>
  </sheetPr>
  <dimension ref="A1:U145"/>
  <sheetViews>
    <sheetView topLeftCell="A95" zoomScale="90" zoomScaleNormal="90" workbookViewId="0">
      <selection activeCell="B106" sqref="B106:L145"/>
    </sheetView>
  </sheetViews>
  <sheetFormatPr baseColWidth="10" defaultRowHeight="15" x14ac:dyDescent="0.25"/>
  <cols>
    <col min="1" max="1" width="10" customWidth="1"/>
    <col min="2" max="2" width="5.5703125" bestFit="1" customWidth="1"/>
    <col min="3" max="3" width="34.5703125" customWidth="1"/>
    <col min="4" max="4" width="8.85546875" customWidth="1"/>
    <col min="5" max="5" width="7.85546875" customWidth="1"/>
    <col min="6" max="6" width="8.5703125" customWidth="1"/>
    <col min="7" max="7" width="7.85546875" customWidth="1"/>
    <col min="8" max="9" width="14.5703125" customWidth="1"/>
    <col min="10" max="11" width="14.42578125" customWidth="1"/>
    <col min="12" max="13" width="14.5703125" customWidth="1"/>
    <col min="14" max="14" width="29.7109375" customWidth="1"/>
    <col min="23" max="23" width="15.5703125" bestFit="1" customWidth="1"/>
  </cols>
  <sheetData>
    <row r="1" spans="1:15" x14ac:dyDescent="0.25">
      <c r="A1" s="153" t="s">
        <v>209</v>
      </c>
      <c r="B1" s="153"/>
      <c r="J1" s="154"/>
      <c r="K1" s="154"/>
      <c r="L1" s="155">
        <v>45663</v>
      </c>
      <c r="M1" s="155"/>
    </row>
    <row r="2" spans="1:15" x14ac:dyDescent="0.25">
      <c r="A2" s="153" t="s">
        <v>210</v>
      </c>
      <c r="B2" s="153"/>
    </row>
    <row r="3" spans="1:15" x14ac:dyDescent="0.25">
      <c r="H3" s="156"/>
      <c r="J3" s="157"/>
      <c r="K3" s="157"/>
    </row>
    <row r="4" spans="1:15" x14ac:dyDescent="0.25">
      <c r="C4" s="158" t="s">
        <v>211</v>
      </c>
      <c r="D4" s="158"/>
      <c r="E4" s="158"/>
      <c r="K4" s="159">
        <f>+K5+L5</f>
        <v>21332824.414041765</v>
      </c>
      <c r="L4" s="159"/>
    </row>
    <row r="5" spans="1:15" x14ac:dyDescent="0.25">
      <c r="H5" s="160">
        <f>SUM(H7:H102)</f>
        <v>14981640.037298154</v>
      </c>
      <c r="I5" s="160">
        <f>SUM(I7:I102)</f>
        <v>5995533.7620494245</v>
      </c>
      <c r="J5" s="160">
        <f>SUBTOTAL(9,J7:J102)</f>
        <v>20977173.799347576</v>
      </c>
      <c r="K5" s="160">
        <f t="shared" ref="K5:L5" si="0">SUBTOTAL(9,K7:K102)</f>
        <v>356824.41404176538</v>
      </c>
      <c r="L5" s="160">
        <f t="shared" si="0"/>
        <v>20976000</v>
      </c>
      <c r="M5" s="161"/>
      <c r="O5" s="162"/>
    </row>
    <row r="6" spans="1:15" s="166" customFormat="1" ht="30" customHeight="1" x14ac:dyDescent="0.25">
      <c r="A6" s="163" t="s">
        <v>212</v>
      </c>
      <c r="B6" s="163" t="s">
        <v>18</v>
      </c>
      <c r="C6" s="163" t="s">
        <v>20</v>
      </c>
      <c r="D6" s="163" t="s">
        <v>34</v>
      </c>
      <c r="E6" s="163" t="s">
        <v>213</v>
      </c>
      <c r="F6" s="163" t="s">
        <v>214</v>
      </c>
      <c r="G6" s="163" t="s">
        <v>49</v>
      </c>
      <c r="H6" s="164" t="s">
        <v>215</v>
      </c>
      <c r="I6" s="164" t="s">
        <v>216</v>
      </c>
      <c r="J6" s="164" t="s">
        <v>217</v>
      </c>
      <c r="K6" s="163" t="s">
        <v>218</v>
      </c>
      <c r="L6" s="163" t="s">
        <v>217</v>
      </c>
      <c r="M6" s="165"/>
      <c r="N6" s="163" t="s">
        <v>219</v>
      </c>
    </row>
    <row r="7" spans="1:15" s="173" customFormat="1" ht="44.25" customHeight="1" x14ac:dyDescent="0.25">
      <c r="A7" s="134" t="s">
        <v>220</v>
      </c>
      <c r="B7" s="167">
        <v>9831</v>
      </c>
      <c r="C7" s="134" t="s">
        <v>180</v>
      </c>
      <c r="D7" s="134">
        <f>SUMIF('[1]2°Q 12 V1 CAMPO'!$D$18:$D$113,C7,'[1]2°Q 12 V1 CAMPO'!$T$18:$T$113)</f>
        <v>0</v>
      </c>
      <c r="E7" s="134">
        <f>SUMIF('[1]2°Q 12 V1 CAMPO'!$D$18:$D$113,C7,'[1]2°Q 12 V1 CAMPO'!$W$18:$X$113)</f>
        <v>0</v>
      </c>
      <c r="F7" s="168">
        <f>SUMIF('[1]2°Q 12 V2 CAMPO'!$D$18:$D$113,C7,'[1]2°Q 12 V2 CAMPO'!$AA$18:$AA$113)</f>
        <v>0</v>
      </c>
      <c r="G7" s="169">
        <f>SUMIF('[1]2°Q 12 V2 CAMPO'!$D$18:$D$113,C7,'[1]2°Q 12 V2 CAMPO'!$AI$18:$AI$114)</f>
        <v>0</v>
      </c>
      <c r="H7" s="169">
        <f>VLOOKUP(B7,'1°Q 01 V1 CAMPO'!B18:DB110,105,FALSE)</f>
        <v>30971.119322879997</v>
      </c>
      <c r="I7" s="170">
        <f>VLOOKUP(B7,'1°Q 01 V2 CAMPO'!B18:DB110,105,FALSE)</f>
        <v>20647.412881919998</v>
      </c>
      <c r="J7" s="171">
        <f>+H7+I7</f>
        <v>51618.532204799994</v>
      </c>
      <c r="K7" s="171">
        <v>0</v>
      </c>
      <c r="L7" s="171">
        <f>MROUND(J7,1000)</f>
        <v>52000</v>
      </c>
      <c r="M7" s="172" t="s">
        <v>221</v>
      </c>
      <c r="N7" s="118"/>
    </row>
    <row r="8" spans="1:15" s="179" customFormat="1" ht="44.25" hidden="1" customHeight="1" x14ac:dyDescent="0.25">
      <c r="A8" s="174" t="s">
        <v>220</v>
      </c>
      <c r="B8" s="167">
        <v>9850</v>
      </c>
      <c r="C8" s="174" t="s">
        <v>185</v>
      </c>
      <c r="D8" s="174">
        <f>SUMIF('[1]2°Q 12 V1 CAMPO'!$D$18:$D$113,C8,'[1]2°Q 12 V1 CAMPO'!$T$18:$T$113)</f>
        <v>0</v>
      </c>
      <c r="E8" s="174">
        <f>SUMIF('[1]2°Q 12 V1 CAMPO'!$D$18:$D$113,C8,'[1]2°Q 12 V1 CAMPO'!$W$18:$X$113)</f>
        <v>0</v>
      </c>
      <c r="F8" s="168">
        <f>SUMIF('[1]2°Q 12 V2 CAMPO'!$D$18:$D$113,C8,'[1]2°Q 12 V2 CAMPO'!$AA$18:$AA$113)</f>
        <v>0</v>
      </c>
      <c r="G8" s="169">
        <f>SUMIF('[1]2°Q 12 V2 CAMPO'!$D$18:$D$113,C8,'[1]2°Q 12 V2 CAMPO'!$AI$18:$AI$114)</f>
        <v>0</v>
      </c>
      <c r="H8" s="169">
        <f>VLOOKUP(B8,'1°Q 01 V1 CAMPO'!B19:DB111,105,FALSE)</f>
        <v>0</v>
      </c>
      <c r="I8" s="170">
        <f>VLOOKUP(B8,'1°Q 01 V2 CAMPO'!B19:DB111,105,FALSE)</f>
        <v>0</v>
      </c>
      <c r="J8" s="176">
        <f t="shared" ref="J8:J71" si="1">+H8+I8</f>
        <v>0</v>
      </c>
      <c r="K8" s="171">
        <v>0</v>
      </c>
      <c r="L8" s="177">
        <f t="shared" ref="L8:L71" si="2">MROUND(J8,1000)</f>
        <v>0</v>
      </c>
      <c r="M8" s="172" t="s">
        <v>221</v>
      </c>
      <c r="N8" s="178"/>
    </row>
    <row r="9" spans="1:15" ht="44.25" hidden="1" customHeight="1" x14ac:dyDescent="0.25">
      <c r="A9" s="180" t="s">
        <v>220</v>
      </c>
      <c r="B9" s="181">
        <v>9743</v>
      </c>
      <c r="C9" s="180" t="s">
        <v>159</v>
      </c>
      <c r="D9" s="180">
        <f>SUMIF('[1]2°Q 12 V1 CAMPO'!$D$18:$D$113,C9,'[1]2°Q 12 V1 CAMPO'!$T$18:$T$113)</f>
        <v>0</v>
      </c>
      <c r="E9" s="180">
        <f>SUMIF('[1]2°Q 12 V1 CAMPO'!$D$18:$D$113,C9,'[1]2°Q 12 V1 CAMPO'!$W$18:$X$113)</f>
        <v>0</v>
      </c>
      <c r="F9" s="182">
        <f>SUMIF('[1]2°Q 12 V2 CAMPO'!$D$18:$D$113,C9,'[1]2°Q 12 V2 CAMPO'!$AA$18:$AA$113)</f>
        <v>0</v>
      </c>
      <c r="G9" s="175">
        <f>SUMIF('[1]2°Q 12 V2 CAMPO'!$D$18:$D$113,C9,'[1]2°Q 12 V2 CAMPO'!$AI$18:$AI$114)</f>
        <v>0</v>
      </c>
      <c r="H9" s="169">
        <f>VLOOKUP(B9,'1°Q 01 V1 CAMPO'!B20:DB112,105,FALSE)</f>
        <v>0</v>
      </c>
      <c r="I9" s="170">
        <f>VLOOKUP(B9,'1°Q 01 V2 CAMPO'!B20:DB112,105,FALSE)</f>
        <v>0</v>
      </c>
      <c r="J9" s="176">
        <f t="shared" si="1"/>
        <v>0</v>
      </c>
      <c r="K9" s="171">
        <v>0</v>
      </c>
      <c r="L9" s="176">
        <f t="shared" si="2"/>
        <v>0</v>
      </c>
      <c r="M9" s="172" t="s">
        <v>221</v>
      </c>
      <c r="N9" s="117"/>
    </row>
    <row r="10" spans="1:15" s="173" customFormat="1" ht="44.25" customHeight="1" x14ac:dyDescent="0.25">
      <c r="A10" s="134" t="s">
        <v>220</v>
      </c>
      <c r="B10" s="167">
        <v>9759</v>
      </c>
      <c r="C10" s="134" t="s">
        <v>173</v>
      </c>
      <c r="D10" s="134">
        <f>SUMIF('[1]2°Q 12 V1 CAMPO'!$D$18:$D$113,C10,'[1]2°Q 12 V1 CAMPO'!$T$18:$T$113)</f>
        <v>4</v>
      </c>
      <c r="E10" s="134">
        <f>SUMIF('[1]2°Q 12 V1 CAMPO'!$D$18:$D$113,C10,'[1]2°Q 12 V1 CAMPO'!$W$18:$X$113)</f>
        <v>0</v>
      </c>
      <c r="F10" s="168">
        <f>SUMIF('[1]2°Q 12 V2 CAMPO'!$D$18:$D$113,C10,'[1]2°Q 12 V2 CAMPO'!$AA$18:$AA$113)</f>
        <v>3</v>
      </c>
      <c r="G10" s="169">
        <f>SUMIF('[1]2°Q 12 V2 CAMPO'!$D$18:$D$113,C10,'[1]2°Q 12 V2 CAMPO'!$AI$18:$AI$114)</f>
        <v>0</v>
      </c>
      <c r="H10" s="169">
        <f>VLOOKUP(B10,'1°Q 01 V1 CAMPO'!B21:DB113,105,FALSE)</f>
        <v>270921.61619195895</v>
      </c>
      <c r="I10" s="170">
        <f>VLOOKUP(B10,'1°Q 01 V2 CAMPO'!B21:DB113,105,FALSE)</f>
        <v>21792.279294719996</v>
      </c>
      <c r="J10" s="171">
        <f t="shared" si="1"/>
        <v>292713.89548667893</v>
      </c>
      <c r="K10" s="171">
        <v>0</v>
      </c>
      <c r="L10" s="171">
        <f t="shared" si="2"/>
        <v>293000</v>
      </c>
      <c r="M10" s="172" t="s">
        <v>221</v>
      </c>
      <c r="N10" s="118"/>
    </row>
    <row r="11" spans="1:15" s="173" customFormat="1" ht="44.25" customHeight="1" x14ac:dyDescent="0.25">
      <c r="A11" s="134" t="s">
        <v>220</v>
      </c>
      <c r="B11" s="167">
        <v>9746</v>
      </c>
      <c r="C11" s="134" t="s">
        <v>162</v>
      </c>
      <c r="D11" s="134">
        <f>SUMIF('[1]2°Q 12 V1 CAMPO'!$D$18:$D$113,C11,'[1]2°Q 12 V1 CAMPO'!$T$18:$T$113)</f>
        <v>7</v>
      </c>
      <c r="E11" s="134">
        <v>1</v>
      </c>
      <c r="F11" s="168">
        <f>SUMIF('[1]2°Q 12 V2 CAMPO'!$D$18:$D$113,C11,'[1]2°Q 12 V2 CAMPO'!$AA$18:$AA$113)</f>
        <v>15</v>
      </c>
      <c r="G11" s="169">
        <f>SUMIF('[1]2°Q 12 V2 CAMPO'!$D$18:$D$113,C11,'[1]2°Q 12 V2 CAMPO'!$AI$18:$AI$114)</f>
        <v>1</v>
      </c>
      <c r="H11" s="169">
        <f>VLOOKUP(B11,'1°Q 01 V1 CAMPO'!B22:DB114,105,FALSE)</f>
        <v>312414.11596910591</v>
      </c>
      <c r="I11" s="170">
        <f>VLOOKUP(B11,'1°Q 01 V2 CAMPO'!B22:DB114,105,FALSE)</f>
        <v>217922.79294719998</v>
      </c>
      <c r="J11" s="171">
        <f t="shared" si="1"/>
        <v>530336.90891630587</v>
      </c>
      <c r="K11" s="171">
        <v>0</v>
      </c>
      <c r="L11" s="171">
        <f t="shared" si="2"/>
        <v>530000</v>
      </c>
      <c r="M11" s="172" t="s">
        <v>221</v>
      </c>
      <c r="N11" s="118"/>
    </row>
    <row r="12" spans="1:15" s="173" customFormat="1" ht="44.25" hidden="1" customHeight="1" x14ac:dyDescent="0.25">
      <c r="A12" s="134" t="s">
        <v>220</v>
      </c>
      <c r="B12" s="167">
        <v>9639</v>
      </c>
      <c r="C12" s="134" t="s">
        <v>102</v>
      </c>
      <c r="D12" s="134">
        <f>SUMIF('[1]2°Q 12 V1 CAMPO'!$D$18:$D$113,C12,'[1]2°Q 12 V1 CAMPO'!$T$18:$T$113)</f>
        <v>0</v>
      </c>
      <c r="E12" s="134">
        <v>1</v>
      </c>
      <c r="F12" s="168">
        <f>SUMIF('[1]2°Q 12 V2 CAMPO'!$D$18:$D$113,C12,'[1]2°Q 12 V2 CAMPO'!$AA$18:$AA$113)</f>
        <v>0</v>
      </c>
      <c r="G12" s="169">
        <f>SUMIF('[1]2°Q 12 V2 CAMPO'!$D$18:$D$113,C12,'[1]2°Q 12 V2 CAMPO'!$AI$18:$AI$114)</f>
        <v>0</v>
      </c>
      <c r="H12" s="169">
        <f>VLOOKUP(B12,'1°Q 01 V1 CAMPO'!B23:DB115,105,FALSE)</f>
        <v>0</v>
      </c>
      <c r="I12" s="170">
        <f>VLOOKUP(B12,'1°Q 01 V2 CAMPO'!B23:DB115,105,FALSE)</f>
        <v>0</v>
      </c>
      <c r="J12" s="171">
        <f t="shared" si="1"/>
        <v>0</v>
      </c>
      <c r="K12" s="171">
        <v>0</v>
      </c>
      <c r="L12" s="171">
        <f t="shared" si="2"/>
        <v>0</v>
      </c>
      <c r="M12" s="172" t="s">
        <v>221</v>
      </c>
      <c r="N12" s="118"/>
    </row>
    <row r="13" spans="1:15" ht="44.25" customHeight="1" x14ac:dyDescent="0.25">
      <c r="A13" s="180" t="s">
        <v>220</v>
      </c>
      <c r="B13" s="181">
        <v>9652</v>
      </c>
      <c r="C13" s="180" t="s">
        <v>110</v>
      </c>
      <c r="D13" s="180">
        <f>SUMIF('[1]2°Q 12 V1 CAMPO'!$D$18:$D$113,C13,'[1]2°Q 12 V1 CAMPO'!$T$18:$T$113)</f>
        <v>4</v>
      </c>
      <c r="E13" s="180">
        <f>SUMIF('[1]2°Q 12 V1 CAMPO'!$D$18:$D$113,C13,'[1]2°Q 12 V1 CAMPO'!$W$18:$X$113)</f>
        <v>0</v>
      </c>
      <c r="F13" s="182">
        <f>SUMIF('[1]2°Q 12 V2 CAMPO'!$D$18:$D$113,C13,'[1]2°Q 12 V2 CAMPO'!$AA$18:$AA$113)</f>
        <v>10</v>
      </c>
      <c r="G13" s="175">
        <f>SUMIF('[1]2°Q 12 V2 CAMPO'!$D$18:$D$113,C13,'[1]2°Q 12 V2 CAMPO'!$AI$18:$AI$114)</f>
        <v>0</v>
      </c>
      <c r="H13" s="169">
        <f>VLOOKUP(B13,'1°Q 01 V1 CAMPO'!B24:DB116,105,FALSE)</f>
        <v>328997.13250075048</v>
      </c>
      <c r="I13" s="170">
        <f>VLOOKUP(B13,'1°Q 01 V2 CAMPO'!B24:DB116,105,FALSE)</f>
        <v>130072.66704035999</v>
      </c>
      <c r="J13" s="176">
        <f t="shared" si="1"/>
        <v>459069.79954111046</v>
      </c>
      <c r="K13" s="171">
        <v>0</v>
      </c>
      <c r="L13" s="176">
        <f t="shared" si="2"/>
        <v>459000</v>
      </c>
      <c r="M13" s="172" t="s">
        <v>221</v>
      </c>
      <c r="N13" s="117"/>
      <c r="O13" s="173"/>
    </row>
    <row r="14" spans="1:15" s="173" customFormat="1" ht="44.25" customHeight="1" x14ac:dyDescent="0.25">
      <c r="A14" s="134" t="s">
        <v>220</v>
      </c>
      <c r="B14" s="167">
        <v>9833</v>
      </c>
      <c r="C14" s="134" t="s">
        <v>182</v>
      </c>
      <c r="D14" s="134">
        <f>SUMIF('[1]2°Q 12 V1 CAMPO'!$D$18:$D$113,C14,'[1]2°Q 12 V1 CAMPO'!$T$18:$T$113)</f>
        <v>7</v>
      </c>
      <c r="E14" s="134">
        <v>1</v>
      </c>
      <c r="F14" s="168">
        <f>SUMIF('[1]2°Q 12 V2 CAMPO'!$D$18:$D$113,C14,'[1]2°Q 12 V2 CAMPO'!$AA$18:$AA$113)</f>
        <v>15</v>
      </c>
      <c r="G14" s="169">
        <f>SUMIF('[1]2°Q 12 V2 CAMPO'!$D$18:$D$113,C14,'[1]2°Q 12 V2 CAMPO'!$AI$18:$AI$114)</f>
        <v>1.5</v>
      </c>
      <c r="H14" s="169">
        <f>VLOOKUP(B14,'1°Q 01 V1 CAMPO'!B25:DB117,105,FALSE)</f>
        <v>495537.90916607995</v>
      </c>
      <c r="I14" s="170">
        <f>VLOOKUP(B14,'1°Q 01 V2 CAMPO'!B25:DB117,105,FALSE)</f>
        <v>252930.80780351997</v>
      </c>
      <c r="J14" s="171">
        <f t="shared" si="1"/>
        <v>748468.71696959995</v>
      </c>
      <c r="K14" s="171">
        <v>0</v>
      </c>
      <c r="L14" s="171">
        <f t="shared" si="2"/>
        <v>748000</v>
      </c>
      <c r="M14" s="172" t="s">
        <v>221</v>
      </c>
      <c r="N14" s="118"/>
    </row>
    <row r="15" spans="1:15" s="173" customFormat="1" ht="44.25" customHeight="1" x14ac:dyDescent="0.25">
      <c r="A15" s="134" t="s">
        <v>220</v>
      </c>
      <c r="B15" s="167">
        <v>9812</v>
      </c>
      <c r="C15" s="134" t="s">
        <v>175</v>
      </c>
      <c r="D15" s="134">
        <f>SUMIF('[1]2°Q 12 V1 CAMPO'!$D$18:$D$113,C15,'[1]2°Q 12 V1 CAMPO'!$T$18:$T$113)</f>
        <v>4</v>
      </c>
      <c r="E15" s="134">
        <f>SUMIF('[1]2°Q 12 V1 CAMPO'!$D$18:$D$113,C15,'[1]2°Q 12 V1 CAMPO'!$W$18:$X$113)</f>
        <v>0</v>
      </c>
      <c r="F15" s="168">
        <f>SUMIF('[1]2°Q 12 V2 CAMPO'!$D$18:$D$113,C15,'[1]2°Q 12 V2 CAMPO'!$AA$18:$AA$113)</f>
        <v>3</v>
      </c>
      <c r="G15" s="169">
        <f>SUMIF('[1]2°Q 12 V2 CAMPO'!$D$18:$D$113,C15,'[1]2°Q 12 V2 CAMPO'!$AI$18:$AI$114)</f>
        <v>0</v>
      </c>
      <c r="H15" s="169">
        <f>VLOOKUP(B15,'1°Q 01 V1 CAMPO'!B26:DB118,105,FALSE)</f>
        <v>289063.78034687997</v>
      </c>
      <c r="I15" s="170">
        <f>VLOOKUP(B15,'1°Q 01 V2 CAMPO'!B26:DB118,105,FALSE)</f>
        <v>103237.06440959999</v>
      </c>
      <c r="J15" s="171">
        <f t="shared" si="1"/>
        <v>392300.84475647996</v>
      </c>
      <c r="K15" s="171">
        <v>0</v>
      </c>
      <c r="L15" s="171">
        <f t="shared" si="2"/>
        <v>392000</v>
      </c>
      <c r="M15" s="172" t="s">
        <v>221</v>
      </c>
      <c r="N15" s="118"/>
    </row>
    <row r="16" spans="1:15" s="173" customFormat="1" ht="44.25" customHeight="1" x14ac:dyDescent="0.25">
      <c r="A16" s="134" t="s">
        <v>220</v>
      </c>
      <c r="B16" s="167">
        <v>9832</v>
      </c>
      <c r="C16" s="134" t="s">
        <v>181</v>
      </c>
      <c r="D16" s="134">
        <f>SUMIF('[1]2°Q 12 V1 CAMPO'!$D$18:$D$113,C16,'[1]2°Q 12 V1 CAMPO'!$T$18:$T$113)</f>
        <v>7</v>
      </c>
      <c r="E16" s="134">
        <v>1</v>
      </c>
      <c r="F16" s="168">
        <f>SUMIF('[1]2°Q 12 V2 CAMPO'!$D$18:$D$113,C16,'[1]2°Q 12 V2 CAMPO'!$AA$18:$AA$113)</f>
        <v>15</v>
      </c>
      <c r="G16" s="169">
        <f>SUMIF('[1]2°Q 12 V2 CAMPO'!$D$18:$D$113,C16,'[1]2°Q 12 V2 CAMPO'!$AI$18:$AI$114)</f>
        <v>0.625</v>
      </c>
      <c r="H16" s="169">
        <f>VLOOKUP(B16,'1°Q 01 V1 CAMPO'!B27:DB119,105,FALSE)</f>
        <v>495537.90916607995</v>
      </c>
      <c r="I16" s="170">
        <f>VLOOKUP(B16,'1°Q 01 V2 CAMPO'!B27:DB119,105,FALSE)</f>
        <v>221959.68848063995</v>
      </c>
      <c r="J16" s="171">
        <f t="shared" si="1"/>
        <v>717497.59764671989</v>
      </c>
      <c r="K16" s="171">
        <v>0</v>
      </c>
      <c r="L16" s="171">
        <f t="shared" si="2"/>
        <v>717000</v>
      </c>
      <c r="M16" s="172" t="s">
        <v>221</v>
      </c>
      <c r="N16" s="118"/>
    </row>
    <row r="17" spans="1:15" ht="44.25" hidden="1" customHeight="1" x14ac:dyDescent="0.25">
      <c r="A17" s="180" t="s">
        <v>220</v>
      </c>
      <c r="B17" s="181">
        <v>9653</v>
      </c>
      <c r="C17" s="180" t="s">
        <v>111</v>
      </c>
      <c r="D17" s="180">
        <f>SUMIF('[1]2°Q 12 V1 CAMPO'!$D$18:$D$113,C17,'[1]2°Q 12 V1 CAMPO'!$T$18:$T$113)</f>
        <v>0</v>
      </c>
      <c r="E17" s="180">
        <f>SUMIF('[1]2°Q 12 V1 CAMPO'!$D$18:$D$113,C17,'[1]2°Q 12 V1 CAMPO'!$W$18:$X$113)</f>
        <v>0</v>
      </c>
      <c r="F17" s="182">
        <f>SUMIF('[1]2°Q 12 V2 CAMPO'!$D$18:$D$113,C17,'[1]2°Q 12 V2 CAMPO'!$AA$18:$AA$113)</f>
        <v>0</v>
      </c>
      <c r="G17" s="175">
        <f>SUMIF('[1]2°Q 12 V2 CAMPO'!$D$18:$D$113,C17,'[1]2°Q 12 V2 CAMPO'!$AI$18:$AI$114)</f>
        <v>0</v>
      </c>
      <c r="H17" s="169">
        <f>VLOOKUP(B17,'1°Q 01 V1 CAMPO'!B28:DB120,105,FALSE)</f>
        <v>0</v>
      </c>
      <c r="I17" s="170">
        <f>VLOOKUP(B17,'1°Q 01 V2 CAMPO'!B28:DB120,105,FALSE)</f>
        <v>0</v>
      </c>
      <c r="J17" s="176">
        <f t="shared" si="1"/>
        <v>0</v>
      </c>
      <c r="K17" s="171">
        <v>0</v>
      </c>
      <c r="L17" s="176">
        <f t="shared" si="2"/>
        <v>0</v>
      </c>
      <c r="M17" s="172" t="s">
        <v>221</v>
      </c>
      <c r="N17" s="117"/>
      <c r="O17" s="173"/>
    </row>
    <row r="18" spans="1:15" s="173" customFormat="1" ht="44.25" hidden="1" customHeight="1" x14ac:dyDescent="0.25">
      <c r="A18" s="134" t="s">
        <v>220</v>
      </c>
      <c r="B18" s="167">
        <v>9643</v>
      </c>
      <c r="C18" s="134" t="s">
        <v>104</v>
      </c>
      <c r="D18" s="134">
        <f>SUMIF('[1]2°Q 12 V1 CAMPO'!$D$18:$D$113,C18,'[1]2°Q 12 V1 CAMPO'!$T$18:$T$113)</f>
        <v>0</v>
      </c>
      <c r="E18" s="134">
        <f>SUMIF('[1]2°Q 12 V1 CAMPO'!$D$18:$D$113,C18,'[1]2°Q 12 V1 CAMPO'!$W$18:$X$113)</f>
        <v>0</v>
      </c>
      <c r="F18" s="168">
        <f>SUMIF('[1]2°Q 12 V2 CAMPO'!$D$18:$D$113,C18,'[1]2°Q 12 V2 CAMPO'!$AA$18:$AA$113)</f>
        <v>0</v>
      </c>
      <c r="G18" s="169">
        <f>SUMIF('[1]2°Q 12 V2 CAMPO'!$D$18:$D$113,C18,'[1]2°Q 12 V2 CAMPO'!$AI$18:$AI$114)</f>
        <v>0</v>
      </c>
      <c r="H18" s="169">
        <f>VLOOKUP(B18,'1°Q 01 V1 CAMPO'!B29:DB121,105,FALSE)</f>
        <v>0</v>
      </c>
      <c r="I18" s="170">
        <f>VLOOKUP(B18,'1°Q 01 V2 CAMPO'!B29:DB121,105,FALSE)</f>
        <v>0</v>
      </c>
      <c r="J18" s="171">
        <f t="shared" si="1"/>
        <v>0</v>
      </c>
      <c r="K18" s="171">
        <v>0</v>
      </c>
      <c r="L18" s="171">
        <f t="shared" si="2"/>
        <v>0</v>
      </c>
      <c r="M18" s="172" t="s">
        <v>221</v>
      </c>
      <c r="N18" s="118"/>
    </row>
    <row r="19" spans="1:15" ht="44.25" hidden="1" customHeight="1" x14ac:dyDescent="0.25">
      <c r="A19" s="180" t="s">
        <v>220</v>
      </c>
      <c r="B19" s="181">
        <v>9654</v>
      </c>
      <c r="C19" s="180" t="s">
        <v>112</v>
      </c>
      <c r="D19" s="180">
        <f>SUMIF('[1]2°Q 12 V1 CAMPO'!$D$18:$D$113,C19,'[1]2°Q 12 V1 CAMPO'!$T$18:$T$113)</f>
        <v>0</v>
      </c>
      <c r="E19" s="180">
        <f>SUMIF('[1]2°Q 12 V1 CAMPO'!$D$18:$D$113,C19,'[1]2°Q 12 V1 CAMPO'!$W$18:$X$113)</f>
        <v>0</v>
      </c>
      <c r="F19" s="182">
        <f>SUMIF('[1]2°Q 12 V2 CAMPO'!$D$18:$D$113,C19,'[1]2°Q 12 V2 CAMPO'!$AA$18:$AA$113)</f>
        <v>0</v>
      </c>
      <c r="G19" s="175">
        <f>SUMIF('[1]2°Q 12 V2 CAMPO'!$D$18:$D$113,C19,'[1]2°Q 12 V2 CAMPO'!$AI$18:$AI$114)</f>
        <v>0</v>
      </c>
      <c r="H19" s="169">
        <f>VLOOKUP(B19,'1°Q 01 V1 CAMPO'!B30:DB122,105,FALSE)</f>
        <v>0</v>
      </c>
      <c r="I19" s="170">
        <f>VLOOKUP(B19,'1°Q 01 V2 CAMPO'!B30:DB122,105,FALSE)</f>
        <v>0</v>
      </c>
      <c r="J19" s="176">
        <f t="shared" si="1"/>
        <v>0</v>
      </c>
      <c r="K19" s="171">
        <v>0</v>
      </c>
      <c r="L19" s="176">
        <f t="shared" si="2"/>
        <v>0</v>
      </c>
      <c r="M19" s="172" t="s">
        <v>221</v>
      </c>
      <c r="N19" s="117"/>
      <c r="O19" s="173"/>
    </row>
    <row r="20" spans="1:15" ht="44.25" hidden="1" customHeight="1" x14ac:dyDescent="0.25">
      <c r="A20" s="180" t="s">
        <v>220</v>
      </c>
      <c r="B20" s="181">
        <v>9656</v>
      </c>
      <c r="C20" s="180" t="s">
        <v>113</v>
      </c>
      <c r="D20" s="180">
        <f>SUMIF('[1]2°Q 12 V1 CAMPO'!$D$18:$D$113,C20,'[1]2°Q 12 V1 CAMPO'!$T$18:$T$113)</f>
        <v>0</v>
      </c>
      <c r="E20" s="180">
        <f>SUMIF('[1]2°Q 12 V1 CAMPO'!$D$18:$D$113,C20,'[1]2°Q 12 V1 CAMPO'!$W$18:$X$113)</f>
        <v>0</v>
      </c>
      <c r="F20" s="182">
        <f>SUMIF('[1]2°Q 12 V2 CAMPO'!$D$18:$D$113,C20,'[1]2°Q 12 V2 CAMPO'!$AA$18:$AA$113)</f>
        <v>0</v>
      </c>
      <c r="G20" s="175">
        <f>SUMIF('[1]2°Q 12 V2 CAMPO'!$D$18:$D$113,C20,'[1]2°Q 12 V2 CAMPO'!$AI$18:$AI$114)</f>
        <v>0</v>
      </c>
      <c r="H20" s="169">
        <f>VLOOKUP(B20,'1°Q 01 V1 CAMPO'!B31:DB123,105,FALSE)</f>
        <v>0</v>
      </c>
      <c r="I20" s="170">
        <f>VLOOKUP(B20,'1°Q 01 V2 CAMPO'!B31:DB123,105,FALSE)</f>
        <v>0</v>
      </c>
      <c r="J20" s="176">
        <f t="shared" si="1"/>
        <v>0</v>
      </c>
      <c r="K20" s="171">
        <v>0</v>
      </c>
      <c r="L20" s="176">
        <f t="shared" si="2"/>
        <v>0</v>
      </c>
      <c r="M20" s="172" t="s">
        <v>221</v>
      </c>
      <c r="N20" s="117"/>
      <c r="O20" s="173"/>
    </row>
    <row r="21" spans="1:15" s="173" customFormat="1" ht="44.25" customHeight="1" x14ac:dyDescent="0.25">
      <c r="A21" s="134" t="s">
        <v>220</v>
      </c>
      <c r="B21" s="167">
        <v>9645</v>
      </c>
      <c r="C21" s="134" t="s">
        <v>106</v>
      </c>
      <c r="D21" s="134">
        <f>SUMIF('[1]2°Q 12 V1 CAMPO'!$D$18:$D$113,C21,'[1]2°Q 12 V1 CAMPO'!$T$18:$T$113)</f>
        <v>13</v>
      </c>
      <c r="E21" s="134">
        <f>SUMIF('[1]2°Q 12 V1 CAMPO'!$D$18:$D$113,C21,'[1]2°Q 12 V1 CAMPO'!$W$18:$X$113)</f>
        <v>1</v>
      </c>
      <c r="F21" s="168">
        <f>SUMIF('[1]2°Q 12 V2 CAMPO'!$D$18:$D$113,C21,'[1]2°Q 12 V2 CAMPO'!$AA$18:$AA$113)</f>
        <v>15</v>
      </c>
      <c r="G21" s="169">
        <f>SUMIF('[1]2°Q 12 V2 CAMPO'!$D$18:$D$113,C21,'[1]2°Q 12 V2 CAMPO'!$AI$18:$AI$114)</f>
        <v>0.125</v>
      </c>
      <c r="H21" s="169">
        <f>VLOOKUP(B21,'1°Q 01 V1 CAMPO'!B32:DB124,105,FALSE)</f>
        <v>631286.01070254715</v>
      </c>
      <c r="I21" s="170">
        <f>VLOOKUP(B21,'1°Q 01 V2 CAMPO'!B32:DB124,105,FALSE)</f>
        <v>162590.83380045</v>
      </c>
      <c r="J21" s="171">
        <f t="shared" si="1"/>
        <v>793876.84450299712</v>
      </c>
      <c r="K21" s="171">
        <v>0</v>
      </c>
      <c r="L21" s="171">
        <f t="shared" si="2"/>
        <v>794000</v>
      </c>
      <c r="M21" s="172" t="s">
        <v>221</v>
      </c>
      <c r="N21" s="118"/>
    </row>
    <row r="22" spans="1:15" ht="44.25" hidden="1" customHeight="1" x14ac:dyDescent="0.25">
      <c r="A22" s="180" t="s">
        <v>220</v>
      </c>
      <c r="B22" s="181">
        <v>9658</v>
      </c>
      <c r="C22" s="180" t="s">
        <v>114</v>
      </c>
      <c r="D22" s="180">
        <f>SUMIF('[1]2°Q 12 V1 CAMPO'!$D$18:$D$113,C22,'[1]2°Q 12 V1 CAMPO'!$T$18:$T$113)</f>
        <v>0</v>
      </c>
      <c r="E22" s="180">
        <f>SUMIF('[1]2°Q 12 V1 CAMPO'!$D$18:$D$113,C22,'[1]2°Q 12 V1 CAMPO'!$W$18:$X$113)</f>
        <v>0</v>
      </c>
      <c r="F22" s="182">
        <f>SUMIF('[1]2°Q 12 V2 CAMPO'!$D$18:$D$113,C22,'[1]2°Q 12 V2 CAMPO'!$AA$18:$AA$113)</f>
        <v>0</v>
      </c>
      <c r="G22" s="175">
        <f>SUMIF('[1]2°Q 12 V2 CAMPO'!$D$18:$D$113,C22,'[1]2°Q 12 V2 CAMPO'!$AI$18:$AI$114)</f>
        <v>0</v>
      </c>
      <c r="H22" s="169">
        <f>VLOOKUP(B22,'1°Q 01 V1 CAMPO'!B33:DB125,105,FALSE)</f>
        <v>0</v>
      </c>
      <c r="I22" s="170">
        <f>VLOOKUP(B22,'1°Q 01 V2 CAMPO'!B33:DB125,105,FALSE)</f>
        <v>0</v>
      </c>
      <c r="J22" s="176">
        <f t="shared" si="1"/>
        <v>0</v>
      </c>
      <c r="K22" s="171">
        <v>0</v>
      </c>
      <c r="L22" s="176">
        <f t="shared" si="2"/>
        <v>0</v>
      </c>
      <c r="M22" s="172" t="s">
        <v>221</v>
      </c>
      <c r="N22" s="117"/>
      <c r="O22" s="173"/>
    </row>
    <row r="23" spans="1:15" s="173" customFormat="1" ht="44.25" hidden="1" customHeight="1" x14ac:dyDescent="0.25">
      <c r="A23" s="134" t="s">
        <v>220</v>
      </c>
      <c r="B23" s="167">
        <v>9659</v>
      </c>
      <c r="C23" s="134" t="s">
        <v>115</v>
      </c>
      <c r="D23" s="134">
        <f>SUMIF('[1]2°Q 12 V1 CAMPO'!$D$18:$D$113,C23,'[1]2°Q 12 V1 CAMPO'!$T$18:$T$113)</f>
        <v>6</v>
      </c>
      <c r="E23" s="134">
        <v>1</v>
      </c>
      <c r="F23" s="168">
        <f>SUMIF('[1]2°Q 12 V2 CAMPO'!$D$18:$D$113,C23,'[1]2°Q 12 V2 CAMPO'!$AA$18:$AA$113)</f>
        <v>15</v>
      </c>
      <c r="G23" s="169">
        <f>SUMIF('[1]2°Q 12 V2 CAMPO'!$D$18:$D$113,C23,'[1]2°Q 12 V2 CAMPO'!$AI$18:$AI$114)</f>
        <v>1</v>
      </c>
      <c r="H23" s="169">
        <f>VLOOKUP(B23,'1°Q 01 V1 CAMPO'!B34:DB126,105,FALSE)</f>
        <v>0</v>
      </c>
      <c r="I23" s="170">
        <f>VLOOKUP(B23,'1°Q 01 V2 CAMPO'!B34:DB126,105,FALSE)</f>
        <v>0</v>
      </c>
      <c r="J23" s="171">
        <f t="shared" si="1"/>
        <v>0</v>
      </c>
      <c r="K23" s="171">
        <v>0</v>
      </c>
      <c r="L23" s="171">
        <f t="shared" si="2"/>
        <v>0</v>
      </c>
      <c r="M23" s="172" t="s">
        <v>221</v>
      </c>
      <c r="N23" s="118"/>
    </row>
    <row r="24" spans="1:15" s="173" customFormat="1" ht="44.25" customHeight="1" x14ac:dyDescent="0.25">
      <c r="A24" s="134" t="s">
        <v>220</v>
      </c>
      <c r="B24" s="167">
        <v>9856</v>
      </c>
      <c r="C24" s="134" t="s">
        <v>188</v>
      </c>
      <c r="D24" s="134">
        <f>SUMIF('[1]2°Q 12 V1 CAMPO'!$D$18:$D$113,C24,'[1]2°Q 12 V1 CAMPO'!$T$18:$T$113)</f>
        <v>7</v>
      </c>
      <c r="E24" s="134">
        <v>1</v>
      </c>
      <c r="F24" s="168">
        <f>SUMIF('[1]2°Q 12 V2 CAMPO'!$D$18:$D$113,C24,'[1]2°Q 12 V2 CAMPO'!$AA$18:$AA$113)</f>
        <v>15</v>
      </c>
      <c r="G24" s="169">
        <f>SUMIF('[1]2°Q 12 V2 CAMPO'!$D$18:$D$113,C24,'[1]2°Q 12 V2 CAMPO'!$AI$18:$AI$114)</f>
        <v>1.125</v>
      </c>
      <c r="H24" s="169">
        <f>VLOOKUP(B24,'1°Q 01 V1 CAMPO'!B35:DB127,105,FALSE)</f>
        <v>303502.88976083993</v>
      </c>
      <c r="I24" s="170">
        <f>VLOOKUP(B24,'1°Q 01 V2 CAMPO'!B35:DB127,105,FALSE)</f>
        <v>216787.77840059996</v>
      </c>
      <c r="J24" s="171">
        <f t="shared" si="1"/>
        <v>520290.66816143988</v>
      </c>
      <c r="K24" s="171">
        <v>0</v>
      </c>
      <c r="L24" s="171">
        <f t="shared" si="2"/>
        <v>520000</v>
      </c>
      <c r="M24" s="172" t="s">
        <v>221</v>
      </c>
      <c r="N24" s="118"/>
    </row>
    <row r="25" spans="1:15" s="179" customFormat="1" ht="44.25" hidden="1" customHeight="1" x14ac:dyDescent="0.25">
      <c r="A25" s="174" t="s">
        <v>220</v>
      </c>
      <c r="B25" s="167">
        <v>9661</v>
      </c>
      <c r="C25" s="174" t="s">
        <v>116</v>
      </c>
      <c r="D25" s="174">
        <f>SUMIF('[1]2°Q 12 V1 CAMPO'!$D$18:$D$113,C25,'[1]2°Q 12 V1 CAMPO'!$T$18:$T$113)</f>
        <v>14</v>
      </c>
      <c r="E25" s="174">
        <v>1</v>
      </c>
      <c r="F25" s="168">
        <v>15</v>
      </c>
      <c r="G25" s="169">
        <v>8.6300000000000008</v>
      </c>
      <c r="H25" s="169">
        <f>VLOOKUP(B25,'1°Q 01 V1 CAMPO'!B36:DB128,105,FALSE)</f>
        <v>0</v>
      </c>
      <c r="I25" s="170">
        <f>VLOOKUP(B25,'1°Q 01 V2 CAMPO'!B36:DB128,105,FALSE)</f>
        <v>0</v>
      </c>
      <c r="J25" s="176">
        <f t="shared" si="1"/>
        <v>0</v>
      </c>
      <c r="K25" s="171">
        <v>0</v>
      </c>
      <c r="L25" s="177">
        <f t="shared" si="2"/>
        <v>0</v>
      </c>
      <c r="M25" s="172" t="s">
        <v>221</v>
      </c>
      <c r="N25" s="178"/>
    </row>
    <row r="26" spans="1:15" ht="44.25" hidden="1" customHeight="1" x14ac:dyDescent="0.25">
      <c r="A26" s="180" t="s">
        <v>220</v>
      </c>
      <c r="B26" s="181">
        <v>9662</v>
      </c>
      <c r="C26" s="180" t="s">
        <v>117</v>
      </c>
      <c r="D26" s="180">
        <f>SUMIF('[1]2°Q 12 V1 CAMPO'!$D$18:$D$113,C26,'[1]2°Q 12 V1 CAMPO'!$T$18:$T$113)</f>
        <v>0</v>
      </c>
      <c r="E26" s="180">
        <f>SUMIF('[1]2°Q 12 V1 CAMPO'!$D$18:$D$113,C26,'[1]2°Q 12 V1 CAMPO'!$W$18:$X$113)</f>
        <v>0</v>
      </c>
      <c r="F26" s="182">
        <f>SUMIF('[1]2°Q 12 V2 CAMPO'!$D$18:$D$113,C26,'[1]2°Q 12 V2 CAMPO'!$AA$18:$AA$113)</f>
        <v>0</v>
      </c>
      <c r="G26" s="175">
        <f>SUMIF('[1]2°Q 12 V2 CAMPO'!$D$18:$D$113,C26,'[1]2°Q 12 V2 CAMPO'!$AI$18:$AI$114)</f>
        <v>0</v>
      </c>
      <c r="H26" s="169">
        <f>VLOOKUP(B26,'1°Q 01 V1 CAMPO'!B37:DB129,105,FALSE)</f>
        <v>0</v>
      </c>
      <c r="I26" s="170">
        <f>VLOOKUP(B26,'1°Q 01 V2 CAMPO'!B37:DB129,105,FALSE)</f>
        <v>0</v>
      </c>
      <c r="J26" s="176">
        <f t="shared" si="1"/>
        <v>0</v>
      </c>
      <c r="K26" s="171">
        <v>0</v>
      </c>
      <c r="L26" s="176">
        <f t="shared" si="2"/>
        <v>0</v>
      </c>
      <c r="M26" s="172" t="s">
        <v>221</v>
      </c>
      <c r="N26" s="117"/>
      <c r="O26" s="173"/>
    </row>
    <row r="27" spans="1:15" ht="44.25" hidden="1" customHeight="1" x14ac:dyDescent="0.25">
      <c r="A27" s="180" t="s">
        <v>220</v>
      </c>
      <c r="B27" s="181">
        <v>9663</v>
      </c>
      <c r="C27" s="180" t="s">
        <v>118</v>
      </c>
      <c r="D27" s="180">
        <f>SUMIF('[1]2°Q 12 V1 CAMPO'!$D$18:$D$113,C27,'[1]2°Q 12 V1 CAMPO'!$T$18:$T$113)</f>
        <v>0</v>
      </c>
      <c r="E27" s="180">
        <f>SUMIF('[1]2°Q 12 V1 CAMPO'!$D$18:$D$113,C27,'[1]2°Q 12 V1 CAMPO'!$W$18:$X$113)</f>
        <v>0</v>
      </c>
      <c r="F27" s="182">
        <f>SUMIF('[1]2°Q 12 V2 CAMPO'!$D$18:$D$113,C27,'[1]2°Q 12 V2 CAMPO'!$AA$18:$AA$113)</f>
        <v>0</v>
      </c>
      <c r="G27" s="175">
        <f>SUMIF('[1]2°Q 12 V2 CAMPO'!$D$18:$D$113,C27,'[1]2°Q 12 V2 CAMPO'!$AI$18:$AI$114)</f>
        <v>0</v>
      </c>
      <c r="H27" s="169">
        <f>VLOOKUP(B27,'1°Q 01 V1 CAMPO'!B38:DB130,105,FALSE)</f>
        <v>0</v>
      </c>
      <c r="I27" s="170">
        <f>VLOOKUP(B27,'1°Q 01 V2 CAMPO'!B38:DB130,105,FALSE)</f>
        <v>0</v>
      </c>
      <c r="J27" s="176">
        <f t="shared" si="1"/>
        <v>0</v>
      </c>
      <c r="K27" s="171">
        <v>0</v>
      </c>
      <c r="L27" s="176">
        <f t="shared" si="2"/>
        <v>0</v>
      </c>
      <c r="M27" s="172" t="s">
        <v>221</v>
      </c>
      <c r="N27" s="117"/>
      <c r="O27" s="173"/>
    </row>
    <row r="28" spans="1:15" ht="44.25" hidden="1" customHeight="1" x14ac:dyDescent="0.25">
      <c r="A28" s="180" t="s">
        <v>220</v>
      </c>
      <c r="B28" s="181">
        <v>9857</v>
      </c>
      <c r="C28" s="180" t="s">
        <v>189</v>
      </c>
      <c r="D28" s="180">
        <f>SUMIF('[1]2°Q 12 V1 CAMPO'!$D$18:$D$113,C28,'[1]2°Q 12 V1 CAMPO'!$T$18:$T$113)</f>
        <v>0</v>
      </c>
      <c r="E28" s="180">
        <f>SUMIF('[1]2°Q 12 V1 CAMPO'!$D$18:$D$113,C28,'[1]2°Q 12 V1 CAMPO'!$W$18:$X$113)</f>
        <v>0</v>
      </c>
      <c r="F28" s="182">
        <f>SUMIF('[1]2°Q 12 V2 CAMPO'!$D$18:$D$113,C28,'[1]2°Q 12 V2 CAMPO'!$AA$18:$AA$113)</f>
        <v>0</v>
      </c>
      <c r="G28" s="175">
        <f>SUMIF('[1]2°Q 12 V2 CAMPO'!$D$18:$D$113,C28,'[1]2°Q 12 V2 CAMPO'!$AI$18:$AI$114)</f>
        <v>0</v>
      </c>
      <c r="H28" s="169">
        <f>VLOOKUP(B28,'1°Q 01 V1 CAMPO'!B39:DB131,105,FALSE)</f>
        <v>0</v>
      </c>
      <c r="I28" s="170">
        <f>VLOOKUP(B28,'1°Q 01 V2 CAMPO'!B39:DB131,105,FALSE)</f>
        <v>0</v>
      </c>
      <c r="J28" s="176">
        <f t="shared" si="1"/>
        <v>0</v>
      </c>
      <c r="K28" s="171">
        <v>0</v>
      </c>
      <c r="L28" s="176">
        <f t="shared" si="2"/>
        <v>0</v>
      </c>
      <c r="M28" s="172" t="s">
        <v>221</v>
      </c>
      <c r="N28" s="117"/>
      <c r="O28" s="173"/>
    </row>
    <row r="29" spans="1:15" s="173" customFormat="1" ht="44.25" hidden="1" customHeight="1" x14ac:dyDescent="0.25">
      <c r="A29" s="134" t="s">
        <v>220</v>
      </c>
      <c r="B29" s="167">
        <v>9665</v>
      </c>
      <c r="C29" s="134" t="s">
        <v>119</v>
      </c>
      <c r="D29" s="134">
        <f>SUMIF('[1]2°Q 12 V1 CAMPO'!$D$18:$D$113,C29,'[1]2°Q 12 V1 CAMPO'!$T$18:$T$113)</f>
        <v>0</v>
      </c>
      <c r="E29" s="134">
        <v>1</v>
      </c>
      <c r="F29" s="168">
        <f>SUMIF('[1]2°Q 12 V2 CAMPO'!$D$18:$D$113,C29,'[1]2°Q 12 V2 CAMPO'!$AA$18:$AA$113)</f>
        <v>0</v>
      </c>
      <c r="G29" s="169">
        <f>SUMIF('[1]2°Q 12 V2 CAMPO'!$D$18:$D$113,C29,'[1]2°Q 12 V2 CAMPO'!$AI$18:$AI$114)</f>
        <v>0</v>
      </c>
      <c r="H29" s="169">
        <f>VLOOKUP(B29,'1°Q 01 V1 CAMPO'!B40:DB132,105,FALSE)</f>
        <v>0</v>
      </c>
      <c r="I29" s="170">
        <f>VLOOKUP(B29,'1°Q 01 V2 CAMPO'!B40:DB132,105,FALSE)</f>
        <v>0</v>
      </c>
      <c r="J29" s="171">
        <f t="shared" si="1"/>
        <v>0</v>
      </c>
      <c r="K29" s="171">
        <v>0</v>
      </c>
      <c r="L29" s="171">
        <f t="shared" si="2"/>
        <v>0</v>
      </c>
      <c r="M29" s="172" t="s">
        <v>221</v>
      </c>
      <c r="N29" s="118"/>
    </row>
    <row r="30" spans="1:15" s="173" customFormat="1" ht="44.25" hidden="1" customHeight="1" x14ac:dyDescent="0.25">
      <c r="A30" s="134" t="s">
        <v>220</v>
      </c>
      <c r="B30" s="167">
        <v>9649</v>
      </c>
      <c r="C30" s="134" t="s">
        <v>109</v>
      </c>
      <c r="D30" s="134">
        <f>SUMIF('[1]2°Q 12 V1 CAMPO'!$D$18:$D$113,C30,'[1]2°Q 12 V1 CAMPO'!$T$18:$T$113)</f>
        <v>4</v>
      </c>
      <c r="E30" s="134">
        <f>SUMIF('[1]2°Q 12 V1 CAMPO'!$D$18:$D$113,C30,'[1]2°Q 12 V1 CAMPO'!$W$18:$X$113)</f>
        <v>0</v>
      </c>
      <c r="F30" s="168">
        <f>SUMIF('[1]2°Q 12 V2 CAMPO'!$D$18:$D$113,C30,'[1]2°Q 12 V2 CAMPO'!$AA$18:$AA$113)</f>
        <v>3</v>
      </c>
      <c r="G30" s="169">
        <f>SUMIF('[1]2°Q 12 V2 CAMPO'!$D$18:$D$113,C30,'[1]2°Q 12 V2 CAMPO'!$AI$18:$AI$114)</f>
        <v>0</v>
      </c>
      <c r="H30" s="169">
        <f>VLOOKUP(B30,'1°Q 01 V1 CAMPO'!B41:DB133,105,FALSE)</f>
        <v>0</v>
      </c>
      <c r="I30" s="170">
        <f>VLOOKUP(B30,'1°Q 01 V2 CAMPO'!B41:DB133,105,FALSE)</f>
        <v>0</v>
      </c>
      <c r="J30" s="171">
        <f t="shared" si="1"/>
        <v>0</v>
      </c>
      <c r="K30" s="171">
        <v>0</v>
      </c>
      <c r="L30" s="171">
        <f t="shared" si="2"/>
        <v>0</v>
      </c>
      <c r="M30" s="172" t="s">
        <v>221</v>
      </c>
      <c r="N30" s="118"/>
    </row>
    <row r="31" spans="1:15" s="173" customFormat="1" ht="44.25" customHeight="1" x14ac:dyDescent="0.25">
      <c r="A31" s="134" t="s">
        <v>220</v>
      </c>
      <c r="B31" s="167">
        <v>9748</v>
      </c>
      <c r="C31" s="134" t="s">
        <v>163</v>
      </c>
      <c r="D31" s="134">
        <f>SUMIF('[1]2°Q 12 V1 CAMPO'!$D$18:$D$113,C31,'[1]2°Q 12 V1 CAMPO'!$T$18:$T$113)</f>
        <v>7</v>
      </c>
      <c r="E31" s="134">
        <f>SUMIF('[1]2°Q 12 V1 CAMPO'!$D$18:$D$113,C31,'[1]2°Q 12 V1 CAMPO'!$W$18:$X$113)</f>
        <v>0</v>
      </c>
      <c r="F31" s="168">
        <f>SUMIF('[1]2°Q 12 V2 CAMPO'!$D$18:$D$113,C31,'[1]2°Q 12 V2 CAMPO'!$AA$18:$AA$113)</f>
        <v>15</v>
      </c>
      <c r="G31" s="169">
        <f>SUMIF('[1]2°Q 12 V2 CAMPO'!$D$18:$D$113,C31,'[1]2°Q 12 V2 CAMPO'!$AI$18:$AI$114)</f>
        <v>1.5</v>
      </c>
      <c r="H31" s="169">
        <f>VLOOKUP(B31,'1°Q 01 V1 CAMPO'!B42:DB134,105,FALSE)</f>
        <v>535567.05594703858</v>
      </c>
      <c r="I31" s="170">
        <f>VLOOKUP(B31,'1°Q 01 V2 CAMPO'!B42:DB134,105,FALSE)</f>
        <v>266955.42136031989</v>
      </c>
      <c r="J31" s="171">
        <f t="shared" si="1"/>
        <v>802522.47730735852</v>
      </c>
      <c r="K31" s="171">
        <v>0</v>
      </c>
      <c r="L31" s="171">
        <f t="shared" si="2"/>
        <v>803000</v>
      </c>
      <c r="M31" s="172" t="s">
        <v>221</v>
      </c>
      <c r="N31" s="118"/>
    </row>
    <row r="32" spans="1:15" s="173" customFormat="1" ht="44.25" customHeight="1" x14ac:dyDescent="0.25">
      <c r="A32" s="134" t="s">
        <v>220</v>
      </c>
      <c r="B32" s="167">
        <v>9749</v>
      </c>
      <c r="C32" s="134" t="s">
        <v>164</v>
      </c>
      <c r="D32" s="134">
        <f>SUMIF('[1]2°Q 12 V1 CAMPO'!$D$18:$D$113,C32,'[1]2°Q 12 V1 CAMPO'!$T$18:$T$113)</f>
        <v>7</v>
      </c>
      <c r="E32" s="134">
        <v>1</v>
      </c>
      <c r="F32" s="168">
        <f>SUMIF('[1]2°Q 12 V2 CAMPO'!$D$18:$D$113,C32,'[1]2°Q 12 V2 CAMPO'!$AA$18:$AA$113)</f>
        <v>15</v>
      </c>
      <c r="G32" s="169">
        <f>SUMIF('[1]2°Q 12 V2 CAMPO'!$D$18:$D$113,C32,'[1]2°Q 12 V2 CAMPO'!$AI$18:$AI$114)</f>
        <v>1.5</v>
      </c>
      <c r="H32" s="169">
        <f>VLOOKUP(B32,'1°Q 01 V1 CAMPO'!B43:DB135,105,FALSE)</f>
        <v>523014.70307327987</v>
      </c>
      <c r="I32" s="170">
        <f>VLOOKUP(B32,'1°Q 01 V2 CAMPO'!B43:DB135,105,FALSE)</f>
        <v>266955.42136031989</v>
      </c>
      <c r="J32" s="171">
        <f t="shared" si="1"/>
        <v>789970.12443359976</v>
      </c>
      <c r="K32" s="171">
        <v>0</v>
      </c>
      <c r="L32" s="171">
        <f t="shared" si="2"/>
        <v>790000</v>
      </c>
      <c r="M32" s="172" t="s">
        <v>221</v>
      </c>
      <c r="N32" s="118"/>
    </row>
    <row r="33" spans="1:15" ht="44.25" hidden="1" customHeight="1" x14ac:dyDescent="0.25">
      <c r="A33" s="180" t="s">
        <v>220</v>
      </c>
      <c r="B33" s="181">
        <v>9669</v>
      </c>
      <c r="C33" s="180" t="s">
        <v>120</v>
      </c>
      <c r="D33" s="180">
        <f>SUMIF('[1]2°Q 12 V1 CAMPO'!$D$18:$D$113,C33,'[1]2°Q 12 V1 CAMPO'!$T$18:$T$113)</f>
        <v>0</v>
      </c>
      <c r="E33" s="180">
        <f>SUMIF('[1]2°Q 12 V1 CAMPO'!$D$18:$D$113,C33,'[1]2°Q 12 V1 CAMPO'!$W$18:$X$113)</f>
        <v>0</v>
      </c>
      <c r="F33" s="182">
        <f>SUMIF('[1]2°Q 12 V2 CAMPO'!$D$18:$D$113,C33,'[1]2°Q 12 V2 CAMPO'!$AA$18:$AA$113)</f>
        <v>0</v>
      </c>
      <c r="G33" s="175">
        <f>SUMIF('[1]2°Q 12 V2 CAMPO'!$D$18:$D$113,C33,'[1]2°Q 12 V2 CAMPO'!$AI$18:$AI$114)</f>
        <v>0</v>
      </c>
      <c r="H33" s="169">
        <f>VLOOKUP(B33,'1°Q 01 V1 CAMPO'!B44:DB136,105,FALSE)</f>
        <v>0</v>
      </c>
      <c r="I33" s="170">
        <f>VLOOKUP(B33,'1°Q 01 V2 CAMPO'!B44:DB136,105,FALSE)</f>
        <v>0</v>
      </c>
      <c r="J33" s="176">
        <f t="shared" si="1"/>
        <v>0</v>
      </c>
      <c r="K33" s="171">
        <v>0</v>
      </c>
      <c r="L33" s="176">
        <f t="shared" si="2"/>
        <v>0</v>
      </c>
      <c r="M33" s="172" t="s">
        <v>221</v>
      </c>
      <c r="N33" s="117"/>
      <c r="O33" s="173"/>
    </row>
    <row r="34" spans="1:15" ht="44.25" hidden="1" customHeight="1" x14ac:dyDescent="0.25">
      <c r="A34" s="180" t="s">
        <v>220</v>
      </c>
      <c r="B34" s="181">
        <v>9861</v>
      </c>
      <c r="C34" s="180" t="s">
        <v>193</v>
      </c>
      <c r="D34" s="180">
        <f>SUMIF('[1]2°Q 12 V1 CAMPO'!$D$18:$D$113,C34,'[1]2°Q 12 V1 CAMPO'!$T$18:$T$113)</f>
        <v>0</v>
      </c>
      <c r="E34" s="180">
        <f>SUMIF('[1]2°Q 12 V1 CAMPO'!$D$18:$D$113,C34,'[1]2°Q 12 V1 CAMPO'!$W$18:$X$113)</f>
        <v>0</v>
      </c>
      <c r="F34" s="182">
        <f>SUMIF('[1]2°Q 12 V2 CAMPO'!$D$18:$D$113,C34,'[1]2°Q 12 V2 CAMPO'!$AA$18:$AA$113)</f>
        <v>0</v>
      </c>
      <c r="G34" s="175">
        <f>SUMIF('[1]2°Q 12 V2 CAMPO'!$D$18:$D$113,C34,'[1]2°Q 12 V2 CAMPO'!$AI$18:$AI$114)</f>
        <v>0</v>
      </c>
      <c r="H34" s="169">
        <f>VLOOKUP(B34,'1°Q 01 V1 CAMPO'!B45:DB137,105,FALSE)</f>
        <v>0</v>
      </c>
      <c r="I34" s="170">
        <f>VLOOKUP(B34,'1°Q 01 V2 CAMPO'!B45:DB137,105,FALSE)</f>
        <v>0</v>
      </c>
      <c r="J34" s="176">
        <f t="shared" si="1"/>
        <v>0</v>
      </c>
      <c r="K34" s="171">
        <v>0</v>
      </c>
      <c r="L34" s="176">
        <f t="shared" si="2"/>
        <v>0</v>
      </c>
      <c r="M34" s="172" t="s">
        <v>221</v>
      </c>
      <c r="N34" s="117"/>
      <c r="O34" s="173"/>
    </row>
    <row r="35" spans="1:15" s="179" customFormat="1" ht="44.25" hidden="1" customHeight="1" x14ac:dyDescent="0.25">
      <c r="A35" s="174" t="s">
        <v>220</v>
      </c>
      <c r="B35" s="167">
        <v>9670</v>
      </c>
      <c r="C35" s="174" t="s">
        <v>121</v>
      </c>
      <c r="D35" s="174">
        <f>SUMIF('[1]2°Q 12 V1 CAMPO'!$D$18:$D$113,C35,'[1]2°Q 12 V1 CAMPO'!$T$18:$T$113)</f>
        <v>0</v>
      </c>
      <c r="E35" s="174">
        <f>SUMIF('[1]2°Q 12 V1 CAMPO'!$D$18:$D$113,C35,'[1]2°Q 12 V1 CAMPO'!$W$18:$X$113)</f>
        <v>0</v>
      </c>
      <c r="F35" s="168">
        <f>SUMIF('[1]2°Q 12 V2 CAMPO'!$D$18:$D$113,C35,'[1]2°Q 12 V2 CAMPO'!$AA$18:$AA$113)</f>
        <v>0</v>
      </c>
      <c r="G35" s="169">
        <f>SUMIF('[1]2°Q 12 V2 CAMPO'!$D$18:$D$113,C35,'[1]2°Q 12 V2 CAMPO'!$AI$18:$AI$114)</f>
        <v>0</v>
      </c>
      <c r="H35" s="169">
        <f>VLOOKUP(B35,'1°Q 01 V1 CAMPO'!B46:DB138,105,FALSE)</f>
        <v>0</v>
      </c>
      <c r="I35" s="170">
        <f>VLOOKUP(B35,'1°Q 01 V2 CAMPO'!B46:DB138,105,FALSE)</f>
        <v>0</v>
      </c>
      <c r="J35" s="176">
        <f t="shared" si="1"/>
        <v>0</v>
      </c>
      <c r="K35" s="171">
        <v>0</v>
      </c>
      <c r="L35" s="177">
        <f t="shared" si="2"/>
        <v>0</v>
      </c>
      <c r="M35" s="172" t="s">
        <v>221</v>
      </c>
      <c r="N35" s="178"/>
    </row>
    <row r="36" spans="1:15" ht="44.25" hidden="1" customHeight="1" x14ac:dyDescent="0.25">
      <c r="A36" s="180" t="s">
        <v>220</v>
      </c>
      <c r="B36" s="181">
        <v>9671</v>
      </c>
      <c r="C36" s="180" t="s">
        <v>122</v>
      </c>
      <c r="D36" s="180">
        <f>SUMIF('[1]2°Q 12 V1 CAMPO'!$D$18:$D$113,C36,'[1]2°Q 12 V1 CAMPO'!$T$18:$T$113)</f>
        <v>0</v>
      </c>
      <c r="E36" s="180">
        <f>SUMIF('[1]2°Q 12 V1 CAMPO'!$D$18:$D$113,C36,'[1]2°Q 12 V1 CAMPO'!$W$18:$X$113)</f>
        <v>0</v>
      </c>
      <c r="F36" s="182">
        <f>SUMIF('[1]2°Q 12 V2 CAMPO'!$D$18:$D$113,C36,'[1]2°Q 12 V2 CAMPO'!$AA$18:$AA$113)</f>
        <v>0</v>
      </c>
      <c r="G36" s="175">
        <f>SUMIF('[1]2°Q 12 V2 CAMPO'!$D$18:$D$113,C36,'[1]2°Q 12 V2 CAMPO'!$AI$18:$AI$114)</f>
        <v>0</v>
      </c>
      <c r="H36" s="169">
        <f>VLOOKUP(B36,'1°Q 01 V1 CAMPO'!B47:DB139,105,FALSE)</f>
        <v>0</v>
      </c>
      <c r="I36" s="170">
        <f>VLOOKUP(B36,'1°Q 01 V2 CAMPO'!B47:DB139,105,FALSE)</f>
        <v>0</v>
      </c>
      <c r="J36" s="176">
        <f t="shared" si="1"/>
        <v>0</v>
      </c>
      <c r="K36" s="171">
        <v>0</v>
      </c>
      <c r="L36" s="176">
        <f t="shared" si="2"/>
        <v>0</v>
      </c>
      <c r="M36" s="172" t="s">
        <v>221</v>
      </c>
      <c r="N36" s="117"/>
      <c r="O36" s="173"/>
    </row>
    <row r="37" spans="1:15" s="173" customFormat="1" ht="44.25" customHeight="1" x14ac:dyDescent="0.25">
      <c r="A37" s="134" t="s">
        <v>220</v>
      </c>
      <c r="B37" s="167">
        <v>9750</v>
      </c>
      <c r="C37" s="134" t="s">
        <v>165</v>
      </c>
      <c r="D37" s="134">
        <f>SUMIF('[1]2°Q 12 V1 CAMPO'!$D$18:$D$113,C37,'[1]2°Q 12 V1 CAMPO'!$T$18:$T$113)</f>
        <v>13</v>
      </c>
      <c r="E37" s="134">
        <v>1</v>
      </c>
      <c r="F37" s="168">
        <f>SUMIF('[1]2°Q 12 V2 CAMPO'!$D$18:$D$113,C37,'[1]2°Q 12 V2 CAMPO'!$AA$18:$AA$113)</f>
        <v>15</v>
      </c>
      <c r="G37" s="169">
        <f>SUMIF('[1]2°Q 12 V2 CAMPO'!$D$18:$D$113,C37,'[1]2°Q 12 V2 CAMPO'!$AI$18:$AI$114)</f>
        <v>2.75</v>
      </c>
      <c r="H37" s="169">
        <f>VLOOKUP(B37,'1°Q 01 V1 CAMPO'!B48:DB140,105,FALSE)</f>
        <v>586996.83508257777</v>
      </c>
      <c r="I37" s="170">
        <f>VLOOKUP(B37,'1°Q 01 V2 CAMPO'!B48:DB140,105,FALSE)</f>
        <v>310539.97994975996</v>
      </c>
      <c r="J37" s="171">
        <f t="shared" si="1"/>
        <v>897536.81503233779</v>
      </c>
      <c r="K37" s="171">
        <v>0</v>
      </c>
      <c r="L37" s="171">
        <f t="shared" si="2"/>
        <v>898000</v>
      </c>
      <c r="M37" s="172" t="s">
        <v>221</v>
      </c>
      <c r="N37" s="118"/>
    </row>
    <row r="38" spans="1:15" s="173" customFormat="1" ht="44.25" customHeight="1" x14ac:dyDescent="0.25">
      <c r="A38" s="134" t="s">
        <v>220</v>
      </c>
      <c r="B38" s="167">
        <v>9829</v>
      </c>
      <c r="C38" s="134" t="s">
        <v>178</v>
      </c>
      <c r="D38" s="134">
        <f>SUMIF('[1]2°Q 12 V1 CAMPO'!$D$18:$D$113,C38,'[1]2°Q 12 V1 CAMPO'!$T$18:$T$113)</f>
        <v>5</v>
      </c>
      <c r="E38" s="134">
        <f>SUMIF('[1]2°Q 12 V1 CAMPO'!$D$18:$D$113,C38,'[1]2°Q 12 V1 CAMPO'!$W$18:$X$113)</f>
        <v>0</v>
      </c>
      <c r="F38" s="168">
        <f>SUMIF('[1]2°Q 12 V2 CAMPO'!$D$18:$D$113,C38,'[1]2°Q 12 V2 CAMPO'!$AA$18:$AA$113)</f>
        <v>6</v>
      </c>
      <c r="G38" s="169">
        <f>SUMIF('[1]2°Q 12 V2 CAMPO'!$D$18:$D$113,C38,'[1]2°Q 12 V2 CAMPO'!$AI$18:$AI$114)</f>
        <v>0</v>
      </c>
      <c r="H38" s="169">
        <f>VLOOKUP(B38,'1°Q 01 V1 CAMPO'!B49:DB141,105,FALSE)</f>
        <v>82589.651527679991</v>
      </c>
      <c r="I38" s="170">
        <f>VLOOKUP(B38,'1°Q 01 V2 CAMPO'!B49:DB141,105,FALSE)</f>
        <v>15485.559661439998</v>
      </c>
      <c r="J38" s="171">
        <f t="shared" si="1"/>
        <v>98075.211189119989</v>
      </c>
      <c r="K38" s="171">
        <v>0</v>
      </c>
      <c r="L38" s="171">
        <f t="shared" si="2"/>
        <v>98000</v>
      </c>
      <c r="M38" s="172" t="s">
        <v>221</v>
      </c>
      <c r="N38" s="118"/>
    </row>
    <row r="39" spans="1:15" s="173" customFormat="1" ht="44.25" customHeight="1" x14ac:dyDescent="0.25">
      <c r="A39" s="134" t="s">
        <v>220</v>
      </c>
      <c r="B39" s="167">
        <v>9648</v>
      </c>
      <c r="C39" s="134" t="s">
        <v>108</v>
      </c>
      <c r="D39" s="134">
        <f>SUMIF('[1]2°Q 12 V1 CAMPO'!$D$18:$D$113,C39,'[1]2°Q 12 V1 CAMPO'!$T$18:$T$113)</f>
        <v>4</v>
      </c>
      <c r="E39" s="134">
        <f>SUMIF('[1]2°Q 12 V1 CAMPO'!$D$18:$D$113,C39,'[1]2°Q 12 V1 CAMPO'!$W$18:$X$113)</f>
        <v>0</v>
      </c>
      <c r="F39" s="168">
        <f>SUMIF('[1]2°Q 12 V2 CAMPO'!$D$18:$D$113,C39,'[1]2°Q 12 V2 CAMPO'!$AA$18:$AA$113)</f>
        <v>3</v>
      </c>
      <c r="G39" s="169">
        <f>SUMIF('[1]2°Q 12 V2 CAMPO'!$D$18:$D$113,C39,'[1]2°Q 12 V2 CAMPO'!$AI$18:$AI$114)</f>
        <v>0</v>
      </c>
      <c r="H39" s="169">
        <f>VLOOKUP(B39,'1°Q 01 V1 CAMPO'!B50:DB142,105,FALSE)</f>
        <v>159798.60721465023</v>
      </c>
      <c r="I39" s="170">
        <f>VLOOKUP(B39,'1°Q 01 V2 CAMPO'!B50:DB142,105,FALSE)</f>
        <v>21678.777840059996</v>
      </c>
      <c r="J39" s="171">
        <f t="shared" si="1"/>
        <v>181477.38505471023</v>
      </c>
      <c r="K39" s="171">
        <v>28199.75421435004</v>
      </c>
      <c r="L39" s="171">
        <f t="shared" si="2"/>
        <v>181000</v>
      </c>
      <c r="M39" s="172" t="s">
        <v>221</v>
      </c>
      <c r="N39" s="118"/>
    </row>
    <row r="40" spans="1:15" ht="44.25" hidden="1" customHeight="1" x14ac:dyDescent="0.25">
      <c r="A40" s="180" t="s">
        <v>220</v>
      </c>
      <c r="B40" s="181">
        <v>9676</v>
      </c>
      <c r="C40" s="180" t="s">
        <v>123</v>
      </c>
      <c r="D40" s="180">
        <f>SUMIF('[1]2°Q 12 V1 CAMPO'!$D$18:$D$113,C40,'[1]2°Q 12 V1 CAMPO'!$T$18:$T$113)</f>
        <v>0</v>
      </c>
      <c r="E40" s="180">
        <f>SUMIF('[1]2°Q 12 V1 CAMPO'!$D$18:$D$113,C40,'[1]2°Q 12 V1 CAMPO'!$W$18:$X$113)</f>
        <v>0</v>
      </c>
      <c r="F40" s="182">
        <f>SUMIF('[1]2°Q 12 V2 CAMPO'!$D$18:$D$113,C40,'[1]2°Q 12 V2 CAMPO'!$AA$18:$AA$113)</f>
        <v>0</v>
      </c>
      <c r="G40" s="175">
        <f>SUMIF('[1]2°Q 12 V2 CAMPO'!$D$18:$D$113,C40,'[1]2°Q 12 V2 CAMPO'!$AI$18:$AI$114)</f>
        <v>0</v>
      </c>
      <c r="H40" s="169">
        <f>VLOOKUP(B40,'1°Q 01 V1 CAMPO'!B51:DB143,105,FALSE)</f>
        <v>0</v>
      </c>
      <c r="I40" s="170">
        <f>VLOOKUP(B40,'1°Q 01 V2 CAMPO'!B51:DB143,105,FALSE)</f>
        <v>0</v>
      </c>
      <c r="J40" s="176">
        <f t="shared" si="1"/>
        <v>0</v>
      </c>
      <c r="K40" s="171">
        <v>0</v>
      </c>
      <c r="L40" s="176">
        <f t="shared" si="2"/>
        <v>0</v>
      </c>
      <c r="M40" s="172" t="s">
        <v>221</v>
      </c>
      <c r="N40" s="117"/>
      <c r="O40" s="173"/>
    </row>
    <row r="41" spans="1:15" ht="44.25" hidden="1" customHeight="1" x14ac:dyDescent="0.25">
      <c r="A41" s="180" t="s">
        <v>220</v>
      </c>
      <c r="B41" s="181">
        <v>9678</v>
      </c>
      <c r="C41" s="180" t="s">
        <v>124</v>
      </c>
      <c r="D41" s="180">
        <f>SUMIF('[1]2°Q 12 V1 CAMPO'!$D$18:$D$113,C41,'[1]2°Q 12 V1 CAMPO'!$T$18:$T$113)</f>
        <v>0</v>
      </c>
      <c r="E41" s="180">
        <f>SUMIF('[1]2°Q 12 V1 CAMPO'!$D$18:$D$113,C41,'[1]2°Q 12 V1 CAMPO'!$W$18:$X$113)</f>
        <v>0</v>
      </c>
      <c r="F41" s="182">
        <f>SUMIF('[1]2°Q 12 V2 CAMPO'!$D$18:$D$113,C41,'[1]2°Q 12 V2 CAMPO'!$AA$18:$AA$113)</f>
        <v>0</v>
      </c>
      <c r="G41" s="175">
        <f>SUMIF('[1]2°Q 12 V2 CAMPO'!$D$18:$D$113,C41,'[1]2°Q 12 V2 CAMPO'!$AI$18:$AI$114)</f>
        <v>0</v>
      </c>
      <c r="H41" s="169">
        <f>VLOOKUP(B41,'1°Q 01 V1 CAMPO'!B52:DB144,105,FALSE)</f>
        <v>0</v>
      </c>
      <c r="I41" s="170">
        <f>VLOOKUP(B41,'1°Q 01 V2 CAMPO'!B52:DB144,105,FALSE)</f>
        <v>0</v>
      </c>
      <c r="J41" s="176">
        <f t="shared" si="1"/>
        <v>0</v>
      </c>
      <c r="K41" s="171">
        <v>0</v>
      </c>
      <c r="L41" s="176">
        <f t="shared" si="2"/>
        <v>0</v>
      </c>
      <c r="M41" s="172" t="s">
        <v>221</v>
      </c>
      <c r="N41" s="117"/>
      <c r="O41" s="173"/>
    </row>
    <row r="42" spans="1:15" s="173" customFormat="1" ht="44.25" customHeight="1" x14ac:dyDescent="0.25">
      <c r="A42" s="134" t="s">
        <v>220</v>
      </c>
      <c r="B42" s="167">
        <v>9679</v>
      </c>
      <c r="C42" s="134" t="s">
        <v>125</v>
      </c>
      <c r="D42" s="134">
        <f>SUMIF('[1]2°Q 12 V1 CAMPO'!$D$18:$D$113,C42,'[1]2°Q 12 V1 CAMPO'!$T$18:$T$113)</f>
        <v>0</v>
      </c>
      <c r="E42" s="134">
        <f>SUMIF('[1]2°Q 12 V1 CAMPO'!$D$18:$D$113,C42,'[1]2°Q 12 V1 CAMPO'!$W$18:$X$113)</f>
        <v>0</v>
      </c>
      <c r="F42" s="168">
        <f>SUMIF('[1]2°Q 12 V2 CAMPO'!$D$18:$D$113,C42,'[1]2°Q 12 V2 CAMPO'!$AA$18:$AA$113)</f>
        <v>0</v>
      </c>
      <c r="G42" s="169">
        <f>SUMIF('[1]2°Q 12 V2 CAMPO'!$D$18:$D$113,C42,'[1]2°Q 12 V2 CAMPO'!$AI$18:$AI$114)</f>
        <v>0</v>
      </c>
      <c r="H42" s="169">
        <f>VLOOKUP(B42,'1°Q 01 V1 CAMPO'!B53:DB145,105,FALSE)</f>
        <v>681407.34506876569</v>
      </c>
      <c r="I42" s="170">
        <f>VLOOKUP(B42,'1°Q 01 V2 CAMPO'!B53:DB145,105,FALSE)</f>
        <v>411896.77896113991</v>
      </c>
      <c r="J42" s="171">
        <f t="shared" si="1"/>
        <v>1093304.1240299055</v>
      </c>
      <c r="K42" s="171">
        <v>0</v>
      </c>
      <c r="L42" s="171">
        <f t="shared" si="2"/>
        <v>1093000</v>
      </c>
      <c r="M42" s="172" t="s">
        <v>221</v>
      </c>
      <c r="N42" s="118"/>
    </row>
    <row r="43" spans="1:15" ht="44.25" hidden="1" customHeight="1" x14ac:dyDescent="0.25">
      <c r="A43" s="180" t="s">
        <v>220</v>
      </c>
      <c r="B43" s="181">
        <v>9681</v>
      </c>
      <c r="C43" s="180" t="s">
        <v>126</v>
      </c>
      <c r="D43" s="180">
        <f>SUMIF('[1]2°Q 12 V1 CAMPO'!$D$18:$D$113,C43,'[1]2°Q 12 V1 CAMPO'!$T$18:$T$113)</f>
        <v>0</v>
      </c>
      <c r="E43" s="180">
        <f>SUMIF('[1]2°Q 12 V1 CAMPO'!$D$18:$D$113,C43,'[1]2°Q 12 V1 CAMPO'!$W$18:$X$113)</f>
        <v>0</v>
      </c>
      <c r="F43" s="182">
        <f>SUMIF('[1]2°Q 12 V2 CAMPO'!$D$18:$D$113,C43,'[1]2°Q 12 V2 CAMPO'!$AA$18:$AA$113)</f>
        <v>0</v>
      </c>
      <c r="G43" s="175">
        <f>SUMIF('[1]2°Q 12 V2 CAMPO'!$D$18:$D$113,C43,'[1]2°Q 12 V2 CAMPO'!$AI$18:$AI$114)</f>
        <v>0</v>
      </c>
      <c r="H43" s="169">
        <f>VLOOKUP(B43,'1°Q 01 V1 CAMPO'!B54:DB146,105,FALSE)</f>
        <v>0</v>
      </c>
      <c r="I43" s="170">
        <f>VLOOKUP(B43,'1°Q 01 V2 CAMPO'!B54:DB146,105,FALSE)</f>
        <v>0</v>
      </c>
      <c r="J43" s="176">
        <f t="shared" si="1"/>
        <v>0</v>
      </c>
      <c r="K43" s="171">
        <v>0</v>
      </c>
      <c r="L43" s="176">
        <f t="shared" si="2"/>
        <v>0</v>
      </c>
      <c r="M43" s="172" t="s">
        <v>221</v>
      </c>
      <c r="N43" s="117"/>
      <c r="O43" s="173"/>
    </row>
    <row r="44" spans="1:15" s="173" customFormat="1" ht="44.25" customHeight="1" x14ac:dyDescent="0.25">
      <c r="A44" s="134" t="s">
        <v>220</v>
      </c>
      <c r="B44" s="167">
        <v>9859</v>
      </c>
      <c r="C44" s="134" t="s">
        <v>191</v>
      </c>
      <c r="D44" s="134">
        <f>SUMIF('[1]2°Q 12 V1 CAMPO'!$D$18:$D$113,C44,'[1]2°Q 12 V1 CAMPO'!$T$18:$T$113)</f>
        <v>5</v>
      </c>
      <c r="E44" s="134">
        <f>SUMIF('[1]2°Q 12 V1 CAMPO'!$D$18:$D$113,C44,'[1]2°Q 12 V1 CAMPO'!$W$18:$X$113)</f>
        <v>0</v>
      </c>
      <c r="F44" s="168">
        <f>SUMIF('[1]2°Q 12 V2 CAMPO'!$D$18:$D$113,C44,'[1]2°Q 12 V2 CAMPO'!$AA$18:$AA$113)</f>
        <v>15</v>
      </c>
      <c r="G44" s="169">
        <f>SUMIF('[1]2°Q 12 V2 CAMPO'!$D$18:$D$113,C44,'[1]2°Q 12 V2 CAMPO'!$AI$18:$AI$114)</f>
        <v>1.125</v>
      </c>
      <c r="H44" s="169">
        <f>VLOOKUP(B44,'1°Q 01 V1 CAMPO'!B55:DB147,105,FALSE)</f>
        <v>520290.66816143994</v>
      </c>
      <c r="I44" s="170">
        <f>VLOOKUP(B44,'1°Q 01 V2 CAMPO'!B55:DB147,105,FALSE)</f>
        <v>260145.33408071997</v>
      </c>
      <c r="J44" s="171">
        <f t="shared" si="1"/>
        <v>780436.00224215991</v>
      </c>
      <c r="K44" s="171">
        <v>0</v>
      </c>
      <c r="L44" s="171">
        <f t="shared" si="2"/>
        <v>780000</v>
      </c>
      <c r="M44" s="172" t="s">
        <v>221</v>
      </c>
      <c r="N44" s="118"/>
    </row>
    <row r="45" spans="1:15" s="173" customFormat="1" ht="44.25" customHeight="1" x14ac:dyDescent="0.25">
      <c r="A45" s="134" t="s">
        <v>220</v>
      </c>
      <c r="B45" s="167">
        <v>9683</v>
      </c>
      <c r="C45" s="134" t="s">
        <v>127</v>
      </c>
      <c r="D45" s="134">
        <v>25</v>
      </c>
      <c r="E45" s="134">
        <f>SUMIF('[1]2°Q 12 V1 CAMPO'!$D$18:$D$113,C45,'[1]2°Q 12 V1 CAMPO'!$W$18:$X$113)</f>
        <v>0</v>
      </c>
      <c r="F45" s="168">
        <f>SUMIF('[1]2°Q 12 V2 CAMPO'!$D$18:$D$113,C45,'[1]2°Q 12 V2 CAMPO'!$AA$18:$AA$113)</f>
        <v>0</v>
      </c>
      <c r="G45" s="169">
        <f>SUMIF('[1]2°Q 12 V2 CAMPO'!$D$18:$D$113,C45,'[1]2°Q 12 V2 CAMPO'!$AI$18:$AI$114)</f>
        <v>0</v>
      </c>
      <c r="H45" s="169">
        <f>VLOOKUP(B45,'1°Q 01 V1 CAMPO'!B56:DB148,105,FALSE)</f>
        <v>562497.14810601214</v>
      </c>
      <c r="I45" s="170">
        <f>VLOOKUP(B45,'1°Q 01 V2 CAMPO'!B56:DB148,105,FALSE)</f>
        <v>0</v>
      </c>
      <c r="J45" s="171">
        <f t="shared" si="1"/>
        <v>562497.14810601214</v>
      </c>
      <c r="K45" s="171">
        <v>140624.28702650304</v>
      </c>
      <c r="L45" s="171">
        <f t="shared" si="2"/>
        <v>562000</v>
      </c>
      <c r="M45" s="172" t="s">
        <v>221</v>
      </c>
      <c r="N45" s="118"/>
    </row>
    <row r="46" spans="1:15" ht="44.25" hidden="1" customHeight="1" x14ac:dyDescent="0.25">
      <c r="A46" s="180" t="s">
        <v>220</v>
      </c>
      <c r="B46" s="181">
        <v>9684</v>
      </c>
      <c r="C46" s="180" t="s">
        <v>128</v>
      </c>
      <c r="D46" s="180">
        <f>SUMIF('[1]2°Q 12 V1 CAMPO'!$D$18:$D$113,C46,'[1]2°Q 12 V1 CAMPO'!$T$18:$T$113)</f>
        <v>0</v>
      </c>
      <c r="E46" s="180">
        <f>SUMIF('[1]2°Q 12 V1 CAMPO'!$D$18:$D$113,C46,'[1]2°Q 12 V1 CAMPO'!$W$18:$X$113)</f>
        <v>0</v>
      </c>
      <c r="F46" s="182">
        <f>SUMIF('[1]2°Q 12 V2 CAMPO'!$D$18:$D$113,C46,'[1]2°Q 12 V2 CAMPO'!$AA$18:$AA$113)</f>
        <v>0</v>
      </c>
      <c r="G46" s="175">
        <f>SUMIF('[1]2°Q 12 V2 CAMPO'!$D$18:$D$113,C46,'[1]2°Q 12 V2 CAMPO'!$AI$18:$AI$114)</f>
        <v>0</v>
      </c>
      <c r="H46" s="169">
        <f>VLOOKUP(B46,'1°Q 01 V1 CAMPO'!B57:DB149,105,FALSE)</f>
        <v>0</v>
      </c>
      <c r="I46" s="170">
        <f>VLOOKUP(B46,'1°Q 01 V2 CAMPO'!B57:DB149,105,FALSE)</f>
        <v>0</v>
      </c>
      <c r="J46" s="176">
        <f t="shared" si="1"/>
        <v>0</v>
      </c>
      <c r="K46" s="171">
        <v>0</v>
      </c>
      <c r="L46" s="176">
        <f t="shared" si="2"/>
        <v>0</v>
      </c>
      <c r="M46" s="172" t="s">
        <v>221</v>
      </c>
      <c r="N46" s="117"/>
      <c r="O46" s="173"/>
    </row>
    <row r="47" spans="1:15" s="173" customFormat="1" ht="44.25" customHeight="1" x14ac:dyDescent="0.25">
      <c r="A47" s="134" t="s">
        <v>220</v>
      </c>
      <c r="B47" s="167">
        <v>9751</v>
      </c>
      <c r="C47" s="134" t="s">
        <v>166</v>
      </c>
      <c r="D47" s="134">
        <f>SUMIF('[1]2°Q 12 V1 CAMPO'!$D$18:$D$113,C47,'[1]2°Q 12 V1 CAMPO'!$T$18:$T$113)</f>
        <v>12</v>
      </c>
      <c r="E47" s="134">
        <f>SUMIF('[1]2°Q 12 V1 CAMPO'!$D$18:$D$113,C47,'[1]2°Q 12 V1 CAMPO'!$W$18:$X$113)</f>
        <v>1</v>
      </c>
      <c r="F47" s="168">
        <f>SUMIF('[1]2°Q 12 V2 CAMPO'!$D$18:$D$113,C47,'[1]2°Q 12 V2 CAMPO'!$AA$18:$AA$113)</f>
        <v>15</v>
      </c>
      <c r="G47" s="169">
        <f>SUMIF('[1]2°Q 12 V2 CAMPO'!$D$18:$D$113,C47,'[1]2°Q 12 V2 CAMPO'!$AI$18:$AI$114)</f>
        <v>2.9375</v>
      </c>
      <c r="H47" s="169">
        <f>VLOOKUP(B47,'1°Q 01 V1 CAMPO'!B58:DB150,105,FALSE)</f>
        <v>618773.67429875711</v>
      </c>
      <c r="I47" s="170">
        <f>VLOOKUP(B47,'1°Q 01 V2 CAMPO'!B58:DB150,105,FALSE)</f>
        <v>371387.72607551998</v>
      </c>
      <c r="J47" s="171">
        <f t="shared" si="1"/>
        <v>990161.40037427703</v>
      </c>
      <c r="K47" s="171">
        <v>0</v>
      </c>
      <c r="L47" s="171">
        <f t="shared" si="2"/>
        <v>990000</v>
      </c>
      <c r="M47" s="172" t="s">
        <v>221</v>
      </c>
      <c r="N47" s="118"/>
    </row>
    <row r="48" spans="1:15" s="173" customFormat="1" ht="44.25" hidden="1" customHeight="1" x14ac:dyDescent="0.25">
      <c r="A48" s="134" t="s">
        <v>220</v>
      </c>
      <c r="B48" s="167">
        <v>9814</v>
      </c>
      <c r="C48" s="134" t="s">
        <v>176</v>
      </c>
      <c r="D48" s="134">
        <f>SUMIF('[1]2°Q 12 V1 CAMPO'!$D$18:$D$113,C48,'[1]2°Q 12 V1 CAMPO'!$T$18:$T$113)</f>
        <v>0</v>
      </c>
      <c r="E48" s="134">
        <f>SUMIF('[1]2°Q 12 V1 CAMPO'!$D$18:$D$113,C48,'[1]2°Q 12 V1 CAMPO'!$W$18:$X$113)</f>
        <v>0</v>
      </c>
      <c r="F48" s="168">
        <f>SUMIF('[1]2°Q 12 V2 CAMPO'!$D$18:$D$113,C48,'[1]2°Q 12 V2 CAMPO'!$AA$18:$AA$113)</f>
        <v>0</v>
      </c>
      <c r="G48" s="169">
        <f>SUMIF('[1]2°Q 12 V2 CAMPO'!$D$18:$D$113,C48,'[1]2°Q 12 V2 CAMPO'!$AI$18:$AI$114)</f>
        <v>0</v>
      </c>
      <c r="H48" s="169">
        <f>VLOOKUP(B48,'1°Q 01 V1 CAMPO'!B59:DB151,105,FALSE)</f>
        <v>0</v>
      </c>
      <c r="I48" s="170">
        <f>VLOOKUP(B48,'1°Q 01 V2 CAMPO'!B59:DB151,105,FALSE)</f>
        <v>0</v>
      </c>
      <c r="J48" s="171">
        <f t="shared" si="1"/>
        <v>0</v>
      </c>
      <c r="K48" s="171">
        <v>0</v>
      </c>
      <c r="L48" s="171">
        <f t="shared" si="2"/>
        <v>0</v>
      </c>
      <c r="M48" s="172" t="s">
        <v>221</v>
      </c>
      <c r="N48" s="118"/>
    </row>
    <row r="49" spans="1:15" ht="44.25" hidden="1" customHeight="1" x14ac:dyDescent="0.25">
      <c r="A49" s="180" t="s">
        <v>220</v>
      </c>
      <c r="B49" s="181">
        <v>9687</v>
      </c>
      <c r="C49" s="180" t="s">
        <v>129</v>
      </c>
      <c r="D49" s="180">
        <f>SUMIF('[1]2°Q 12 V1 CAMPO'!$D$18:$D$113,C49,'[1]2°Q 12 V1 CAMPO'!$T$18:$T$113)</f>
        <v>0</v>
      </c>
      <c r="E49" s="180">
        <f>SUMIF('[1]2°Q 12 V1 CAMPO'!$D$18:$D$113,C49,'[1]2°Q 12 V1 CAMPO'!$W$18:$X$113)</f>
        <v>0</v>
      </c>
      <c r="F49" s="182">
        <f>SUMIF('[1]2°Q 12 V2 CAMPO'!$D$18:$D$113,C49,'[1]2°Q 12 V2 CAMPO'!$AA$18:$AA$113)</f>
        <v>0</v>
      </c>
      <c r="G49" s="175">
        <f>SUMIF('[1]2°Q 12 V2 CAMPO'!$D$18:$D$113,C49,'[1]2°Q 12 V2 CAMPO'!$AI$18:$AI$114)</f>
        <v>0</v>
      </c>
      <c r="H49" s="169">
        <f>VLOOKUP(B49,'1°Q 01 V1 CAMPO'!B60:DB152,105,FALSE)</f>
        <v>0</v>
      </c>
      <c r="I49" s="170">
        <f>VLOOKUP(B49,'1°Q 01 V2 CAMPO'!B60:DB152,105,FALSE)</f>
        <v>0</v>
      </c>
      <c r="J49" s="176">
        <f t="shared" si="1"/>
        <v>0</v>
      </c>
      <c r="K49" s="171">
        <v>0</v>
      </c>
      <c r="L49" s="176">
        <f t="shared" si="2"/>
        <v>0</v>
      </c>
      <c r="M49" s="172" t="s">
        <v>221</v>
      </c>
      <c r="N49" s="117"/>
      <c r="O49" s="173"/>
    </row>
    <row r="50" spans="1:15" s="173" customFormat="1" ht="44.25" customHeight="1" x14ac:dyDescent="0.25">
      <c r="A50" s="134" t="s">
        <v>220</v>
      </c>
      <c r="B50" s="167">
        <v>9827</v>
      </c>
      <c r="C50" s="134" t="s">
        <v>177</v>
      </c>
      <c r="D50" s="134">
        <f>SUMIF('[1]2°Q 12 V1 CAMPO'!$D$18:$D$113,C50,'[1]2°Q 12 V1 CAMPO'!$T$18:$T$113)</f>
        <v>8.5</v>
      </c>
      <c r="E50" s="134">
        <f>SUMIF('[1]2°Q 12 V1 CAMPO'!$D$18:$D$113,C50,'[1]2°Q 12 V1 CAMPO'!$W$18:$X$113)</f>
        <v>1</v>
      </c>
      <c r="F50" s="168">
        <f>SUMIF('[1]2°Q 12 V2 CAMPO'!$D$18:$D$113,C50,'[1]2°Q 12 V2 CAMPO'!$AA$18:$AA$113)</f>
        <v>0</v>
      </c>
      <c r="G50" s="169">
        <f>SUMIF('[1]2°Q 12 V2 CAMPO'!$D$18:$D$113,C50,'[1]2°Q 12 V2 CAMPO'!$AI$18:$AI$114)</f>
        <v>0</v>
      </c>
      <c r="H50" s="169">
        <f>VLOOKUP(B50,'1°Q 01 V1 CAMPO'!B61:DB153,105,FALSE)</f>
        <v>578127.56069375994</v>
      </c>
      <c r="I50" s="170">
        <f>VLOOKUP(B50,'1°Q 01 V2 CAMPO'!B61:DB153,105,FALSE)</f>
        <v>650393.50578047999</v>
      </c>
      <c r="J50" s="171">
        <f t="shared" si="1"/>
        <v>1228521.0664742398</v>
      </c>
      <c r="K50" s="171">
        <v>0</v>
      </c>
      <c r="L50" s="171">
        <f t="shared" si="2"/>
        <v>1229000</v>
      </c>
      <c r="M50" s="172" t="s">
        <v>221</v>
      </c>
      <c r="N50" s="118"/>
    </row>
    <row r="51" spans="1:15" ht="44.25" hidden="1" customHeight="1" x14ac:dyDescent="0.25">
      <c r="A51" s="180" t="s">
        <v>220</v>
      </c>
      <c r="B51" s="181">
        <v>9688</v>
      </c>
      <c r="C51" s="180" t="s">
        <v>130</v>
      </c>
      <c r="D51" s="180">
        <f>SUMIF('[1]2°Q 12 V1 CAMPO'!$D$18:$D$113,C51,'[1]2°Q 12 V1 CAMPO'!$T$18:$T$113)</f>
        <v>0</v>
      </c>
      <c r="E51" s="180">
        <f>SUMIF('[1]2°Q 12 V1 CAMPO'!$D$18:$D$113,C51,'[1]2°Q 12 V1 CAMPO'!$W$18:$X$113)</f>
        <v>0</v>
      </c>
      <c r="F51" s="182">
        <f>SUMIF('[1]2°Q 12 V2 CAMPO'!$D$18:$D$113,C51,'[1]2°Q 12 V2 CAMPO'!$AA$18:$AA$113)</f>
        <v>0</v>
      </c>
      <c r="G51" s="175">
        <f>SUMIF('[1]2°Q 12 V2 CAMPO'!$D$18:$D$113,C51,'[1]2°Q 12 V2 CAMPO'!$AI$18:$AI$114)</f>
        <v>0</v>
      </c>
      <c r="H51" s="169">
        <f>VLOOKUP(B51,'1°Q 01 V1 CAMPO'!B62:DB154,105,FALSE)</f>
        <v>0</v>
      </c>
      <c r="I51" s="170">
        <f>VLOOKUP(B51,'1°Q 01 V2 CAMPO'!B62:DB154,105,FALSE)</f>
        <v>0</v>
      </c>
      <c r="J51" s="176">
        <f t="shared" si="1"/>
        <v>0</v>
      </c>
      <c r="K51" s="171">
        <v>0</v>
      </c>
      <c r="L51" s="176">
        <f t="shared" si="2"/>
        <v>0</v>
      </c>
      <c r="M51" s="172" t="s">
        <v>221</v>
      </c>
      <c r="N51" s="117"/>
      <c r="O51" s="173"/>
    </row>
    <row r="52" spans="1:15" ht="44.25" hidden="1" customHeight="1" x14ac:dyDescent="0.25">
      <c r="A52" s="180" t="s">
        <v>220</v>
      </c>
      <c r="B52" s="181">
        <v>9744</v>
      </c>
      <c r="C52" s="180" t="s">
        <v>160</v>
      </c>
      <c r="D52" s="180">
        <f>SUMIF('[1]2°Q 12 V1 CAMPO'!$D$18:$D$113,C52,'[1]2°Q 12 V1 CAMPO'!$T$18:$T$113)</f>
        <v>0</v>
      </c>
      <c r="E52" s="180">
        <f>SUMIF('[1]2°Q 12 V1 CAMPO'!$D$18:$D$113,C52,'[1]2°Q 12 V1 CAMPO'!$W$18:$X$113)</f>
        <v>0</v>
      </c>
      <c r="F52" s="182">
        <f>SUMIF('[1]2°Q 12 V2 CAMPO'!$D$18:$D$113,C52,'[1]2°Q 12 V2 CAMPO'!$AA$18:$AA$113)</f>
        <v>0</v>
      </c>
      <c r="G52" s="175">
        <f>SUMIF('[1]2°Q 12 V2 CAMPO'!$D$18:$D$113,C52,'[1]2°Q 12 V2 CAMPO'!$AI$18:$AI$114)</f>
        <v>0</v>
      </c>
      <c r="H52" s="169">
        <f>VLOOKUP(B52,'1°Q 01 V1 CAMPO'!B63:DB155,105,FALSE)</f>
        <v>0</v>
      </c>
      <c r="I52" s="170">
        <f>VLOOKUP(B52,'1°Q 01 V2 CAMPO'!B63:DB155,105,FALSE)</f>
        <v>0</v>
      </c>
      <c r="J52" s="176">
        <f t="shared" si="1"/>
        <v>0</v>
      </c>
      <c r="K52" s="171">
        <v>0</v>
      </c>
      <c r="L52" s="176">
        <f t="shared" si="2"/>
        <v>0</v>
      </c>
      <c r="M52" s="172" t="s">
        <v>221</v>
      </c>
      <c r="N52" s="117"/>
      <c r="O52" s="173"/>
    </row>
    <row r="53" spans="1:15" ht="44.25" hidden="1" customHeight="1" x14ac:dyDescent="0.25">
      <c r="A53" s="180" t="s">
        <v>220</v>
      </c>
      <c r="B53" s="181">
        <v>9691</v>
      </c>
      <c r="C53" s="180" t="s">
        <v>131</v>
      </c>
      <c r="D53" s="180">
        <f>SUMIF('[1]2°Q 12 V1 CAMPO'!$D$18:$D$113,C53,'[1]2°Q 12 V1 CAMPO'!$T$18:$T$113)</f>
        <v>0</v>
      </c>
      <c r="E53" s="180">
        <f>SUMIF('[1]2°Q 12 V1 CAMPO'!$D$18:$D$113,C53,'[1]2°Q 12 V1 CAMPO'!$W$18:$X$113)</f>
        <v>0</v>
      </c>
      <c r="F53" s="182">
        <f>SUMIF('[1]2°Q 12 V2 CAMPO'!$D$18:$D$113,C53,'[1]2°Q 12 V2 CAMPO'!$AA$18:$AA$113)</f>
        <v>0</v>
      </c>
      <c r="G53" s="175">
        <f>SUMIF('[1]2°Q 12 V2 CAMPO'!$D$18:$D$113,C53,'[1]2°Q 12 V2 CAMPO'!$AI$18:$AI$114)</f>
        <v>0</v>
      </c>
      <c r="H53" s="169">
        <f>VLOOKUP(B53,'1°Q 01 V1 CAMPO'!B64:DB156,105,FALSE)</f>
        <v>0</v>
      </c>
      <c r="I53" s="170">
        <f>VLOOKUP(B53,'1°Q 01 V2 CAMPO'!B64:DB156,105,FALSE)</f>
        <v>0</v>
      </c>
      <c r="J53" s="176">
        <f t="shared" si="1"/>
        <v>0</v>
      </c>
      <c r="K53" s="171">
        <v>0</v>
      </c>
      <c r="L53" s="176">
        <f t="shared" si="2"/>
        <v>0</v>
      </c>
      <c r="M53" s="172" t="s">
        <v>221</v>
      </c>
      <c r="N53" s="117"/>
      <c r="O53" s="173"/>
    </row>
    <row r="54" spans="1:15" ht="44.25" hidden="1" customHeight="1" x14ac:dyDescent="0.25">
      <c r="A54" s="180" t="s">
        <v>220</v>
      </c>
      <c r="B54" s="181">
        <v>9693</v>
      </c>
      <c r="C54" s="180" t="s">
        <v>132</v>
      </c>
      <c r="D54" s="180">
        <f>SUMIF('[1]2°Q 12 V1 CAMPO'!$D$18:$D$113,C54,'[1]2°Q 12 V1 CAMPO'!$T$18:$T$113)</f>
        <v>3</v>
      </c>
      <c r="E54" s="180">
        <f>SUMIF('[1]2°Q 12 V1 CAMPO'!$D$18:$D$113,C54,'[1]2°Q 12 V1 CAMPO'!$W$18:$X$113)</f>
        <v>0</v>
      </c>
      <c r="F54" s="182">
        <f>SUMIF('[1]2°Q 12 V2 CAMPO'!$D$18:$D$113,C54,'[1]2°Q 12 V2 CAMPO'!$AA$18:$AA$113)</f>
        <v>0</v>
      </c>
      <c r="G54" s="175">
        <f>SUMIF('[1]2°Q 12 V2 CAMPO'!$D$18:$D$113,C54,'[1]2°Q 12 V2 CAMPO'!$AI$18:$AI$114)</f>
        <v>0</v>
      </c>
      <c r="H54" s="169">
        <f>VLOOKUP(B54,'1°Q 01 V1 CAMPO'!B65:DB157,105,FALSE)</f>
        <v>0</v>
      </c>
      <c r="I54" s="170">
        <f>VLOOKUP(B54,'1°Q 01 V2 CAMPO'!B65:DB157,105,FALSE)</f>
        <v>0</v>
      </c>
      <c r="J54" s="176">
        <f t="shared" si="1"/>
        <v>0</v>
      </c>
      <c r="K54" s="171">
        <v>0</v>
      </c>
      <c r="L54" s="176">
        <f t="shared" si="2"/>
        <v>0</v>
      </c>
      <c r="M54" s="172" t="s">
        <v>221</v>
      </c>
      <c r="N54" s="117"/>
      <c r="O54" s="173"/>
    </row>
    <row r="55" spans="1:15" ht="44.25" hidden="1" customHeight="1" x14ac:dyDescent="0.25">
      <c r="A55" s="180" t="s">
        <v>220</v>
      </c>
      <c r="B55" s="181">
        <v>9694</v>
      </c>
      <c r="C55" s="180" t="s">
        <v>133</v>
      </c>
      <c r="D55" s="180">
        <f>SUMIF('[1]2°Q 12 V1 CAMPO'!$D$18:$D$113,C55,'[1]2°Q 12 V1 CAMPO'!$T$18:$T$113)</f>
        <v>0</v>
      </c>
      <c r="E55" s="180">
        <f>SUMIF('[1]2°Q 12 V1 CAMPO'!$D$18:$D$113,C55,'[1]2°Q 12 V1 CAMPO'!$W$18:$X$113)</f>
        <v>0</v>
      </c>
      <c r="F55" s="182">
        <f>SUMIF('[1]2°Q 12 V2 CAMPO'!$D$18:$D$113,C55,'[1]2°Q 12 V2 CAMPO'!$AA$18:$AA$113)</f>
        <v>0</v>
      </c>
      <c r="G55" s="175">
        <f>SUMIF('[1]2°Q 12 V2 CAMPO'!$D$18:$D$113,C55,'[1]2°Q 12 V2 CAMPO'!$AI$18:$AI$114)</f>
        <v>0</v>
      </c>
      <c r="H55" s="169">
        <f>VLOOKUP(B55,'1°Q 01 V1 CAMPO'!B66:DB158,105,FALSE)</f>
        <v>0</v>
      </c>
      <c r="I55" s="170">
        <f>VLOOKUP(B55,'1°Q 01 V2 CAMPO'!B66:DB158,105,FALSE)</f>
        <v>0</v>
      </c>
      <c r="J55" s="176">
        <f t="shared" si="1"/>
        <v>0</v>
      </c>
      <c r="K55" s="171">
        <v>0</v>
      </c>
      <c r="L55" s="176">
        <f t="shared" si="2"/>
        <v>0</v>
      </c>
      <c r="M55" s="172" t="s">
        <v>221</v>
      </c>
      <c r="N55" s="117"/>
      <c r="O55" s="173"/>
    </row>
    <row r="56" spans="1:15" ht="44.25" hidden="1" customHeight="1" x14ac:dyDescent="0.25">
      <c r="A56" s="180" t="s">
        <v>220</v>
      </c>
      <c r="B56" s="181">
        <v>9695</v>
      </c>
      <c r="C56" s="180" t="s">
        <v>134</v>
      </c>
      <c r="D56" s="180">
        <f>SUMIF('[1]2°Q 12 V1 CAMPO'!$D$18:$D$113,C56,'[1]2°Q 12 V1 CAMPO'!$T$18:$T$113)</f>
        <v>0</v>
      </c>
      <c r="E56" s="180">
        <f>SUMIF('[1]2°Q 12 V1 CAMPO'!$D$18:$D$113,C56,'[1]2°Q 12 V1 CAMPO'!$W$18:$X$113)</f>
        <v>0</v>
      </c>
      <c r="F56" s="182">
        <f>SUMIF('[1]2°Q 12 V2 CAMPO'!$D$18:$D$113,C56,'[1]2°Q 12 V2 CAMPO'!$AA$18:$AA$113)</f>
        <v>0</v>
      </c>
      <c r="G56" s="175">
        <f>SUMIF('[1]2°Q 12 V2 CAMPO'!$D$18:$D$113,C56,'[1]2°Q 12 V2 CAMPO'!$AI$18:$AI$114)</f>
        <v>0</v>
      </c>
      <c r="H56" s="169">
        <f>VLOOKUP(B56,'1°Q 01 V1 CAMPO'!B67:DB159,105,FALSE)</f>
        <v>0</v>
      </c>
      <c r="I56" s="170">
        <f>VLOOKUP(B56,'1°Q 01 V2 CAMPO'!B67:DB159,105,FALSE)</f>
        <v>0</v>
      </c>
      <c r="J56" s="176">
        <f t="shared" si="1"/>
        <v>0</v>
      </c>
      <c r="K56" s="171">
        <v>0</v>
      </c>
      <c r="L56" s="176">
        <f t="shared" si="2"/>
        <v>0</v>
      </c>
      <c r="M56" s="172" t="s">
        <v>221</v>
      </c>
      <c r="N56" s="117"/>
      <c r="O56" s="173"/>
    </row>
    <row r="57" spans="1:15" ht="44.25" hidden="1" customHeight="1" x14ac:dyDescent="0.25">
      <c r="A57" s="180" t="s">
        <v>220</v>
      </c>
      <c r="B57" s="181">
        <v>9696</v>
      </c>
      <c r="C57" s="180" t="s">
        <v>135</v>
      </c>
      <c r="D57" s="180">
        <f>SUMIF('[1]2°Q 12 V1 CAMPO'!$D$18:$D$113,C57,'[1]2°Q 12 V1 CAMPO'!$T$18:$T$113)</f>
        <v>0</v>
      </c>
      <c r="E57" s="180">
        <f>SUMIF('[1]2°Q 12 V1 CAMPO'!$D$18:$D$113,C57,'[1]2°Q 12 V1 CAMPO'!$W$18:$X$113)</f>
        <v>0</v>
      </c>
      <c r="F57" s="182">
        <f>SUMIF('[1]2°Q 12 V2 CAMPO'!$D$18:$D$113,C57,'[1]2°Q 12 V2 CAMPO'!$AA$18:$AA$113)</f>
        <v>0</v>
      </c>
      <c r="G57" s="175">
        <f>SUMIF('[1]2°Q 12 V2 CAMPO'!$D$18:$D$113,C57,'[1]2°Q 12 V2 CAMPO'!$AI$18:$AI$114)</f>
        <v>0</v>
      </c>
      <c r="H57" s="169">
        <f>VLOOKUP(B57,'1°Q 01 V1 CAMPO'!B68:DB160,105,FALSE)</f>
        <v>0</v>
      </c>
      <c r="I57" s="170">
        <f>VLOOKUP(B57,'1°Q 01 V2 CAMPO'!B68:DB160,105,FALSE)</f>
        <v>0</v>
      </c>
      <c r="J57" s="176">
        <f t="shared" si="1"/>
        <v>0</v>
      </c>
      <c r="K57" s="171">
        <v>0</v>
      </c>
      <c r="L57" s="176">
        <f t="shared" si="2"/>
        <v>0</v>
      </c>
      <c r="M57" s="172" t="s">
        <v>221</v>
      </c>
      <c r="N57" s="117"/>
      <c r="O57" s="173"/>
    </row>
    <row r="58" spans="1:15" ht="44.25" hidden="1" customHeight="1" x14ac:dyDescent="0.25">
      <c r="A58" s="180" t="s">
        <v>220</v>
      </c>
      <c r="B58" s="181">
        <v>9858</v>
      </c>
      <c r="C58" s="180" t="s">
        <v>190</v>
      </c>
      <c r="D58" s="180">
        <f>SUMIF('[1]2°Q 12 V1 CAMPO'!$D$18:$D$113,C58,'[1]2°Q 12 V1 CAMPO'!$T$18:$T$113)</f>
        <v>0</v>
      </c>
      <c r="E58" s="180">
        <f>SUMIF('[1]2°Q 12 V1 CAMPO'!$D$18:$D$113,C58,'[1]2°Q 12 V1 CAMPO'!$W$18:$X$113)</f>
        <v>0</v>
      </c>
      <c r="F58" s="182">
        <f>SUMIF('[1]2°Q 12 V2 CAMPO'!$D$18:$D$113,C58,'[1]2°Q 12 V2 CAMPO'!$AA$18:$AA$113)</f>
        <v>0</v>
      </c>
      <c r="G58" s="175">
        <f>SUMIF('[1]2°Q 12 V2 CAMPO'!$D$18:$D$113,C58,'[1]2°Q 12 V2 CAMPO'!$AI$18:$AI$114)</f>
        <v>0</v>
      </c>
      <c r="H58" s="169">
        <f>VLOOKUP(B58,'1°Q 01 V1 CAMPO'!B69:DB161,105,FALSE)</f>
        <v>0</v>
      </c>
      <c r="I58" s="170">
        <f>VLOOKUP(B58,'1°Q 01 V2 CAMPO'!B69:DB161,105,FALSE)</f>
        <v>0</v>
      </c>
      <c r="J58" s="176">
        <f t="shared" si="1"/>
        <v>0</v>
      </c>
      <c r="K58" s="171">
        <v>0</v>
      </c>
      <c r="L58" s="176">
        <f t="shared" si="2"/>
        <v>0</v>
      </c>
      <c r="M58" s="172" t="s">
        <v>221</v>
      </c>
      <c r="N58" s="117"/>
      <c r="O58" s="173"/>
    </row>
    <row r="59" spans="1:15" s="173" customFormat="1" ht="44.25" customHeight="1" x14ac:dyDescent="0.25">
      <c r="A59" s="134" t="s">
        <v>220</v>
      </c>
      <c r="B59" s="167">
        <v>9697</v>
      </c>
      <c r="C59" s="134" t="s">
        <v>136</v>
      </c>
      <c r="D59" s="134">
        <f>SUMIF('[1]2°Q 12 V1 CAMPO'!$D$18:$D$113,C59,'[1]2°Q 12 V1 CAMPO'!$T$18:$T$113)</f>
        <v>14</v>
      </c>
      <c r="E59" s="134">
        <v>1</v>
      </c>
      <c r="F59" s="168">
        <f>SUMIF('[1]2°Q 12 V2 CAMPO'!$D$18:$D$113,C59,'[1]2°Q 12 V2 CAMPO'!$AA$18:$AA$113)</f>
        <v>15</v>
      </c>
      <c r="G59" s="169">
        <f>SUMIF('[1]2°Q 12 V2 CAMPO'!$D$18:$D$113,C59,'[1]2°Q 12 V2 CAMPO'!$AI$18:$AI$114)</f>
        <v>7.625</v>
      </c>
      <c r="H59" s="169">
        <f>VLOOKUP(B59,'1°Q 01 V1 CAMPO'!B70:DB162,105,FALSE)</f>
        <v>539714.85310613352</v>
      </c>
      <c r="I59" s="170">
        <f>VLOOKUP(B59,'1°Q 01 V2 CAMPO'!B70:DB162,105,FALSE)</f>
        <v>411896.77896113991</v>
      </c>
      <c r="J59" s="171">
        <f t="shared" si="1"/>
        <v>951611.63206727337</v>
      </c>
      <c r="K59" s="171">
        <v>144640.80574888029</v>
      </c>
      <c r="L59" s="171">
        <f t="shared" si="2"/>
        <v>952000</v>
      </c>
      <c r="M59" s="172" t="s">
        <v>221</v>
      </c>
      <c r="N59" s="118"/>
    </row>
    <row r="60" spans="1:15" ht="44.25" hidden="1" customHeight="1" x14ac:dyDescent="0.25">
      <c r="A60" s="180" t="s">
        <v>220</v>
      </c>
      <c r="B60" s="181">
        <v>9855</v>
      </c>
      <c r="C60" s="180" t="s">
        <v>187</v>
      </c>
      <c r="D60" s="180">
        <f>SUMIF('[1]2°Q 12 V1 CAMPO'!$D$18:$D$113,C60,'[1]2°Q 12 V1 CAMPO'!$T$18:$T$113)</f>
        <v>0</v>
      </c>
      <c r="E60" s="180">
        <f>SUMIF('[1]2°Q 12 V1 CAMPO'!$D$18:$D$113,C60,'[1]2°Q 12 V1 CAMPO'!$W$18:$X$113)</f>
        <v>0</v>
      </c>
      <c r="F60" s="182">
        <f>SUMIF('[1]2°Q 12 V2 CAMPO'!$D$18:$D$113,C60,'[1]2°Q 12 V2 CAMPO'!$AA$18:$AA$113)</f>
        <v>0</v>
      </c>
      <c r="G60" s="175">
        <f>SUMIF('[1]2°Q 12 V2 CAMPO'!$D$18:$D$113,C60,'[1]2°Q 12 V2 CAMPO'!$AI$18:$AI$114)</f>
        <v>0</v>
      </c>
      <c r="H60" s="169">
        <f>VLOOKUP(B60,'1°Q 01 V1 CAMPO'!B71:DB163,105,FALSE)</f>
        <v>0</v>
      </c>
      <c r="I60" s="170">
        <f>VLOOKUP(B60,'1°Q 01 V2 CAMPO'!B71:DB163,105,FALSE)</f>
        <v>0</v>
      </c>
      <c r="J60" s="176">
        <f t="shared" si="1"/>
        <v>0</v>
      </c>
      <c r="K60" s="171">
        <v>0</v>
      </c>
      <c r="L60" s="176">
        <f t="shared" si="2"/>
        <v>0</v>
      </c>
      <c r="M60" s="172" t="s">
        <v>221</v>
      </c>
      <c r="N60" s="117"/>
      <c r="O60" s="173"/>
    </row>
    <row r="61" spans="1:15" ht="44.25" hidden="1" customHeight="1" x14ac:dyDescent="0.25">
      <c r="A61" s="180" t="s">
        <v>220</v>
      </c>
      <c r="B61" s="181">
        <v>9698</v>
      </c>
      <c r="C61" s="180" t="s">
        <v>137</v>
      </c>
      <c r="D61" s="180">
        <f>SUMIF('[1]2°Q 12 V1 CAMPO'!$D$18:$D$113,C61,'[1]2°Q 12 V1 CAMPO'!$T$18:$T$113)</f>
        <v>0</v>
      </c>
      <c r="E61" s="180">
        <f>SUMIF('[1]2°Q 12 V1 CAMPO'!$D$18:$D$113,C61,'[1]2°Q 12 V1 CAMPO'!$W$18:$X$113)</f>
        <v>0</v>
      </c>
      <c r="F61" s="182">
        <f>SUMIF('[1]2°Q 12 V2 CAMPO'!$D$18:$D$113,C61,'[1]2°Q 12 V2 CAMPO'!$AA$18:$AA$113)</f>
        <v>0</v>
      </c>
      <c r="G61" s="175">
        <f>SUMIF('[1]2°Q 12 V2 CAMPO'!$D$18:$D$113,C61,'[1]2°Q 12 V2 CAMPO'!$AI$18:$AI$114)</f>
        <v>0</v>
      </c>
      <c r="H61" s="169">
        <f>VLOOKUP(B61,'1°Q 01 V1 CAMPO'!B72:DB164,105,FALSE)</f>
        <v>0</v>
      </c>
      <c r="I61" s="170">
        <f>VLOOKUP(B61,'1°Q 01 V2 CAMPO'!B72:DB164,105,FALSE)</f>
        <v>0</v>
      </c>
      <c r="J61" s="176">
        <f t="shared" si="1"/>
        <v>0</v>
      </c>
      <c r="K61" s="171">
        <v>0</v>
      </c>
      <c r="L61" s="176">
        <f t="shared" si="2"/>
        <v>0</v>
      </c>
      <c r="M61" s="172" t="s">
        <v>221</v>
      </c>
      <c r="N61" s="117"/>
      <c r="O61" s="173"/>
    </row>
    <row r="62" spans="1:15" ht="44.25" customHeight="1" x14ac:dyDescent="0.25">
      <c r="A62" s="180" t="s">
        <v>220</v>
      </c>
      <c r="B62" s="181">
        <v>9741</v>
      </c>
      <c r="C62" s="180" t="s">
        <v>157</v>
      </c>
      <c r="D62" s="180">
        <f>SUMIF('[1]2°Q 12 V1 CAMPO'!$D$18:$D$113,C62,'[1]2°Q 12 V1 CAMPO'!$T$18:$T$113)</f>
        <v>0</v>
      </c>
      <c r="E62" s="180">
        <f>SUMIF('[1]2°Q 12 V1 CAMPO'!$D$18:$D$113,C62,'[1]2°Q 12 V1 CAMPO'!$W$18:$X$113)</f>
        <v>0</v>
      </c>
      <c r="F62" s="182">
        <f>SUMIF('[1]2°Q 12 V2 CAMPO'!$D$18:$D$113,C62,'[1]2°Q 12 V2 CAMPO'!$AA$18:$AA$113)</f>
        <v>0</v>
      </c>
      <c r="G62" s="175">
        <f>SUMIF('[1]2°Q 12 V2 CAMPO'!$D$18:$D$113,C62,'[1]2°Q 12 V2 CAMPO'!$AI$18:$AI$114)</f>
        <v>0</v>
      </c>
      <c r="H62" s="169">
        <f>VLOOKUP(B62,'1°Q 01 V1 CAMPO'!B73:DB165,105,FALSE)</f>
        <v>128344.31847401471</v>
      </c>
      <c r="I62" s="170">
        <f>VLOOKUP(B62,'1°Q 01 V2 CAMPO'!B73:DB165,105,FALSE)</f>
        <v>20647.412881919998</v>
      </c>
      <c r="J62" s="176">
        <f t="shared" si="1"/>
        <v>148991.73135593469</v>
      </c>
      <c r="K62" s="171">
        <v>0</v>
      </c>
      <c r="L62" s="176">
        <f t="shared" si="2"/>
        <v>149000</v>
      </c>
      <c r="M62" s="172" t="s">
        <v>221</v>
      </c>
      <c r="N62" s="117"/>
      <c r="O62" s="173"/>
    </row>
    <row r="63" spans="1:15" s="173" customFormat="1" ht="44.25" customHeight="1" x14ac:dyDescent="0.25">
      <c r="A63" s="134" t="s">
        <v>220</v>
      </c>
      <c r="B63" s="167">
        <v>9699</v>
      </c>
      <c r="C63" s="134" t="s">
        <v>138</v>
      </c>
      <c r="D63" s="134">
        <f>SUMIF('[1]2°Q 12 V1 CAMPO'!$D$18:$D$113,C63,'[1]2°Q 12 V1 CAMPO'!$T$18:$T$113)</f>
        <v>13</v>
      </c>
      <c r="E63" s="134">
        <v>1</v>
      </c>
      <c r="F63" s="168">
        <v>15</v>
      </c>
      <c r="G63" s="169">
        <v>1.1299999999999999</v>
      </c>
      <c r="H63" s="169">
        <f>VLOOKUP(B63,'1°Q 01 V1 CAMPO'!B74:DB166,105,FALSE)</f>
        <v>675909.33460503549</v>
      </c>
      <c r="I63" s="170">
        <f>VLOOKUP(B63,'1°Q 01 V2 CAMPO'!B74:DB166,105,FALSE)</f>
        <v>0</v>
      </c>
      <c r="J63" s="171">
        <f t="shared" si="1"/>
        <v>675909.33460503549</v>
      </c>
      <c r="K63" s="171">
        <v>0</v>
      </c>
      <c r="L63" s="171">
        <f t="shared" si="2"/>
        <v>676000</v>
      </c>
      <c r="M63" s="172" t="s">
        <v>221</v>
      </c>
      <c r="N63" s="118"/>
    </row>
    <row r="64" spans="1:15" ht="44.25" hidden="1" customHeight="1" x14ac:dyDescent="0.25">
      <c r="A64" s="180" t="s">
        <v>220</v>
      </c>
      <c r="B64" s="181">
        <v>9753</v>
      </c>
      <c r="C64" s="180" t="s">
        <v>167</v>
      </c>
      <c r="D64" s="180">
        <f>SUMIF('[1]2°Q 12 V1 CAMPO'!$D$18:$D$113,C64,'[1]2°Q 12 V1 CAMPO'!$T$18:$T$113)</f>
        <v>0</v>
      </c>
      <c r="E64" s="180">
        <f>SUMIF('[1]2°Q 12 V1 CAMPO'!$D$18:$D$113,C64,'[1]2°Q 12 V1 CAMPO'!$W$18:$X$113)</f>
        <v>0</v>
      </c>
      <c r="F64" s="182">
        <f>SUMIF('[1]2°Q 12 V2 CAMPO'!$D$18:$D$113,C64,'[1]2°Q 12 V2 CAMPO'!$AA$18:$AA$113)</f>
        <v>0</v>
      </c>
      <c r="G64" s="175">
        <f>SUMIF('[1]2°Q 12 V2 CAMPO'!$D$18:$D$113,C64,'[1]2°Q 12 V2 CAMPO'!$AI$18:$AI$114)</f>
        <v>0</v>
      </c>
      <c r="H64" s="169">
        <f>VLOOKUP(B64,'1°Q 01 V1 CAMPO'!B75:DB167,105,FALSE)</f>
        <v>0</v>
      </c>
      <c r="I64" s="170">
        <f>VLOOKUP(B64,'1°Q 01 V2 CAMPO'!B75:DB167,105,FALSE)</f>
        <v>0</v>
      </c>
      <c r="J64" s="176">
        <f t="shared" si="1"/>
        <v>0</v>
      </c>
      <c r="K64" s="171">
        <v>0</v>
      </c>
      <c r="L64" s="176">
        <f t="shared" si="2"/>
        <v>0</v>
      </c>
      <c r="M64" s="172" t="s">
        <v>221</v>
      </c>
      <c r="N64" s="117"/>
      <c r="O64" s="173"/>
    </row>
    <row r="65" spans="1:15" s="179" customFormat="1" ht="44.25" customHeight="1" x14ac:dyDescent="0.25">
      <c r="A65" s="174" t="s">
        <v>220</v>
      </c>
      <c r="B65" s="167">
        <v>9847</v>
      </c>
      <c r="C65" s="174" t="s">
        <v>183</v>
      </c>
      <c r="D65" s="174">
        <f>SUMIF('[1]2°Q 12 V1 CAMPO'!$D$18:$D$113,C65,'[1]2°Q 12 V1 CAMPO'!$T$18:$T$113)</f>
        <v>0</v>
      </c>
      <c r="E65" s="174">
        <v>1</v>
      </c>
      <c r="F65" s="168">
        <f>SUMIF('[1]2°Q 12 V2 CAMPO'!$D$18:$D$113,C65,'[1]2°Q 12 V2 CAMPO'!$AA$18:$AA$113)</f>
        <v>0</v>
      </c>
      <c r="G65" s="169">
        <f>SUMIF('[1]2°Q 12 V2 CAMPO'!$D$18:$D$113,C65,'[1]2°Q 12 V2 CAMPO'!$AI$18:$AI$114)</f>
        <v>0</v>
      </c>
      <c r="H65" s="169">
        <f>VLOOKUP(B65,'1°Q 01 V1 CAMPO'!B76:DB168,105,FALSE)</f>
        <v>330358.60611071996</v>
      </c>
      <c r="I65" s="170">
        <f>VLOOKUP(B65,'1°Q 01 V2 CAMPO'!B76:DB168,105,FALSE)</f>
        <v>227121.54170112</v>
      </c>
      <c r="J65" s="176">
        <f t="shared" si="1"/>
        <v>557480.14781183994</v>
      </c>
      <c r="K65" s="171">
        <v>0</v>
      </c>
      <c r="L65" s="177">
        <f t="shared" si="2"/>
        <v>557000</v>
      </c>
      <c r="M65" s="172" t="s">
        <v>221</v>
      </c>
      <c r="N65" s="178"/>
    </row>
    <row r="66" spans="1:15" s="173" customFormat="1" ht="44.25" customHeight="1" x14ac:dyDescent="0.25">
      <c r="A66" s="134" t="s">
        <v>220</v>
      </c>
      <c r="B66" s="167">
        <v>9702</v>
      </c>
      <c r="C66" s="134" t="s">
        <v>139</v>
      </c>
      <c r="D66" s="134">
        <f>SUMIF('[1]2°Q 12 V1 CAMPO'!$D$18:$D$113,C66,'[1]2°Q 12 V1 CAMPO'!$T$18:$T$113)</f>
        <v>7</v>
      </c>
      <c r="E66" s="134">
        <v>1</v>
      </c>
      <c r="F66" s="168">
        <f>SUMIF('[1]2°Q 12 V2 CAMPO'!$D$18:$D$113,C66,'[1]2°Q 12 V2 CAMPO'!$AA$18:$AA$113)</f>
        <v>15</v>
      </c>
      <c r="G66" s="169">
        <f>SUMIF('[1]2°Q 12 V2 CAMPO'!$D$18:$D$113,C66,'[1]2°Q 12 V2 CAMPO'!$AI$18:$AI$114)</f>
        <v>1.25</v>
      </c>
      <c r="H66" s="169">
        <f>VLOOKUP(B66,'1°Q 01 V1 CAMPO'!B77:DB169,105,FALSE)</f>
        <v>537633.69043348788</v>
      </c>
      <c r="I66" s="170">
        <f>VLOOKUP(B66,'1°Q 01 V2 CAMPO'!B77:DB169,105,FALSE)</f>
        <v>200528.69502055497</v>
      </c>
      <c r="J66" s="171">
        <f t="shared" si="1"/>
        <v>738162.38545404281</v>
      </c>
      <c r="K66" s="171">
        <v>0</v>
      </c>
      <c r="L66" s="171">
        <f t="shared" si="2"/>
        <v>738000</v>
      </c>
      <c r="M66" s="172" t="s">
        <v>221</v>
      </c>
      <c r="N66" s="118"/>
    </row>
    <row r="67" spans="1:15" s="173" customFormat="1" ht="44.25" customHeight="1" x14ac:dyDescent="0.25">
      <c r="A67" s="134" t="s">
        <v>220</v>
      </c>
      <c r="B67" s="167">
        <v>9848</v>
      </c>
      <c r="C67" s="134" t="s">
        <v>184</v>
      </c>
      <c r="D67" s="134">
        <f>SUMIF('[1]2°Q 12 V1 CAMPO'!$D$18:$D$113,C67,'[1]2°Q 12 V1 CAMPO'!$T$18:$T$113)</f>
        <v>7</v>
      </c>
      <c r="E67" s="134">
        <f>SUMIF('[1]2°Q 12 V1 CAMPO'!$D$18:$D$113,C67,'[1]2°Q 12 V1 CAMPO'!$W$18:$X$113)</f>
        <v>0</v>
      </c>
      <c r="F67" s="168">
        <f>SUMIF('[1]2°Q 12 V2 CAMPO'!$D$18:$D$113,C67,'[1]2°Q 12 V2 CAMPO'!$AA$18:$AA$113)</f>
        <v>15</v>
      </c>
      <c r="G67" s="169">
        <f>SUMIF('[1]2°Q 12 V2 CAMPO'!$D$18:$D$113,C67,'[1]2°Q 12 V2 CAMPO'!$AI$18:$AI$114)</f>
        <v>2.75</v>
      </c>
      <c r="H67" s="169">
        <f>VLOOKUP(B67,'1°Q 01 V1 CAMPO'!B78:DB170,105,FALSE)</f>
        <v>421207.22279116797</v>
      </c>
      <c r="I67" s="170">
        <f>VLOOKUP(B67,'1°Q 01 V2 CAMPO'!B78:DB170,105,FALSE)</f>
        <v>273578.22068543994</v>
      </c>
      <c r="J67" s="171">
        <f t="shared" si="1"/>
        <v>694785.44347660791</v>
      </c>
      <c r="K67" s="171">
        <v>43359.567052031991</v>
      </c>
      <c r="L67" s="171">
        <f t="shared" si="2"/>
        <v>695000</v>
      </c>
      <c r="M67" s="172" t="s">
        <v>221</v>
      </c>
      <c r="N67" s="118"/>
    </row>
    <row r="68" spans="1:15" s="173" customFormat="1" ht="44.25" hidden="1" customHeight="1" x14ac:dyDescent="0.25">
      <c r="A68" s="134" t="s">
        <v>220</v>
      </c>
      <c r="B68" s="167">
        <v>9704</v>
      </c>
      <c r="C68" s="134" t="s">
        <v>140</v>
      </c>
      <c r="D68" s="134">
        <f>SUMIF('[1]2°Q 12 V1 CAMPO'!$D$18:$D$113,C68,'[1]2°Q 12 V1 CAMPO'!$T$18:$T$113)</f>
        <v>4</v>
      </c>
      <c r="E68" s="134">
        <f>SUMIF('[1]2°Q 12 V1 CAMPO'!$D$18:$D$113,C68,'[1]2°Q 12 V1 CAMPO'!$W$18:$X$113)</f>
        <v>0</v>
      </c>
      <c r="F68" s="168">
        <f>SUMIF('[1]2°Q 12 V2 CAMPO'!$D$18:$D$113,C68,'[1]2°Q 12 V2 CAMPO'!$AA$18:$AA$113)</f>
        <v>3</v>
      </c>
      <c r="G68" s="169">
        <f>SUMIF('[1]2°Q 12 V2 CAMPO'!$D$18:$D$113,C68,'[1]2°Q 12 V2 CAMPO'!$AI$18:$AI$114)</f>
        <v>0</v>
      </c>
      <c r="H68" s="169">
        <f>VLOOKUP(B68,'1°Q 01 V1 CAMPO'!B79:DB171,105,FALSE)</f>
        <v>0</v>
      </c>
      <c r="I68" s="170">
        <f>VLOOKUP(B68,'1°Q 01 V2 CAMPO'!B79:DB171,105,FALSE)</f>
        <v>0</v>
      </c>
      <c r="J68" s="171">
        <f t="shared" si="1"/>
        <v>0</v>
      </c>
      <c r="K68" s="171">
        <v>0</v>
      </c>
      <c r="L68" s="171">
        <f t="shared" si="2"/>
        <v>0</v>
      </c>
      <c r="M68" s="172" t="s">
        <v>221</v>
      </c>
      <c r="N68" s="118"/>
    </row>
    <row r="69" spans="1:15" s="173" customFormat="1" ht="44.25" customHeight="1" x14ac:dyDescent="0.25">
      <c r="A69" s="134" t="s">
        <v>220</v>
      </c>
      <c r="B69" s="167">
        <v>9647</v>
      </c>
      <c r="C69" s="134" t="s">
        <v>107</v>
      </c>
      <c r="D69" s="134">
        <f>SUMIF('[1]2°Q 12 V1 CAMPO'!$D$18:$D$113,C69,'[1]2°Q 12 V1 CAMPO'!$T$18:$T$113)</f>
        <v>4</v>
      </c>
      <c r="E69" s="134">
        <f>SUMIF('[1]2°Q 12 V1 CAMPO'!$D$18:$D$113,C69,'[1]2°Q 12 V1 CAMPO'!$W$18:$X$113)</f>
        <v>0</v>
      </c>
      <c r="F69" s="168">
        <f>SUMIF('[1]2°Q 12 V2 CAMPO'!$D$18:$D$113,C69,'[1]2°Q 12 V2 CAMPO'!$AA$18:$AA$113)</f>
        <v>3</v>
      </c>
      <c r="G69" s="169">
        <f>SUMIF('[1]2°Q 12 V2 CAMPO'!$D$18:$D$113,C69,'[1]2°Q 12 V2 CAMPO'!$AI$18:$AI$114)</f>
        <v>0</v>
      </c>
      <c r="H69" s="169">
        <f>VLOOKUP(B69,'1°Q 01 V1 CAMPO'!B80:DB172,105,FALSE)</f>
        <v>315163.830847367</v>
      </c>
      <c r="I69" s="170">
        <f>VLOOKUP(B69,'1°Q 01 V2 CAMPO'!B80:DB172,105,FALSE)</f>
        <v>20539.874273159996</v>
      </c>
      <c r="J69" s="171">
        <f t="shared" si="1"/>
        <v>335703.70512052701</v>
      </c>
      <c r="K69" s="171">
        <v>0</v>
      </c>
      <c r="L69" s="171">
        <f t="shared" si="2"/>
        <v>336000</v>
      </c>
      <c r="M69" s="172" t="s">
        <v>221</v>
      </c>
      <c r="N69" s="118"/>
    </row>
    <row r="70" spans="1:15" s="173" customFormat="1" ht="44.25" customHeight="1" x14ac:dyDescent="0.25">
      <c r="A70" s="134" t="s">
        <v>220</v>
      </c>
      <c r="B70" s="167">
        <v>9637</v>
      </c>
      <c r="C70" s="134" t="s">
        <v>101</v>
      </c>
      <c r="D70" s="134">
        <f>SUMIF('[1]2°Q 12 V1 CAMPO'!$D$18:$D$113,C70,'[1]2°Q 12 V1 CAMPO'!$T$18:$T$113)</f>
        <v>0</v>
      </c>
      <c r="E70" s="134">
        <f>SUMIF('[1]2°Q 12 V1 CAMPO'!$D$18:$D$113,C70,'[1]2°Q 12 V1 CAMPO'!$W$18:$X$113)</f>
        <v>0</v>
      </c>
      <c r="F70" s="168">
        <f>SUMIF('[1]2°Q 12 V2 CAMPO'!$D$18:$D$113,C70,'[1]2°Q 12 V2 CAMPO'!$AA$18:$AA$113)</f>
        <v>0</v>
      </c>
      <c r="G70" s="169">
        <f>SUMIF('[1]2°Q 12 V2 CAMPO'!$D$18:$D$113,C70,'[1]2°Q 12 V2 CAMPO'!$AI$18:$AI$114)</f>
        <v>0</v>
      </c>
      <c r="H70" s="169">
        <f>VLOOKUP(B70,'1°Q 01 V1 CAMPO'!B81:DB173,105,FALSE)</f>
        <v>266972.78805200633</v>
      </c>
      <c r="I70" s="170">
        <f>VLOOKUP(B70,'1°Q 01 V2 CAMPO'!B81:DB173,105,FALSE)</f>
        <v>21678.777840059996</v>
      </c>
      <c r="J70" s="171">
        <f t="shared" si="1"/>
        <v>288651.56589206634</v>
      </c>
      <c r="K70" s="171">
        <v>0</v>
      </c>
      <c r="L70" s="171">
        <f t="shared" si="2"/>
        <v>289000</v>
      </c>
      <c r="M70" s="172" t="s">
        <v>221</v>
      </c>
      <c r="N70" s="118"/>
    </row>
    <row r="71" spans="1:15" s="173" customFormat="1" ht="44.25" customHeight="1" x14ac:dyDescent="0.25">
      <c r="A71" s="134" t="s">
        <v>220</v>
      </c>
      <c r="B71" s="167">
        <v>9636</v>
      </c>
      <c r="C71" s="134" t="s">
        <v>100</v>
      </c>
      <c r="D71" s="134">
        <f>SUMIF('[1]2°Q 12 V1 CAMPO'!$D$18:$D$113,C71,'[1]2°Q 12 V1 CAMPO'!$T$18:$T$113)</f>
        <v>4</v>
      </c>
      <c r="E71" s="134">
        <f>SUMIF('[1]2°Q 12 V1 CAMPO'!$D$18:$D$113,C71,'[1]2°Q 12 V1 CAMPO'!$W$18:$X$113)</f>
        <v>0</v>
      </c>
      <c r="F71" s="168">
        <f>SUMIF('[1]2°Q 12 V2 CAMPO'!$D$18:$D$113,C71,'[1]2°Q 12 V2 CAMPO'!$AA$18:$AA$113)</f>
        <v>3</v>
      </c>
      <c r="G71" s="169">
        <f>SUMIF('[1]2°Q 12 V2 CAMPO'!$D$18:$D$113,C71,'[1]2°Q 12 V2 CAMPO'!$AI$18:$AI$114)</f>
        <v>0</v>
      </c>
      <c r="H71" s="169">
        <f>VLOOKUP(B71,'1°Q 01 V1 CAMPO'!B82:DB174,105,FALSE)</f>
        <v>336281.2018550107</v>
      </c>
      <c r="I71" s="170">
        <f>VLOOKUP(B71,'1°Q 01 V2 CAMPO'!B82:DB174,105,FALSE)</f>
        <v>21678.777840059996</v>
      </c>
      <c r="J71" s="171">
        <f t="shared" si="1"/>
        <v>357959.97969507071</v>
      </c>
      <c r="K71" s="171">
        <v>0</v>
      </c>
      <c r="L71" s="171">
        <f t="shared" si="2"/>
        <v>358000</v>
      </c>
      <c r="M71" s="172" t="s">
        <v>221</v>
      </c>
      <c r="N71" s="118"/>
    </row>
    <row r="72" spans="1:15" s="173" customFormat="1" ht="44.25" customHeight="1" x14ac:dyDescent="0.25">
      <c r="A72" s="134" t="s">
        <v>220</v>
      </c>
      <c r="B72" s="167">
        <v>9873</v>
      </c>
      <c r="C72" s="134" t="s">
        <v>194</v>
      </c>
      <c r="D72" s="134">
        <f>SUMIF('[1]2°Q 12 V1 CAMPO'!$D$18:$D$113,C72,'[1]2°Q 12 V1 CAMPO'!$T$18:$T$113)</f>
        <v>4</v>
      </c>
      <c r="E72" s="134">
        <f>SUMIF('[1]2°Q 12 V1 CAMPO'!$D$18:$D$113,C72,'[1]2°Q 12 V1 CAMPO'!$W$18:$X$113)</f>
        <v>0</v>
      </c>
      <c r="F72" s="168">
        <f>SUMIF('[1]2°Q 12 V2 CAMPO'!$D$18:$D$113,C72,'[1]2°Q 12 V2 CAMPO'!$AA$18:$AA$113)</f>
        <v>3</v>
      </c>
      <c r="G72" s="169">
        <f>SUMIF('[1]2°Q 12 V2 CAMPO'!$D$18:$D$113,C72,'[1]2°Q 12 V2 CAMPO'!$AI$18:$AI$114)</f>
        <v>0</v>
      </c>
      <c r="H72" s="169">
        <f>VLOOKUP(B72,'1°Q 01 V1 CAMPO'!B83:DB175,105,FALSE)</f>
        <v>303502.88976083993</v>
      </c>
      <c r="I72" s="170">
        <f>VLOOKUP(B72,'1°Q 01 V2 CAMPO'!B83:DB175,105,FALSE)</f>
        <v>21678.777840059996</v>
      </c>
      <c r="J72" s="171">
        <f t="shared" ref="J72:J102" si="3">+H72+I72</f>
        <v>325181.66760089993</v>
      </c>
      <c r="K72" s="171">
        <v>0</v>
      </c>
      <c r="L72" s="171">
        <f t="shared" ref="L72:L102" si="4">MROUND(J72,1000)</f>
        <v>325000</v>
      </c>
      <c r="M72" s="172" t="s">
        <v>221</v>
      </c>
      <c r="N72" s="118"/>
    </row>
    <row r="73" spans="1:15" s="173" customFormat="1" ht="44.25" customHeight="1" x14ac:dyDescent="0.25">
      <c r="A73" s="134" t="s">
        <v>220</v>
      </c>
      <c r="B73" s="167">
        <v>9796</v>
      </c>
      <c r="C73" s="134" t="s">
        <v>174</v>
      </c>
      <c r="D73" s="134">
        <f>SUMIF('[1]2°Q 12 V1 CAMPO'!$D$18:$D$113,C73,'[1]2°Q 12 V1 CAMPO'!$T$18:$T$113)</f>
        <v>0</v>
      </c>
      <c r="E73" s="134">
        <f>SUMIF('[1]2°Q 12 V1 CAMPO'!$D$18:$D$113,C73,'[1]2°Q 12 V1 CAMPO'!$W$18:$X$113)</f>
        <v>0</v>
      </c>
      <c r="F73" s="168">
        <f>SUMIF('[1]2°Q 12 V2 CAMPO'!$D$18:$D$113,C73,'[1]2°Q 12 V2 CAMPO'!$AA$18:$AA$113)</f>
        <v>0</v>
      </c>
      <c r="G73" s="169">
        <f>SUMIF('[1]2°Q 12 V2 CAMPO'!$D$18:$D$113,C73,'[1]2°Q 12 V2 CAMPO'!$AI$18:$AI$114)</f>
        <v>0</v>
      </c>
      <c r="H73" s="169">
        <f>VLOOKUP(B73,'1°Q 01 V1 CAMPO'!B84:DB176,105,FALSE)</f>
        <v>256688.63694802942</v>
      </c>
      <c r="I73" s="170">
        <f>VLOOKUP(B73,'1°Q 01 V2 CAMPO'!B84:DB176,105,FALSE)</f>
        <v>20647.412881919998</v>
      </c>
      <c r="J73" s="171">
        <f t="shared" si="3"/>
        <v>277336.04982994939</v>
      </c>
      <c r="K73" s="171">
        <v>0</v>
      </c>
      <c r="L73" s="171">
        <f t="shared" si="4"/>
        <v>277000</v>
      </c>
      <c r="M73" s="172" t="s">
        <v>221</v>
      </c>
      <c r="N73" s="118"/>
    </row>
    <row r="74" spans="1:15" ht="44.25" hidden="1" customHeight="1" x14ac:dyDescent="0.25">
      <c r="A74" s="180" t="s">
        <v>220</v>
      </c>
      <c r="B74" s="181">
        <v>9754</v>
      </c>
      <c r="C74" s="180" t="s">
        <v>168</v>
      </c>
      <c r="D74" s="180">
        <f>SUMIF('[1]2°Q 12 V1 CAMPO'!$D$18:$D$113,C74,'[1]2°Q 12 V1 CAMPO'!$T$18:$T$113)</f>
        <v>0</v>
      </c>
      <c r="E74" s="180">
        <f>SUMIF('[1]2°Q 12 V1 CAMPO'!$D$18:$D$113,C74,'[1]2°Q 12 V1 CAMPO'!$W$18:$X$113)</f>
        <v>0</v>
      </c>
      <c r="F74" s="182">
        <f>SUMIF('[1]2°Q 12 V2 CAMPO'!$D$18:$D$113,C74,'[1]2°Q 12 V2 CAMPO'!$AA$18:$AA$113)</f>
        <v>0</v>
      </c>
      <c r="G74" s="175">
        <f>SUMIF('[1]2°Q 12 V2 CAMPO'!$D$18:$D$113,C74,'[1]2°Q 12 V2 CAMPO'!$AI$18:$AI$114)</f>
        <v>0</v>
      </c>
      <c r="H74" s="169">
        <f>VLOOKUP(B74,'1°Q 01 V1 CAMPO'!B85:DB177,105,FALSE)</f>
        <v>0</v>
      </c>
      <c r="I74" s="170">
        <f>VLOOKUP(B74,'1°Q 01 V2 CAMPO'!B85:DB177,105,FALSE)</f>
        <v>0</v>
      </c>
      <c r="J74" s="176">
        <f t="shared" si="3"/>
        <v>0</v>
      </c>
      <c r="K74" s="171">
        <v>0</v>
      </c>
      <c r="L74" s="176">
        <f t="shared" si="4"/>
        <v>0</v>
      </c>
      <c r="M74" s="172" t="s">
        <v>221</v>
      </c>
      <c r="N74" s="117"/>
      <c r="O74" s="173"/>
    </row>
    <row r="75" spans="1:15" ht="44.25" hidden="1" customHeight="1" x14ac:dyDescent="0.25">
      <c r="A75" s="180" t="s">
        <v>220</v>
      </c>
      <c r="B75" s="181">
        <v>9706</v>
      </c>
      <c r="C75" s="180" t="s">
        <v>141</v>
      </c>
      <c r="D75" s="180">
        <f>SUMIF('[1]2°Q 12 V1 CAMPO'!$D$18:$D$113,C75,'[1]2°Q 12 V1 CAMPO'!$T$18:$T$113)</f>
        <v>0</v>
      </c>
      <c r="E75" s="180">
        <f>SUMIF('[1]2°Q 12 V1 CAMPO'!$D$18:$D$113,C75,'[1]2°Q 12 V1 CAMPO'!$W$18:$X$113)</f>
        <v>0</v>
      </c>
      <c r="F75" s="182">
        <f>SUMIF('[1]2°Q 12 V2 CAMPO'!$D$18:$D$113,C75,'[1]2°Q 12 V2 CAMPO'!$AA$18:$AA$113)</f>
        <v>0</v>
      </c>
      <c r="G75" s="175">
        <f>SUMIF('[1]2°Q 12 V2 CAMPO'!$D$18:$D$113,C75,'[1]2°Q 12 V2 CAMPO'!$AI$18:$AI$114)</f>
        <v>0</v>
      </c>
      <c r="H75" s="169">
        <f>VLOOKUP(B75,'1°Q 01 V1 CAMPO'!B86:DB178,105,FALSE)</f>
        <v>0</v>
      </c>
      <c r="I75" s="170">
        <f>VLOOKUP(B75,'1°Q 01 V2 CAMPO'!B86:DB178,105,FALSE)</f>
        <v>0</v>
      </c>
      <c r="J75" s="176">
        <f t="shared" si="3"/>
        <v>0</v>
      </c>
      <c r="K75" s="171">
        <v>0</v>
      </c>
      <c r="L75" s="176">
        <f t="shared" si="4"/>
        <v>0</v>
      </c>
      <c r="M75" s="172" t="s">
        <v>221</v>
      </c>
      <c r="N75" s="117"/>
      <c r="O75" s="173"/>
    </row>
    <row r="76" spans="1:15" s="179" customFormat="1" ht="44.25" hidden="1" customHeight="1" x14ac:dyDescent="0.25">
      <c r="A76" s="174" t="s">
        <v>220</v>
      </c>
      <c r="B76" s="167">
        <v>9635</v>
      </c>
      <c r="C76" s="174" t="s">
        <v>99</v>
      </c>
      <c r="D76" s="174">
        <f>SUMIF('[1]2°Q 12 V1 CAMPO'!$D$18:$D$113,C76,'[1]2°Q 12 V1 CAMPO'!$T$18:$T$113)</f>
        <v>0</v>
      </c>
      <c r="E76" s="174">
        <f>SUMIF('[1]2°Q 12 V1 CAMPO'!$D$18:$D$113,C76,'[1]2°Q 12 V1 CAMPO'!$W$18:$X$113)</f>
        <v>0</v>
      </c>
      <c r="F76" s="168">
        <v>8</v>
      </c>
      <c r="G76" s="169">
        <f>SUMIF('[1]2°Q 12 V2 CAMPO'!$D$18:$D$113,C76,'[1]2°Q 12 V2 CAMPO'!$AI$18:$AI$114)</f>
        <v>0</v>
      </c>
      <c r="H76" s="169">
        <f>VLOOKUP(B76,'1°Q 01 V1 CAMPO'!B87:DB179,105,FALSE)</f>
        <v>0</v>
      </c>
      <c r="I76" s="170">
        <f>VLOOKUP(B76,'1°Q 01 V2 CAMPO'!B87:DB179,105,FALSE)</f>
        <v>0</v>
      </c>
      <c r="J76" s="176">
        <f t="shared" si="3"/>
        <v>0</v>
      </c>
      <c r="K76" s="171">
        <v>0</v>
      </c>
      <c r="L76" s="177">
        <f t="shared" si="4"/>
        <v>0</v>
      </c>
      <c r="M76" s="172" t="s">
        <v>221</v>
      </c>
      <c r="N76" s="178"/>
    </row>
    <row r="77" spans="1:15" s="173" customFormat="1" ht="44.25" hidden="1" customHeight="1" x14ac:dyDescent="0.25">
      <c r="A77" s="134" t="s">
        <v>220</v>
      </c>
      <c r="B77" s="167">
        <v>9742</v>
      </c>
      <c r="C77" s="134" t="s">
        <v>158</v>
      </c>
      <c r="D77" s="134">
        <f>SUMIF('[1]2°Q 12 V1 CAMPO'!$D$18:$D$113,C77,'[1]2°Q 12 V1 CAMPO'!$T$18:$T$113)</f>
        <v>6</v>
      </c>
      <c r="E77" s="134">
        <v>1</v>
      </c>
      <c r="F77" s="168">
        <f>SUMIF('[1]2°Q 12 V2 CAMPO'!$D$18:$D$113,C77,'[1]2°Q 12 V2 CAMPO'!$AA$18:$AA$113)</f>
        <v>15</v>
      </c>
      <c r="G77" s="169">
        <f>SUMIF('[1]2°Q 12 V2 CAMPO'!$D$18:$D$113,C77,'[1]2°Q 12 V2 CAMPO'!$AI$18:$AI$114)</f>
        <v>1</v>
      </c>
      <c r="H77" s="169">
        <f>VLOOKUP(B77,'1°Q 01 V1 CAMPO'!B88:DB180,105,FALSE)</f>
        <v>0</v>
      </c>
      <c r="I77" s="170">
        <f>VLOOKUP(B77,'1°Q 01 V2 CAMPO'!B88:DB180,105,FALSE)</f>
        <v>0</v>
      </c>
      <c r="J77" s="171">
        <f t="shared" si="3"/>
        <v>0</v>
      </c>
      <c r="K77" s="171">
        <v>0</v>
      </c>
      <c r="L77" s="171">
        <f t="shared" si="4"/>
        <v>0</v>
      </c>
      <c r="M77" s="172" t="s">
        <v>221</v>
      </c>
      <c r="N77" s="118"/>
    </row>
    <row r="78" spans="1:15" ht="44.25" hidden="1" customHeight="1" x14ac:dyDescent="0.25">
      <c r="A78" s="180" t="s">
        <v>220</v>
      </c>
      <c r="B78" s="181">
        <v>9745</v>
      </c>
      <c r="C78" s="180" t="s">
        <v>161</v>
      </c>
      <c r="D78" s="180">
        <f>SUMIF('[1]2°Q 12 V1 CAMPO'!$D$18:$D$113,C78,'[1]2°Q 12 V1 CAMPO'!$T$18:$T$113)</f>
        <v>0</v>
      </c>
      <c r="E78" s="180">
        <f>SUMIF('[1]2°Q 12 V1 CAMPO'!$D$18:$D$113,C78,'[1]2°Q 12 V1 CAMPO'!$W$18:$X$113)</f>
        <v>0</v>
      </c>
      <c r="F78" s="182">
        <f>SUMIF('[1]2°Q 12 V2 CAMPO'!$D$18:$D$113,C78,'[1]2°Q 12 V2 CAMPO'!$AA$18:$AA$113)</f>
        <v>0</v>
      </c>
      <c r="G78" s="175">
        <f>SUMIF('[1]2°Q 12 V2 CAMPO'!$D$18:$D$113,C78,'[1]2°Q 12 V2 CAMPO'!$AI$18:$AI$114)</f>
        <v>0</v>
      </c>
      <c r="H78" s="169">
        <f>VLOOKUP(B78,'1°Q 01 V1 CAMPO'!B89:DB181,105,FALSE)</f>
        <v>0</v>
      </c>
      <c r="I78" s="170">
        <f>VLOOKUP(B78,'1°Q 01 V2 CAMPO'!B89:DB181,105,FALSE)</f>
        <v>0</v>
      </c>
      <c r="J78" s="176">
        <f t="shared" si="3"/>
        <v>0</v>
      </c>
      <c r="K78" s="171">
        <v>0</v>
      </c>
      <c r="L78" s="176">
        <f t="shared" si="4"/>
        <v>0</v>
      </c>
      <c r="M78" s="172" t="s">
        <v>221</v>
      </c>
      <c r="N78" s="117"/>
      <c r="O78" s="173"/>
    </row>
    <row r="79" spans="1:15" ht="44.25" hidden="1" customHeight="1" x14ac:dyDescent="0.25">
      <c r="A79" s="180" t="s">
        <v>220</v>
      </c>
      <c r="B79" s="181">
        <v>9710</v>
      </c>
      <c r="C79" s="180" t="s">
        <v>142</v>
      </c>
      <c r="D79" s="180">
        <f>SUMIF('[1]2°Q 12 V1 CAMPO'!$D$18:$D$113,C79,'[1]2°Q 12 V1 CAMPO'!$T$18:$T$113)</f>
        <v>0</v>
      </c>
      <c r="E79" s="180">
        <f>SUMIF('[1]2°Q 12 V1 CAMPO'!$D$18:$D$113,C79,'[1]2°Q 12 V1 CAMPO'!$W$18:$X$113)</f>
        <v>0</v>
      </c>
      <c r="F79" s="182">
        <f>SUMIF('[1]2°Q 12 V2 CAMPO'!$D$18:$D$113,C79,'[1]2°Q 12 V2 CAMPO'!$AA$18:$AA$113)</f>
        <v>0</v>
      </c>
      <c r="G79" s="175">
        <f>SUMIF('[1]2°Q 12 V2 CAMPO'!$D$18:$D$113,C79,'[1]2°Q 12 V2 CAMPO'!$AI$18:$AI$114)</f>
        <v>0</v>
      </c>
      <c r="H79" s="169">
        <f>VLOOKUP(B79,'1°Q 01 V1 CAMPO'!B90:DB182,105,FALSE)</f>
        <v>0</v>
      </c>
      <c r="I79" s="170">
        <f>VLOOKUP(B79,'1°Q 01 V2 CAMPO'!B90:DB182,105,FALSE)</f>
        <v>0</v>
      </c>
      <c r="J79" s="176">
        <f t="shared" si="3"/>
        <v>0</v>
      </c>
      <c r="K79" s="171">
        <v>0</v>
      </c>
      <c r="L79" s="176">
        <f t="shared" si="4"/>
        <v>0</v>
      </c>
      <c r="M79" s="172" t="s">
        <v>221</v>
      </c>
      <c r="N79" s="117"/>
      <c r="O79" s="173"/>
    </row>
    <row r="80" spans="1:15" s="173" customFormat="1" ht="44.25" hidden="1" customHeight="1" x14ac:dyDescent="0.25">
      <c r="A80" s="134" t="s">
        <v>220</v>
      </c>
      <c r="B80" s="167">
        <v>9712</v>
      </c>
      <c r="C80" s="134" t="s">
        <v>143</v>
      </c>
      <c r="D80" s="134">
        <f>SUMIF('[1]2°Q 12 V1 CAMPO'!$D$18:$D$113,C80,'[1]2°Q 12 V1 CAMPO'!$T$18:$T$113)</f>
        <v>0</v>
      </c>
      <c r="E80" s="134">
        <f>SUMIF('[1]2°Q 12 V1 CAMPO'!$D$18:$D$113,C80,'[1]2°Q 12 V1 CAMPO'!$W$18:$X$113)</f>
        <v>0</v>
      </c>
      <c r="F80" s="168">
        <f>SUMIF('[1]2°Q 12 V2 CAMPO'!$D$18:$D$113,C80,'[1]2°Q 12 V2 CAMPO'!$AA$18:$AA$113)</f>
        <v>0</v>
      </c>
      <c r="G80" s="169">
        <f>SUMIF('[1]2°Q 12 V2 CAMPO'!$D$18:$D$113,C80,'[1]2°Q 12 V2 CAMPO'!$AI$18:$AI$114)</f>
        <v>0</v>
      </c>
      <c r="H80" s="169">
        <f>VLOOKUP(B80,'1°Q 01 V1 CAMPO'!B91:DB183,105,FALSE)</f>
        <v>0</v>
      </c>
      <c r="I80" s="170">
        <f>VLOOKUP(B80,'1°Q 01 V2 CAMPO'!B91:DB183,105,FALSE)</f>
        <v>0</v>
      </c>
      <c r="J80" s="171">
        <f t="shared" si="3"/>
        <v>0</v>
      </c>
      <c r="K80" s="171">
        <v>0</v>
      </c>
      <c r="L80" s="171">
        <f t="shared" si="4"/>
        <v>0</v>
      </c>
      <c r="M80" s="172" t="s">
        <v>221</v>
      </c>
      <c r="N80" s="118"/>
    </row>
    <row r="81" spans="1:15" ht="44.25" hidden="1" customHeight="1" x14ac:dyDescent="0.25">
      <c r="A81" s="180" t="s">
        <v>220</v>
      </c>
      <c r="B81" s="181">
        <v>9713</v>
      </c>
      <c r="C81" s="180" t="s">
        <v>144</v>
      </c>
      <c r="D81" s="180">
        <f>SUMIF('[1]2°Q 12 V1 CAMPO'!$D$18:$D$113,C81,'[1]2°Q 12 V1 CAMPO'!$T$18:$T$113)</f>
        <v>0</v>
      </c>
      <c r="E81" s="180">
        <f>SUMIF('[1]2°Q 12 V1 CAMPO'!$D$18:$D$113,C81,'[1]2°Q 12 V1 CAMPO'!$W$18:$X$113)</f>
        <v>0</v>
      </c>
      <c r="F81" s="182">
        <f>SUMIF('[1]2°Q 12 V2 CAMPO'!$D$18:$D$113,C81,'[1]2°Q 12 V2 CAMPO'!$AA$18:$AA$113)</f>
        <v>0</v>
      </c>
      <c r="G81" s="175">
        <f>SUMIF('[1]2°Q 12 V2 CAMPO'!$D$18:$D$113,C81,'[1]2°Q 12 V2 CAMPO'!$AI$18:$AI$114)</f>
        <v>0</v>
      </c>
      <c r="H81" s="169">
        <f>VLOOKUP(B81,'1°Q 01 V1 CAMPO'!B92:DB184,105,FALSE)</f>
        <v>0</v>
      </c>
      <c r="I81" s="170">
        <f>VLOOKUP(B81,'1°Q 01 V2 CAMPO'!B92:DB184,105,FALSE)</f>
        <v>0</v>
      </c>
      <c r="J81" s="176">
        <f t="shared" si="3"/>
        <v>0</v>
      </c>
      <c r="K81" s="171">
        <v>0</v>
      </c>
      <c r="L81" s="176">
        <f t="shared" si="4"/>
        <v>0</v>
      </c>
      <c r="M81" s="172" t="s">
        <v>221</v>
      </c>
      <c r="N81" s="117"/>
      <c r="O81" s="173"/>
    </row>
    <row r="82" spans="1:15" s="173" customFormat="1" ht="44.25" customHeight="1" x14ac:dyDescent="0.25">
      <c r="A82" s="134" t="s">
        <v>220</v>
      </c>
      <c r="B82" s="167">
        <v>9715</v>
      </c>
      <c r="C82" s="134" t="s">
        <v>145</v>
      </c>
      <c r="D82" s="134">
        <f>SUMIF('[1]2°Q 12 V1 CAMPO'!$D$18:$D$113,C82,'[1]2°Q 12 V1 CAMPO'!$T$18:$T$113)</f>
        <v>4</v>
      </c>
      <c r="E82" s="134">
        <f>SUMIF('[1]2°Q 12 V1 CAMPO'!$D$18:$D$113,C82,'[1]2°Q 12 V1 CAMPO'!$W$18:$X$113)</f>
        <v>0</v>
      </c>
      <c r="F82" s="168">
        <f>SUMIF('[1]2°Q 12 V2 CAMPO'!$D$18:$D$113,C82,'[1]2°Q 12 V2 CAMPO'!$AA$18:$AA$113)</f>
        <v>3</v>
      </c>
      <c r="G82" s="169">
        <f>SUMIF('[1]2°Q 12 V2 CAMPO'!$D$18:$D$113,C82,'[1]2°Q 12 V2 CAMPO'!$AI$18:$AI$114)</f>
        <v>0</v>
      </c>
      <c r="H82" s="169">
        <f>VLOOKUP(B82,'1°Q 01 V1 CAMPO'!B93:DB185,105,FALSE)</f>
        <v>380159.04820329207</v>
      </c>
      <c r="I82" s="170">
        <f>VLOOKUP(B82,'1°Q 01 V2 CAMPO'!B93:DB185,105,FALSE)</f>
        <v>238466.55624065999</v>
      </c>
      <c r="J82" s="171">
        <f t="shared" si="3"/>
        <v>618625.60444395209</v>
      </c>
      <c r="K82" s="171">
        <v>0</v>
      </c>
      <c r="L82" s="171">
        <f t="shared" si="4"/>
        <v>619000</v>
      </c>
      <c r="M82" s="172" t="s">
        <v>221</v>
      </c>
      <c r="N82" s="118"/>
    </row>
    <row r="83" spans="1:15" s="173" customFormat="1" ht="44.25" customHeight="1" x14ac:dyDescent="0.25">
      <c r="A83" s="134" t="s">
        <v>220</v>
      </c>
      <c r="B83" s="167">
        <v>9716</v>
      </c>
      <c r="C83" s="134" t="s">
        <v>146</v>
      </c>
      <c r="D83" s="134">
        <f>SUMIF('[1]2°Q 12 V1 CAMPO'!$D$18:$D$113,C83,'[1]2°Q 12 V1 CAMPO'!$T$18:$T$113)</f>
        <v>11</v>
      </c>
      <c r="E83" s="134">
        <v>1</v>
      </c>
      <c r="F83" s="168">
        <f>SUMIF('[1]2°Q 12 V2 CAMPO'!$D$18:$D$113,C83,'[1]2°Q 12 V2 CAMPO'!$AA$18:$AA$113)</f>
        <v>0</v>
      </c>
      <c r="G83" s="169">
        <f>SUMIF('[1]2°Q 12 V2 CAMPO'!$D$18:$D$113,C83,'[1]2°Q 12 V2 CAMPO'!$AI$18:$AI$114)</f>
        <v>0</v>
      </c>
      <c r="H83" s="169">
        <f>VLOOKUP(B83,'1°Q 01 V1 CAMPO'!B94:DB186,105,FALSE)</f>
        <v>520290.66816143994</v>
      </c>
      <c r="I83" s="170">
        <f>VLOOKUP(B83,'1°Q 01 V2 CAMPO'!B94:DB186,105,FALSE)</f>
        <v>0</v>
      </c>
      <c r="J83" s="171">
        <f t="shared" si="3"/>
        <v>520290.66816143994</v>
      </c>
      <c r="K83" s="171">
        <v>0</v>
      </c>
      <c r="L83" s="171">
        <f t="shared" si="4"/>
        <v>520000</v>
      </c>
      <c r="M83" s="172" t="s">
        <v>221</v>
      </c>
      <c r="N83" s="118"/>
    </row>
    <row r="84" spans="1:15" ht="44.25" hidden="1" customHeight="1" x14ac:dyDescent="0.25">
      <c r="A84" s="180" t="s">
        <v>220</v>
      </c>
      <c r="B84" s="181">
        <v>9719</v>
      </c>
      <c r="C84" s="180" t="s">
        <v>147</v>
      </c>
      <c r="D84" s="180">
        <f>SUMIF('[1]2°Q 12 V1 CAMPO'!$D$18:$D$113,C84,'[1]2°Q 12 V1 CAMPO'!$T$18:$T$113)</f>
        <v>0</v>
      </c>
      <c r="E84" s="180">
        <f>SUMIF('[1]2°Q 12 V1 CAMPO'!$D$18:$D$113,C84,'[1]2°Q 12 V1 CAMPO'!$W$18:$X$113)</f>
        <v>0</v>
      </c>
      <c r="F84" s="182">
        <f>SUMIF('[1]2°Q 12 V2 CAMPO'!$D$18:$D$113,C84,'[1]2°Q 12 V2 CAMPO'!$AA$18:$AA$113)</f>
        <v>0</v>
      </c>
      <c r="G84" s="175">
        <f>SUMIF('[1]2°Q 12 V2 CAMPO'!$D$18:$D$113,C84,'[1]2°Q 12 V2 CAMPO'!$AI$18:$AI$114)</f>
        <v>0</v>
      </c>
      <c r="H84" s="169">
        <f>VLOOKUP(B84,'1°Q 01 V1 CAMPO'!B95:DB187,105,FALSE)</f>
        <v>0</v>
      </c>
      <c r="I84" s="170">
        <f>VLOOKUP(B84,'1°Q 01 V2 CAMPO'!B95:DB187,105,FALSE)</f>
        <v>0</v>
      </c>
      <c r="J84" s="176">
        <f t="shared" si="3"/>
        <v>0</v>
      </c>
      <c r="K84" s="171">
        <v>0</v>
      </c>
      <c r="L84" s="176">
        <f t="shared" si="4"/>
        <v>0</v>
      </c>
      <c r="M84" s="172" t="s">
        <v>221</v>
      </c>
      <c r="N84" s="117"/>
      <c r="O84" s="173"/>
    </row>
    <row r="85" spans="1:15" s="173" customFormat="1" ht="44.25" customHeight="1" x14ac:dyDescent="0.25">
      <c r="A85" s="134" t="s">
        <v>220</v>
      </c>
      <c r="B85" s="167">
        <v>9722</v>
      </c>
      <c r="C85" s="134" t="s">
        <v>148</v>
      </c>
      <c r="D85" s="134">
        <f>SUMIF('[1]2°Q 12 V1 CAMPO'!$D$18:$D$113,C85,'[1]2°Q 12 V1 CAMPO'!$T$18:$T$113)</f>
        <v>7</v>
      </c>
      <c r="E85" s="134">
        <v>1</v>
      </c>
      <c r="F85" s="168">
        <f>SUMIF('[1]2°Q 12 V2 CAMPO'!$D$18:$D$113,C85,'[1]2°Q 12 V2 CAMPO'!$AA$18:$AA$113)</f>
        <v>15</v>
      </c>
      <c r="G85" s="169">
        <f>SUMIF('[1]2°Q 12 V2 CAMPO'!$D$18:$D$113,C85,'[1]2°Q 12 V2 CAMPO'!$AI$18:$AI$114)</f>
        <v>0.5</v>
      </c>
      <c r="H85" s="169">
        <f>VLOOKUP(B85,'1°Q 01 V1 CAMPO'!B96:DB188,105,FALSE)</f>
        <v>156607.49111659342</v>
      </c>
      <c r="I85" s="170">
        <f>VLOOKUP(B85,'1°Q 01 V2 CAMPO'!B96:DB188,105,FALSE)</f>
        <v>130072.66704035999</v>
      </c>
      <c r="J85" s="171">
        <f t="shared" si="3"/>
        <v>286680.1581569534</v>
      </c>
      <c r="K85" s="171">
        <v>0</v>
      </c>
      <c r="L85" s="171">
        <f t="shared" si="4"/>
        <v>287000</v>
      </c>
      <c r="M85" s="172" t="s">
        <v>221</v>
      </c>
      <c r="N85" s="118"/>
    </row>
    <row r="86" spans="1:15" s="173" customFormat="1" ht="44.25" hidden="1" customHeight="1" x14ac:dyDescent="0.25">
      <c r="A86" s="134" t="s">
        <v>220</v>
      </c>
      <c r="B86" s="167">
        <v>9723</v>
      </c>
      <c r="C86" s="134" t="s">
        <v>149</v>
      </c>
      <c r="D86" s="134">
        <f>SUMIF('[1]2°Q 12 V1 CAMPO'!$D$18:$D$113,C86,'[1]2°Q 12 V1 CAMPO'!$T$18:$T$113)</f>
        <v>0</v>
      </c>
      <c r="E86" s="134">
        <f>SUMIF('[1]2°Q 12 V1 CAMPO'!$D$18:$D$113,C86,'[1]2°Q 12 V1 CAMPO'!$W$18:$X$113)</f>
        <v>0</v>
      </c>
      <c r="F86" s="168">
        <f>SUMIF('[1]2°Q 12 V2 CAMPO'!$D$18:$D$113,C86,'[1]2°Q 12 V2 CAMPO'!$AA$18:$AA$113)</f>
        <v>0</v>
      </c>
      <c r="G86" s="169">
        <f>SUMIF('[1]2°Q 12 V2 CAMPO'!$D$18:$D$113,C86,'[1]2°Q 12 V2 CAMPO'!$AI$18:$AI$114)</f>
        <v>0</v>
      </c>
      <c r="H86" s="169">
        <f>VLOOKUP(B86,'1°Q 01 V1 CAMPO'!B97:DB189,105,FALSE)</f>
        <v>0</v>
      </c>
      <c r="I86" s="170">
        <f>VLOOKUP(B86,'1°Q 01 V2 CAMPO'!B97:DB189,105,FALSE)</f>
        <v>0</v>
      </c>
      <c r="J86" s="171">
        <f t="shared" si="3"/>
        <v>0</v>
      </c>
      <c r="K86" s="171">
        <v>0</v>
      </c>
      <c r="L86" s="171">
        <f t="shared" si="4"/>
        <v>0</v>
      </c>
      <c r="M86" s="172" t="s">
        <v>221</v>
      </c>
      <c r="N86" s="118"/>
    </row>
    <row r="87" spans="1:15" ht="44.25" hidden="1" customHeight="1" x14ac:dyDescent="0.25">
      <c r="A87" s="180" t="s">
        <v>220</v>
      </c>
      <c r="B87" s="181">
        <v>9724</v>
      </c>
      <c r="C87" s="180" t="s">
        <v>150</v>
      </c>
      <c r="D87" s="180">
        <f>SUMIF('[1]2°Q 12 V1 CAMPO'!$D$18:$D$113,C87,'[1]2°Q 12 V1 CAMPO'!$T$18:$T$113)</f>
        <v>0</v>
      </c>
      <c r="E87" s="180">
        <f>SUMIF('[1]2°Q 12 V1 CAMPO'!$D$18:$D$113,C87,'[1]2°Q 12 V1 CAMPO'!$W$18:$X$113)</f>
        <v>0</v>
      </c>
      <c r="F87" s="182">
        <f>SUMIF('[1]2°Q 12 V2 CAMPO'!$D$18:$D$113,C87,'[1]2°Q 12 V2 CAMPO'!$AA$18:$AA$113)</f>
        <v>0</v>
      </c>
      <c r="G87" s="175">
        <f>SUMIF('[1]2°Q 12 V2 CAMPO'!$D$18:$D$113,C87,'[1]2°Q 12 V2 CAMPO'!$AI$18:$AI$114)</f>
        <v>0</v>
      </c>
      <c r="H87" s="169">
        <f>VLOOKUP(B87,'1°Q 01 V1 CAMPO'!B98:DB190,105,FALSE)</f>
        <v>0</v>
      </c>
      <c r="I87" s="170">
        <f>VLOOKUP(B87,'1°Q 01 V2 CAMPO'!B98:DB190,105,FALSE)</f>
        <v>0</v>
      </c>
      <c r="J87" s="176">
        <f t="shared" si="3"/>
        <v>0</v>
      </c>
      <c r="K87" s="171">
        <v>0</v>
      </c>
      <c r="L87" s="176">
        <f t="shared" si="4"/>
        <v>0</v>
      </c>
      <c r="M87" s="172" t="s">
        <v>221</v>
      </c>
      <c r="N87" s="117"/>
      <c r="O87" s="173"/>
    </row>
    <row r="88" spans="1:15" ht="44.25" hidden="1" customHeight="1" x14ac:dyDescent="0.25">
      <c r="A88" s="180" t="s">
        <v>220</v>
      </c>
      <c r="B88" s="181">
        <v>9726</v>
      </c>
      <c r="C88" s="180" t="s">
        <v>151</v>
      </c>
      <c r="D88" s="180">
        <f>SUMIF('[1]2°Q 12 V1 CAMPO'!$D$18:$D$113,C88,'[1]2°Q 12 V1 CAMPO'!$T$18:$T$113)</f>
        <v>0</v>
      </c>
      <c r="E88" s="180">
        <f>SUMIF('[1]2°Q 12 V1 CAMPO'!$D$18:$D$113,C88,'[1]2°Q 12 V1 CAMPO'!$W$18:$X$113)</f>
        <v>0</v>
      </c>
      <c r="F88" s="182">
        <f>SUMIF('[1]2°Q 12 V2 CAMPO'!$D$18:$D$113,C88,'[1]2°Q 12 V2 CAMPO'!$AA$18:$AA$113)</f>
        <v>0</v>
      </c>
      <c r="G88" s="175">
        <f>SUMIF('[1]2°Q 12 V2 CAMPO'!$D$18:$D$113,C88,'[1]2°Q 12 V2 CAMPO'!$AI$18:$AI$114)</f>
        <v>0</v>
      </c>
      <c r="H88" s="169">
        <f>VLOOKUP(B88,'1°Q 01 V1 CAMPO'!B99:DB191,105,FALSE)</f>
        <v>0</v>
      </c>
      <c r="I88" s="170">
        <f>VLOOKUP(B88,'1°Q 01 V2 CAMPO'!B99:DB191,105,FALSE)</f>
        <v>0</v>
      </c>
      <c r="J88" s="176">
        <f t="shared" si="3"/>
        <v>0</v>
      </c>
      <c r="K88" s="171">
        <v>0</v>
      </c>
      <c r="L88" s="176">
        <f t="shared" si="4"/>
        <v>0</v>
      </c>
      <c r="M88" s="172" t="s">
        <v>221</v>
      </c>
      <c r="N88" s="117"/>
      <c r="O88" s="173"/>
    </row>
    <row r="89" spans="1:15" s="173" customFormat="1" ht="44.25" customHeight="1" x14ac:dyDescent="0.25">
      <c r="A89" s="134" t="s">
        <v>220</v>
      </c>
      <c r="B89" s="167">
        <v>9640</v>
      </c>
      <c r="C89" s="134" t="s">
        <v>103</v>
      </c>
      <c r="D89" s="134">
        <f>SUMIF('[1]2°Q 12 V1 CAMPO'!$D$18:$D$113,C89,'[1]2°Q 12 V1 CAMPO'!$T$18:$T$113)</f>
        <v>0</v>
      </c>
      <c r="E89" s="134">
        <v>1</v>
      </c>
      <c r="F89" s="168">
        <f>SUMIF('[1]2°Q 12 V2 CAMPO'!$D$18:$D$113,C89,'[1]2°Q 12 V2 CAMPO'!$AA$18:$AA$113)</f>
        <v>0</v>
      </c>
      <c r="G89" s="169">
        <f>SUMIF('[1]2°Q 12 V2 CAMPO'!$D$18:$D$113,C89,'[1]2°Q 12 V2 CAMPO'!$AI$18:$AI$114)</f>
        <v>0</v>
      </c>
      <c r="H89" s="169">
        <f>VLOOKUP(B89,'1°Q 01 V1 CAMPO'!B100:DB192,105,FALSE)</f>
        <v>291362.77417040634</v>
      </c>
      <c r="I89" s="170">
        <f>VLOOKUP(B89,'1°Q 01 V2 CAMPO'!B100:DB192,105,FALSE)</f>
        <v>21678.777840059996</v>
      </c>
      <c r="J89" s="171">
        <f t="shared" si="3"/>
        <v>313041.55201046634</v>
      </c>
      <c r="K89" s="171">
        <v>0</v>
      </c>
      <c r="L89" s="171">
        <f t="shared" si="4"/>
        <v>313000</v>
      </c>
      <c r="M89" s="172" t="s">
        <v>221</v>
      </c>
      <c r="N89" s="118"/>
    </row>
    <row r="90" spans="1:15" s="173" customFormat="1" ht="44.25" hidden="1" customHeight="1" x14ac:dyDescent="0.25">
      <c r="A90" s="134" t="s">
        <v>220</v>
      </c>
      <c r="B90" s="167">
        <v>9728</v>
      </c>
      <c r="C90" s="134" t="s">
        <v>152</v>
      </c>
      <c r="D90" s="134">
        <f>SUMIF('[1]2°Q 12 V1 CAMPO'!$D$18:$D$113,C90,'[1]2°Q 12 V1 CAMPO'!$T$18:$T$113)</f>
        <v>5</v>
      </c>
      <c r="E90" s="134">
        <v>1</v>
      </c>
      <c r="F90" s="168">
        <f>SUMIF('[1]2°Q 12 V2 CAMPO'!$D$18:$D$113,C90,'[1]2°Q 12 V2 CAMPO'!$AA$18:$AA$113)</f>
        <v>11</v>
      </c>
      <c r="G90" s="169">
        <f>SUMIF('[1]2°Q 12 V2 CAMPO'!$D$18:$D$113,C90,'[1]2°Q 12 V2 CAMPO'!$AI$18:$AI$114)</f>
        <v>0</v>
      </c>
      <c r="H90" s="169">
        <f>VLOOKUP(B90,'1°Q 01 V1 CAMPO'!B101:DB193,105,FALSE)</f>
        <v>0</v>
      </c>
      <c r="I90" s="170">
        <f>VLOOKUP(B90,'1°Q 01 V2 CAMPO'!B101:DB193,105,FALSE)</f>
        <v>0</v>
      </c>
      <c r="J90" s="171">
        <f t="shared" si="3"/>
        <v>0</v>
      </c>
      <c r="K90" s="171">
        <v>0</v>
      </c>
      <c r="L90" s="171">
        <f t="shared" si="4"/>
        <v>0</v>
      </c>
      <c r="M90" s="172" t="s">
        <v>221</v>
      </c>
      <c r="N90" s="118"/>
    </row>
    <row r="91" spans="1:15" ht="44.25" hidden="1" customHeight="1" x14ac:dyDescent="0.25">
      <c r="A91" s="180" t="s">
        <v>220</v>
      </c>
      <c r="B91" s="181">
        <v>9755</v>
      </c>
      <c r="C91" s="180" t="s">
        <v>169</v>
      </c>
      <c r="D91" s="180">
        <f>SUMIF('[1]2°Q 12 V1 CAMPO'!$D$18:$D$113,C91,'[1]2°Q 12 V1 CAMPO'!$T$18:$T$113)</f>
        <v>0</v>
      </c>
      <c r="E91" s="180">
        <f>SUMIF('[1]2°Q 12 V1 CAMPO'!$D$18:$D$113,C91,'[1]2°Q 12 V1 CAMPO'!$W$18:$X$113)</f>
        <v>0</v>
      </c>
      <c r="F91" s="182">
        <f>SUMIF('[1]2°Q 12 V2 CAMPO'!$D$18:$D$113,C91,'[1]2°Q 12 V2 CAMPO'!$AA$18:$AA$113)</f>
        <v>0</v>
      </c>
      <c r="G91" s="175">
        <f>SUMIF('[1]2°Q 12 V2 CAMPO'!$D$18:$D$113,C91,'[1]2°Q 12 V2 CAMPO'!$AI$18:$AI$114)</f>
        <v>0</v>
      </c>
      <c r="H91" s="169">
        <f>VLOOKUP(B91,'1°Q 01 V1 CAMPO'!B102:DB194,105,FALSE)</f>
        <v>0</v>
      </c>
      <c r="I91" s="170">
        <f>VLOOKUP(B91,'1°Q 01 V2 CAMPO'!B102:DB194,105,FALSE)</f>
        <v>0</v>
      </c>
      <c r="J91" s="176">
        <f t="shared" si="3"/>
        <v>0</v>
      </c>
      <c r="K91" s="171">
        <v>0</v>
      </c>
      <c r="L91" s="176">
        <f t="shared" si="4"/>
        <v>0</v>
      </c>
      <c r="M91" s="172" t="s">
        <v>221</v>
      </c>
      <c r="N91" s="117"/>
      <c r="O91" s="173"/>
    </row>
    <row r="92" spans="1:15" ht="44.25" customHeight="1" x14ac:dyDescent="0.25">
      <c r="A92" s="180" t="s">
        <v>220</v>
      </c>
      <c r="B92" s="181">
        <v>9852</v>
      </c>
      <c r="C92" s="180" t="s">
        <v>186</v>
      </c>
      <c r="D92" s="180">
        <f>SUMIF('[1]2°Q 12 V1 CAMPO'!$D$18:$D$113,C92,'[1]2°Q 12 V1 CAMPO'!$T$18:$T$113)</f>
        <v>0</v>
      </c>
      <c r="E92" s="180">
        <f>SUMIF('[1]2°Q 12 V1 CAMPO'!$D$18:$D$113,C92,'[1]2°Q 12 V1 CAMPO'!$W$18:$X$113)</f>
        <v>0</v>
      </c>
      <c r="F92" s="182">
        <f>SUMIF('[1]2°Q 12 V2 CAMPO'!$D$18:$D$113,C92,'[1]2°Q 12 V2 CAMPO'!$AA$18:$AA$113)</f>
        <v>0</v>
      </c>
      <c r="G92" s="175">
        <f>SUMIF('[1]2°Q 12 V2 CAMPO'!$D$18:$D$113,C92,'[1]2°Q 12 V2 CAMPO'!$AI$18:$AI$114)</f>
        <v>0</v>
      </c>
      <c r="H92" s="169">
        <f>VLOOKUP(B92,'1°Q 01 V1 CAMPO'!B103:DB195,105,FALSE)</f>
        <v>165179.30305535998</v>
      </c>
      <c r="I92" s="170">
        <f>VLOOKUP(B92,'1°Q 01 V2 CAMPO'!B103:DB195,105,FALSE)</f>
        <v>103237.06440959999</v>
      </c>
      <c r="J92" s="176">
        <f t="shared" si="3"/>
        <v>268416.36746495997</v>
      </c>
      <c r="K92" s="171">
        <v>0</v>
      </c>
      <c r="L92" s="176">
        <f t="shared" si="4"/>
        <v>268000</v>
      </c>
      <c r="M92" s="172" t="s">
        <v>221</v>
      </c>
      <c r="N92" s="117"/>
      <c r="O92" s="173"/>
    </row>
    <row r="93" spans="1:15" s="173" customFormat="1" ht="44.25" hidden="1" customHeight="1" x14ac:dyDescent="0.25">
      <c r="A93" s="134" t="s">
        <v>220</v>
      </c>
      <c r="B93" s="167">
        <v>9729</v>
      </c>
      <c r="C93" s="134" t="s">
        <v>153</v>
      </c>
      <c r="D93" s="134">
        <f>SUMIF('[1]2°Q 12 V1 CAMPO'!$D$18:$D$113,C93,'[1]2°Q 12 V1 CAMPO'!$T$18:$T$113)</f>
        <v>6</v>
      </c>
      <c r="E93" s="134">
        <f>SUMIF('[1]2°Q 12 V1 CAMPO'!$D$18:$D$113,C93,'[1]2°Q 12 V1 CAMPO'!$W$18:$X$113)</f>
        <v>0</v>
      </c>
      <c r="F93" s="168">
        <f>SUMIF('[1]2°Q 12 V2 CAMPO'!$D$18:$D$113,C93,'[1]2°Q 12 V2 CAMPO'!$AA$18:$AA$113)</f>
        <v>15</v>
      </c>
      <c r="G93" s="169">
        <f>SUMIF('[1]2°Q 12 V2 CAMPO'!$D$18:$D$113,C93,'[1]2°Q 12 V2 CAMPO'!$AI$18:$AI$114)</f>
        <v>0.25</v>
      </c>
      <c r="H93" s="169">
        <f>VLOOKUP(B93,'1°Q 01 V1 CAMPO'!B104:DB196,105,FALSE)</f>
        <v>0</v>
      </c>
      <c r="I93" s="170">
        <f>VLOOKUP(B93,'1°Q 01 V2 CAMPO'!B104:DB196,105,FALSE)</f>
        <v>0</v>
      </c>
      <c r="J93" s="171">
        <f t="shared" si="3"/>
        <v>0</v>
      </c>
      <c r="K93" s="171">
        <v>0</v>
      </c>
      <c r="L93" s="171">
        <f t="shared" si="4"/>
        <v>0</v>
      </c>
      <c r="M93" s="172" t="s">
        <v>221</v>
      </c>
      <c r="N93" s="118"/>
    </row>
    <row r="94" spans="1:15" s="173" customFormat="1" ht="44.25" customHeight="1" x14ac:dyDescent="0.25">
      <c r="A94" s="134" t="s">
        <v>220</v>
      </c>
      <c r="B94" s="167">
        <v>9756</v>
      </c>
      <c r="C94" s="134" t="s">
        <v>170</v>
      </c>
      <c r="D94" s="134">
        <f>SUMIF('[1]2°Q 12 V1 CAMPO'!$D$18:$D$113,C94,'[1]2°Q 12 V1 CAMPO'!$T$18:$T$113)</f>
        <v>10</v>
      </c>
      <c r="E94" s="134">
        <f>SUMIF('[1]2°Q 12 V1 CAMPO'!$D$18:$D$113,C94,'[1]2°Q 12 V1 CAMPO'!$W$18:$X$113)</f>
        <v>1</v>
      </c>
      <c r="F94" s="168">
        <f>SUMIF('[1]2°Q 12 V2 CAMPO'!$D$18:$D$113,C94,'[1]2°Q 12 V2 CAMPO'!$AA$18:$AA$113)</f>
        <v>15</v>
      </c>
      <c r="G94" s="169">
        <f>SUMIF('[1]2°Q 12 V2 CAMPO'!$D$18:$D$113,C94,'[1]2°Q 12 V2 CAMPO'!$AI$18:$AI$114)</f>
        <v>0.5625</v>
      </c>
      <c r="H94" s="169">
        <f>VLOOKUP(B94,'1°Q 01 V1 CAMPO'!B105:DB197,105,FALSE)</f>
        <v>513377.27389605873</v>
      </c>
      <c r="I94" s="170">
        <f>VLOOKUP(B94,'1°Q 01 V2 CAMPO'!B105:DB197,105,FALSE)</f>
        <v>234864.32153183999</v>
      </c>
      <c r="J94" s="171">
        <f t="shared" si="3"/>
        <v>748241.59542789869</v>
      </c>
      <c r="K94" s="171">
        <v>0</v>
      </c>
      <c r="L94" s="171">
        <f t="shared" si="4"/>
        <v>748000</v>
      </c>
      <c r="M94" s="172" t="s">
        <v>221</v>
      </c>
      <c r="N94" s="118"/>
    </row>
    <row r="95" spans="1:15" s="173" customFormat="1" ht="44.25" customHeight="1" x14ac:dyDescent="0.25">
      <c r="A95" s="134" t="s">
        <v>220</v>
      </c>
      <c r="B95" s="167">
        <v>9730</v>
      </c>
      <c r="C95" s="134" t="s">
        <v>154</v>
      </c>
      <c r="D95" s="134">
        <f>SUMIF('[1]2°Q 12 V1 CAMPO'!$D$18:$D$113,C95,'[1]2°Q 12 V1 CAMPO'!$T$18:$T$113)</f>
        <v>7</v>
      </c>
      <c r="E95" s="134">
        <f>SUMIF('[1]2°Q 12 V1 CAMPO'!$D$18:$D$113,C95,'[1]2°Q 12 V1 CAMPO'!$W$18:$X$113)</f>
        <v>0</v>
      </c>
      <c r="F95" s="168">
        <f>SUMIF('[1]2°Q 12 V2 CAMPO'!$D$18:$D$113,C95,'[1]2°Q 12 V2 CAMPO'!$AA$18:$AA$113)</f>
        <v>15</v>
      </c>
      <c r="G95" s="169">
        <f>SUMIF('[1]2°Q 12 V2 CAMPO'!$D$18:$D$113,C95,'[1]2°Q 12 V2 CAMPO'!$AI$18:$AI$114)</f>
        <v>1.375</v>
      </c>
      <c r="H95" s="169">
        <f>VLOOKUP(B95,'1°Q 01 V1 CAMPO'!B106:DB198,105,FALSE)</f>
        <v>484741.03284657595</v>
      </c>
      <c r="I95" s="170">
        <f>VLOOKUP(B95,'1°Q 01 V2 CAMPO'!B106:DB198,105,FALSE)</f>
        <v>82159.497092639984</v>
      </c>
      <c r="J95" s="171">
        <f t="shared" si="3"/>
        <v>566900.52993921598</v>
      </c>
      <c r="K95" s="171">
        <v>0</v>
      </c>
      <c r="L95" s="171">
        <f t="shared" si="4"/>
        <v>567000</v>
      </c>
      <c r="M95" s="172" t="s">
        <v>221</v>
      </c>
      <c r="N95" s="118"/>
    </row>
    <row r="96" spans="1:15" s="173" customFormat="1" ht="44.25" hidden="1" customHeight="1" x14ac:dyDescent="0.25">
      <c r="A96" s="134" t="s">
        <v>220</v>
      </c>
      <c r="B96" s="167">
        <v>9740</v>
      </c>
      <c r="C96" s="134" t="s">
        <v>156</v>
      </c>
      <c r="D96" s="134">
        <f>SUMIF('[1]2°Q 12 V1 CAMPO'!$D$18:$D$113,C96,'[1]2°Q 12 V1 CAMPO'!$T$18:$T$113)</f>
        <v>7</v>
      </c>
      <c r="E96" s="134">
        <v>1</v>
      </c>
      <c r="F96" s="168">
        <f>SUMIF('[1]2°Q 12 V2 CAMPO'!$D$18:$D$113,C96,'[1]2°Q 12 V2 CAMPO'!$AA$18:$AA$113)</f>
        <v>15</v>
      </c>
      <c r="G96" s="169">
        <f>SUMIF('[1]2°Q 12 V2 CAMPO'!$D$18:$D$113,C96,'[1]2°Q 12 V2 CAMPO'!$AI$18:$AI$114)</f>
        <v>1.5</v>
      </c>
      <c r="H96" s="169">
        <f>VLOOKUP(B96,'1°Q 01 V1 CAMPO'!B107:DB199,105,FALSE)</f>
        <v>0</v>
      </c>
      <c r="I96" s="170">
        <f>VLOOKUP(B96,'1°Q 01 V2 CAMPO'!B107:DB199,105,FALSE)</f>
        <v>0</v>
      </c>
      <c r="J96" s="171">
        <f t="shared" si="3"/>
        <v>0</v>
      </c>
      <c r="K96" s="171">
        <v>0</v>
      </c>
      <c r="L96" s="171">
        <f t="shared" si="4"/>
        <v>0</v>
      </c>
      <c r="M96" s="172" t="s">
        <v>221</v>
      </c>
      <c r="N96" s="118"/>
    </row>
    <row r="97" spans="1:21" s="179" customFormat="1" ht="44.25" hidden="1" customHeight="1" x14ac:dyDescent="0.25">
      <c r="A97" s="174" t="s">
        <v>220</v>
      </c>
      <c r="B97" s="167">
        <v>9757</v>
      </c>
      <c r="C97" s="174" t="s">
        <v>171</v>
      </c>
      <c r="D97" s="174">
        <f>SUMIF('[1]2°Q 12 V1 CAMPO'!$D$18:$D$113,C97,'[1]2°Q 12 V1 CAMPO'!$T$18:$T$113)</f>
        <v>0</v>
      </c>
      <c r="E97" s="174">
        <f>SUMIF('[1]2°Q 12 V1 CAMPO'!$D$18:$D$113,C97,'[1]2°Q 12 V1 CAMPO'!$W$18:$X$113)</f>
        <v>0</v>
      </c>
      <c r="F97" s="168">
        <f>SUMIF('[1]2°Q 12 V2 CAMPO'!$D$18:$D$113,C97,'[1]2°Q 12 V2 CAMPO'!$AA$18:$AA$113)</f>
        <v>0</v>
      </c>
      <c r="G97" s="169">
        <f>SUMIF('[1]2°Q 12 V2 CAMPO'!$D$18:$D$113,C97,'[1]2°Q 12 V2 CAMPO'!$AI$18:$AI$114)</f>
        <v>0</v>
      </c>
      <c r="H97" s="169">
        <f>VLOOKUP(B97,'1°Q 01 V1 CAMPO'!B108:DB200,105,FALSE)</f>
        <v>0</v>
      </c>
      <c r="I97" s="170">
        <f>VLOOKUP(B97,'1°Q 01 V2 CAMPO'!B108:DB200,105,FALSE)</f>
        <v>0</v>
      </c>
      <c r="J97" s="176">
        <f t="shared" si="3"/>
        <v>0</v>
      </c>
      <c r="K97" s="171">
        <v>0</v>
      </c>
      <c r="L97" s="177">
        <f t="shared" si="4"/>
        <v>0</v>
      </c>
      <c r="M97" s="172" t="s">
        <v>221</v>
      </c>
      <c r="N97" s="178"/>
    </row>
    <row r="98" spans="1:21" s="173" customFormat="1" ht="44.25" hidden="1" customHeight="1" x14ac:dyDescent="0.25">
      <c r="A98" s="134" t="s">
        <v>220</v>
      </c>
      <c r="B98" s="167">
        <v>9758</v>
      </c>
      <c r="C98" s="134" t="s">
        <v>172</v>
      </c>
      <c r="D98" s="134">
        <f>SUMIF('[1]2°Q 12 V1 CAMPO'!$D$18:$D$113,C98,'[1]2°Q 12 V1 CAMPO'!$T$18:$T$113)</f>
        <v>0</v>
      </c>
      <c r="E98" s="134">
        <f>SUMIF('[1]2°Q 12 V1 CAMPO'!$D$18:$D$113,C98,'[1]2°Q 12 V1 CAMPO'!$W$18:$X$113)</f>
        <v>0</v>
      </c>
      <c r="F98" s="168">
        <f>SUMIF('[1]2°Q 12 V2 CAMPO'!$D$18:$D$113,C98,'[1]2°Q 12 V2 CAMPO'!$AA$18:$AA$113)</f>
        <v>0</v>
      </c>
      <c r="G98" s="169">
        <f>SUMIF('[1]2°Q 12 V2 CAMPO'!$D$18:$D$113,C98,'[1]2°Q 12 V2 CAMPO'!$AI$18:$AI$114)</f>
        <v>0</v>
      </c>
      <c r="H98" s="169">
        <f>VLOOKUP(B98,'1°Q 01 V1 CAMPO'!B109:DB201,105,FALSE)</f>
        <v>0</v>
      </c>
      <c r="I98" s="170">
        <f>VLOOKUP(B98,'1°Q 01 V2 CAMPO'!B109:DB201,105,FALSE)</f>
        <v>0</v>
      </c>
      <c r="J98" s="171">
        <f t="shared" si="3"/>
        <v>0</v>
      </c>
      <c r="K98" s="171">
        <v>0</v>
      </c>
      <c r="L98" s="171">
        <f t="shared" si="4"/>
        <v>0</v>
      </c>
      <c r="M98" s="172" t="s">
        <v>221</v>
      </c>
      <c r="N98" s="118"/>
    </row>
    <row r="99" spans="1:21" s="173" customFormat="1" ht="44.25" customHeight="1" x14ac:dyDescent="0.25">
      <c r="A99" s="134" t="s">
        <v>220</v>
      </c>
      <c r="B99" s="167">
        <v>9644</v>
      </c>
      <c r="C99" s="134" t="s">
        <v>105</v>
      </c>
      <c r="D99" s="134">
        <f>SUMIF('[1]2°Q 12 V1 CAMPO'!$D$18:$D$113,C99,'[1]2°Q 12 V1 CAMPO'!$T$18:$T$113)</f>
        <v>3</v>
      </c>
      <c r="E99" s="134">
        <f>SUMIF('[1]2°Q 12 V1 CAMPO'!$D$18:$D$113,C99,'[1]2°Q 12 V1 CAMPO'!$W$18:$X$113)</f>
        <v>0</v>
      </c>
      <c r="F99" s="168">
        <f>SUMIF('[1]2°Q 12 V2 CAMPO'!$D$18:$D$113,C99,'[1]2°Q 12 V2 CAMPO'!$AA$18:$AA$113)</f>
        <v>3</v>
      </c>
      <c r="G99" s="169">
        <f>SUMIF('[1]2°Q 12 V2 CAMPO'!$D$18:$D$113,C99,'[1]2°Q 12 V2 CAMPO'!$AI$18:$AI$114)</f>
        <v>0</v>
      </c>
      <c r="H99" s="169">
        <f>VLOOKUP(B99,'1°Q 01 V1 CAMPO'!B110:DB202,105,FALSE)</f>
        <v>350849.34056353103</v>
      </c>
      <c r="I99" s="170">
        <f>VLOOKUP(B99,'1°Q 01 V2 CAMPO'!B110:DB202,105,FALSE)</f>
        <v>21678.777840059996</v>
      </c>
      <c r="J99" s="171">
        <f t="shared" si="3"/>
        <v>372528.11840359104</v>
      </c>
      <c r="K99" s="171">
        <v>0</v>
      </c>
      <c r="L99" s="171">
        <f t="shared" si="4"/>
        <v>373000</v>
      </c>
      <c r="M99" s="172" t="s">
        <v>221</v>
      </c>
      <c r="N99" s="118"/>
    </row>
    <row r="100" spans="1:21" ht="44.25" hidden="1" customHeight="1" x14ac:dyDescent="0.25">
      <c r="A100" s="180" t="s">
        <v>220</v>
      </c>
      <c r="B100" s="181">
        <v>9830</v>
      </c>
      <c r="C100" s="180" t="s">
        <v>179</v>
      </c>
      <c r="D100" s="180">
        <f>SUMIF('[1]2°Q 12 V1 CAMPO'!$D$18:$D$113,C100,'[1]2°Q 12 V1 CAMPO'!$T$18:$T$113)</f>
        <v>0</v>
      </c>
      <c r="E100" s="180">
        <f>SUMIF('[1]2°Q 12 V1 CAMPO'!$D$18:$D$113,C100,'[1]2°Q 12 V1 CAMPO'!$W$18:$X$113)</f>
        <v>0</v>
      </c>
      <c r="F100" s="182">
        <f>SUMIF('[1]2°Q 12 V2 CAMPO'!$D$18:$D$113,C100,'[1]2°Q 12 V2 CAMPO'!$AA$18:$AA$113)</f>
        <v>0</v>
      </c>
      <c r="G100" s="175">
        <f>SUMIF('[1]2°Q 12 V2 CAMPO'!$D$18:$D$113,C100,'[1]2°Q 12 V2 CAMPO'!$AI$18:$AI$114)</f>
        <v>0</v>
      </c>
      <c r="H100" s="169">
        <f>VLOOKUP(B100,'1°Q 01 V1 CAMPO'!B111:DB203,105,FALSE)</f>
        <v>0</v>
      </c>
      <c r="I100" s="170">
        <f>VLOOKUP(B100,'1°Q 01 V2 CAMPO'!B111:DB203,105,FALSE)</f>
        <v>0</v>
      </c>
      <c r="J100" s="176">
        <f t="shared" si="3"/>
        <v>0</v>
      </c>
      <c r="K100" s="171">
        <v>0</v>
      </c>
      <c r="L100" s="176">
        <f t="shared" si="4"/>
        <v>0</v>
      </c>
      <c r="M100" s="172" t="s">
        <v>221</v>
      </c>
      <c r="N100" s="117"/>
    </row>
    <row r="101" spans="1:21" ht="44.25" hidden="1" customHeight="1" x14ac:dyDescent="0.25">
      <c r="A101" s="180" t="s">
        <v>220</v>
      </c>
      <c r="B101" s="181">
        <v>9732</v>
      </c>
      <c r="C101" s="180" t="s">
        <v>155</v>
      </c>
      <c r="D101" s="180">
        <f>SUMIF('[1]2°Q 12 V1 CAMPO'!$D$18:$D$113,C101,'[1]2°Q 12 V1 CAMPO'!$T$18:$T$113)</f>
        <v>0</v>
      </c>
      <c r="E101" s="180">
        <f>SUMIF('[1]2°Q 12 V1 CAMPO'!$D$18:$D$113,C101,'[1]2°Q 12 V1 CAMPO'!$W$18:$X$113)</f>
        <v>0</v>
      </c>
      <c r="F101" s="182">
        <f>SUMIF('[1]2°Q 12 V2 CAMPO'!$D$18:$D$113,C101,'[1]2°Q 12 V2 CAMPO'!$AA$18:$AA$113)</f>
        <v>0</v>
      </c>
      <c r="G101" s="175">
        <f>SUMIF('[1]2°Q 12 V2 CAMPO'!$D$18:$D$113,C101,'[1]2°Q 12 V2 CAMPO'!$AI$18:$AI$114)</f>
        <v>0</v>
      </c>
      <c r="H101" s="169">
        <f>VLOOKUP(B101,'1°Q 01 V1 CAMPO'!B112:DB204,105,FALSE)</f>
        <v>0</v>
      </c>
      <c r="I101" s="170">
        <f>VLOOKUP(B101,'1°Q 01 V2 CAMPO'!B112:DB204,105,FALSE)</f>
        <v>0</v>
      </c>
      <c r="J101" s="176">
        <f t="shared" si="3"/>
        <v>0</v>
      </c>
      <c r="K101" s="171">
        <v>0</v>
      </c>
      <c r="L101" s="176">
        <f t="shared" si="4"/>
        <v>0</v>
      </c>
      <c r="M101" s="172" t="s">
        <v>221</v>
      </c>
      <c r="N101" s="117"/>
      <c r="S101" s="153" t="s">
        <v>222</v>
      </c>
      <c r="T101" s="153"/>
      <c r="U101" s="153">
        <v>343</v>
      </c>
    </row>
    <row r="102" spans="1:21" ht="44.25" hidden="1" customHeight="1" x14ac:dyDescent="0.25">
      <c r="A102" s="180" t="s">
        <v>220</v>
      </c>
      <c r="B102" s="181">
        <v>9860</v>
      </c>
      <c r="C102" s="180" t="s">
        <v>192</v>
      </c>
      <c r="D102" s="180">
        <f>SUMIF('[1]2°Q 12 V1 CAMPO'!$D$18:$D$113,C102,'[1]2°Q 12 V1 CAMPO'!$T$18:$T$113)</f>
        <v>0</v>
      </c>
      <c r="E102" s="180">
        <f>SUMIF('[1]2°Q 12 V1 CAMPO'!$D$18:$D$113,C102,'[1]2°Q 12 V1 CAMPO'!$W$18:$X$113)</f>
        <v>0</v>
      </c>
      <c r="F102" s="182">
        <f>SUMIF('[1]2°Q 12 V2 CAMPO'!$D$18:$D$113,C102,'[1]2°Q 12 V2 CAMPO'!$AA$18:$AA$113)</f>
        <v>0</v>
      </c>
      <c r="G102" s="175">
        <f>SUMIF('[1]2°Q 12 V2 CAMPO'!$D$18:$D$113,C102,'[1]2°Q 12 V2 CAMPO'!$AI$18:$AI$114)</f>
        <v>0</v>
      </c>
      <c r="H102" s="169">
        <f>VLOOKUP(B102,'1°Q 01 V1 CAMPO'!B113:DB205,105,FALSE)</f>
        <v>0</v>
      </c>
      <c r="I102" s="170">
        <f>VLOOKUP(B102,'1°Q 01 V2 CAMPO'!B113:DB205,105,FALSE)</f>
        <v>0</v>
      </c>
      <c r="J102" s="176">
        <f t="shared" si="3"/>
        <v>0</v>
      </c>
      <c r="K102" s="171">
        <v>0</v>
      </c>
      <c r="L102" s="176">
        <f t="shared" si="4"/>
        <v>0</v>
      </c>
      <c r="M102" s="172" t="s">
        <v>221</v>
      </c>
      <c r="N102" s="117"/>
    </row>
    <row r="103" spans="1:21" x14ac:dyDescent="0.25">
      <c r="H103" s="183">
        <f>SUM(H7:H102)</f>
        <v>14981640.037298154</v>
      </c>
      <c r="I103" s="183">
        <f>SUM(I7:I102)</f>
        <v>5995533.7620494245</v>
      </c>
      <c r="S103" s="158"/>
    </row>
    <row r="106" spans="1:21" x14ac:dyDescent="0.25">
      <c r="H106" s="160">
        <v>14981640.037298154</v>
      </c>
      <c r="I106" s="160">
        <v>5995533.7620494245</v>
      </c>
      <c r="J106" s="160">
        <v>20977173.799347576</v>
      </c>
      <c r="K106" s="160">
        <v>356824.41404176538</v>
      </c>
      <c r="L106" s="160">
        <v>20976000</v>
      </c>
    </row>
    <row r="107" spans="1:21" ht="30" x14ac:dyDescent="0.25">
      <c r="B107" s="163" t="s">
        <v>18</v>
      </c>
      <c r="C107" s="163" t="s">
        <v>20</v>
      </c>
      <c r="D107" s="163" t="s">
        <v>34</v>
      </c>
      <c r="E107" s="163" t="s">
        <v>213</v>
      </c>
      <c r="F107" s="163" t="s">
        <v>214</v>
      </c>
      <c r="G107" s="163" t="s">
        <v>49</v>
      </c>
      <c r="H107" s="164" t="s">
        <v>215</v>
      </c>
      <c r="I107" s="164" t="s">
        <v>216</v>
      </c>
      <c r="J107" s="164" t="s">
        <v>217</v>
      </c>
      <c r="K107" s="163" t="s">
        <v>218</v>
      </c>
      <c r="L107" s="163" t="s">
        <v>217</v>
      </c>
    </row>
    <row r="108" spans="1:21" ht="15.75" x14ac:dyDescent="0.25">
      <c r="B108" s="167">
        <v>9831</v>
      </c>
      <c r="C108" s="134" t="s">
        <v>180</v>
      </c>
      <c r="D108" s="134">
        <v>0</v>
      </c>
      <c r="E108" s="134">
        <v>0</v>
      </c>
      <c r="F108" s="168">
        <v>0</v>
      </c>
      <c r="G108" s="169">
        <v>0</v>
      </c>
      <c r="H108" s="169">
        <v>30971.119322879997</v>
      </c>
      <c r="I108" s="170">
        <v>20647.412881919998</v>
      </c>
      <c r="J108" s="171">
        <v>51618.532204799994</v>
      </c>
      <c r="K108" s="171">
        <v>0</v>
      </c>
      <c r="L108" s="171">
        <v>52000</v>
      </c>
    </row>
    <row r="109" spans="1:21" ht="15.75" x14ac:dyDescent="0.25">
      <c r="B109" s="167">
        <v>9759</v>
      </c>
      <c r="C109" s="134" t="s">
        <v>173</v>
      </c>
      <c r="D109" s="134">
        <v>4</v>
      </c>
      <c r="E109" s="134">
        <v>0</v>
      </c>
      <c r="F109" s="168">
        <v>3</v>
      </c>
      <c r="G109" s="169">
        <v>0</v>
      </c>
      <c r="H109" s="169">
        <v>270921.61619195895</v>
      </c>
      <c r="I109" s="170">
        <v>21792.279294719996</v>
      </c>
      <c r="J109" s="171">
        <v>292713.89548667893</v>
      </c>
      <c r="K109" s="171">
        <v>0</v>
      </c>
      <c r="L109" s="171">
        <v>293000</v>
      </c>
    </row>
    <row r="110" spans="1:21" ht="15.75" x14ac:dyDescent="0.25">
      <c r="B110" s="167">
        <v>9746</v>
      </c>
      <c r="C110" s="134" t="s">
        <v>162</v>
      </c>
      <c r="D110" s="134">
        <v>7</v>
      </c>
      <c r="E110" s="134">
        <v>1</v>
      </c>
      <c r="F110" s="168">
        <v>15</v>
      </c>
      <c r="G110" s="169">
        <v>1</v>
      </c>
      <c r="H110" s="169">
        <v>312414.11596910591</v>
      </c>
      <c r="I110" s="170">
        <v>217922.79294719998</v>
      </c>
      <c r="J110" s="171">
        <v>530336.90891630587</v>
      </c>
      <c r="K110" s="171">
        <v>0</v>
      </c>
      <c r="L110" s="171">
        <v>530000</v>
      </c>
    </row>
    <row r="111" spans="1:21" ht="15.75" x14ac:dyDescent="0.25">
      <c r="B111" s="181">
        <v>9652</v>
      </c>
      <c r="C111" s="180" t="s">
        <v>110</v>
      </c>
      <c r="D111" s="180">
        <v>4</v>
      </c>
      <c r="E111" s="180">
        <v>0</v>
      </c>
      <c r="F111" s="182">
        <v>10</v>
      </c>
      <c r="G111" s="175">
        <v>0</v>
      </c>
      <c r="H111" s="169">
        <v>328997.13250075048</v>
      </c>
      <c r="I111" s="170">
        <v>130072.66704035999</v>
      </c>
      <c r="J111" s="176">
        <v>459069.79954111046</v>
      </c>
      <c r="K111" s="171">
        <v>0</v>
      </c>
      <c r="L111" s="176">
        <v>459000</v>
      </c>
    </row>
    <row r="112" spans="1:21" ht="15.75" x14ac:dyDescent="0.25">
      <c r="B112" s="167">
        <v>9833</v>
      </c>
      <c r="C112" s="134" t="s">
        <v>182</v>
      </c>
      <c r="D112" s="134">
        <v>7</v>
      </c>
      <c r="E112" s="134">
        <v>1</v>
      </c>
      <c r="F112" s="168">
        <v>15</v>
      </c>
      <c r="G112" s="169">
        <v>1.5</v>
      </c>
      <c r="H112" s="169">
        <v>495537.90916607995</v>
      </c>
      <c r="I112" s="170">
        <v>252930.80780351997</v>
      </c>
      <c r="J112" s="171">
        <v>748468.71696959995</v>
      </c>
      <c r="K112" s="171">
        <v>0</v>
      </c>
      <c r="L112" s="171">
        <v>748000</v>
      </c>
    </row>
    <row r="113" spans="2:12" ht="15.75" x14ac:dyDescent="0.25">
      <c r="B113" s="167">
        <v>9812</v>
      </c>
      <c r="C113" s="134" t="s">
        <v>175</v>
      </c>
      <c r="D113" s="134">
        <v>4</v>
      </c>
      <c r="E113" s="134">
        <v>0</v>
      </c>
      <c r="F113" s="168">
        <v>3</v>
      </c>
      <c r="G113" s="169">
        <v>0</v>
      </c>
      <c r="H113" s="169">
        <v>289063.78034687997</v>
      </c>
      <c r="I113" s="170">
        <v>103237.06440959999</v>
      </c>
      <c r="J113" s="171">
        <v>392300.84475647996</v>
      </c>
      <c r="K113" s="171">
        <v>0</v>
      </c>
      <c r="L113" s="171">
        <v>392000</v>
      </c>
    </row>
    <row r="114" spans="2:12" ht="15.75" x14ac:dyDescent="0.25">
      <c r="B114" s="167">
        <v>9832</v>
      </c>
      <c r="C114" s="134" t="s">
        <v>181</v>
      </c>
      <c r="D114" s="134">
        <v>7</v>
      </c>
      <c r="E114" s="134">
        <v>1</v>
      </c>
      <c r="F114" s="168">
        <v>15</v>
      </c>
      <c r="G114" s="169">
        <v>0.625</v>
      </c>
      <c r="H114" s="169">
        <v>495537.90916607995</v>
      </c>
      <c r="I114" s="170">
        <v>221959.68848063995</v>
      </c>
      <c r="J114" s="171">
        <v>717497.59764671989</v>
      </c>
      <c r="K114" s="171">
        <v>0</v>
      </c>
      <c r="L114" s="171">
        <v>717000</v>
      </c>
    </row>
    <row r="115" spans="2:12" ht="15.75" x14ac:dyDescent="0.25">
      <c r="B115" s="167">
        <v>9645</v>
      </c>
      <c r="C115" s="134" t="s">
        <v>106</v>
      </c>
      <c r="D115" s="134">
        <v>13</v>
      </c>
      <c r="E115" s="134">
        <v>1</v>
      </c>
      <c r="F115" s="168">
        <v>15</v>
      </c>
      <c r="G115" s="169">
        <v>0.125</v>
      </c>
      <c r="H115" s="169">
        <v>631286.01070254715</v>
      </c>
      <c r="I115" s="170">
        <v>162590.83380045</v>
      </c>
      <c r="J115" s="171">
        <v>793876.84450299712</v>
      </c>
      <c r="K115" s="171">
        <v>0</v>
      </c>
      <c r="L115" s="171">
        <v>794000</v>
      </c>
    </row>
    <row r="116" spans="2:12" ht="15.75" x14ac:dyDescent="0.25">
      <c r="B116" s="167">
        <v>9856</v>
      </c>
      <c r="C116" s="134" t="s">
        <v>188</v>
      </c>
      <c r="D116" s="134">
        <v>7</v>
      </c>
      <c r="E116" s="134">
        <v>1</v>
      </c>
      <c r="F116" s="168">
        <v>15</v>
      </c>
      <c r="G116" s="169">
        <v>1.125</v>
      </c>
      <c r="H116" s="169">
        <v>303502.88976083993</v>
      </c>
      <c r="I116" s="170">
        <v>216787.77840059996</v>
      </c>
      <c r="J116" s="171">
        <v>520290.66816143988</v>
      </c>
      <c r="K116" s="171">
        <v>0</v>
      </c>
      <c r="L116" s="171">
        <v>520000</v>
      </c>
    </row>
    <row r="117" spans="2:12" ht="15.75" x14ac:dyDescent="0.25">
      <c r="B117" s="167">
        <v>9748</v>
      </c>
      <c r="C117" s="134" t="s">
        <v>163</v>
      </c>
      <c r="D117" s="134">
        <v>7</v>
      </c>
      <c r="E117" s="134">
        <v>0</v>
      </c>
      <c r="F117" s="168">
        <v>15</v>
      </c>
      <c r="G117" s="169">
        <v>1.5</v>
      </c>
      <c r="H117" s="169">
        <v>535567.05594703858</v>
      </c>
      <c r="I117" s="170">
        <v>266955.42136031989</v>
      </c>
      <c r="J117" s="171">
        <v>802522.47730735852</v>
      </c>
      <c r="K117" s="171">
        <v>0</v>
      </c>
      <c r="L117" s="171">
        <v>803000</v>
      </c>
    </row>
    <row r="118" spans="2:12" ht="15.75" x14ac:dyDescent="0.25">
      <c r="B118" s="167">
        <v>9749</v>
      </c>
      <c r="C118" s="134" t="s">
        <v>164</v>
      </c>
      <c r="D118" s="134">
        <v>7</v>
      </c>
      <c r="E118" s="134">
        <v>1</v>
      </c>
      <c r="F118" s="168">
        <v>15</v>
      </c>
      <c r="G118" s="169">
        <v>1.5</v>
      </c>
      <c r="H118" s="169">
        <v>523014.70307327987</v>
      </c>
      <c r="I118" s="170">
        <v>266955.42136031989</v>
      </c>
      <c r="J118" s="171">
        <v>789970.12443359976</v>
      </c>
      <c r="K118" s="171">
        <v>0</v>
      </c>
      <c r="L118" s="171">
        <v>790000</v>
      </c>
    </row>
    <row r="119" spans="2:12" ht="15.75" x14ac:dyDescent="0.25">
      <c r="B119" s="167">
        <v>9750</v>
      </c>
      <c r="C119" s="134" t="s">
        <v>165</v>
      </c>
      <c r="D119" s="134">
        <v>13</v>
      </c>
      <c r="E119" s="134">
        <v>1</v>
      </c>
      <c r="F119" s="168">
        <v>15</v>
      </c>
      <c r="G119" s="169">
        <v>2.75</v>
      </c>
      <c r="H119" s="169">
        <v>586996.83508257777</v>
      </c>
      <c r="I119" s="170">
        <v>310539.97994975996</v>
      </c>
      <c r="J119" s="171">
        <v>897536.81503233779</v>
      </c>
      <c r="K119" s="171">
        <v>0</v>
      </c>
      <c r="L119" s="171">
        <v>898000</v>
      </c>
    </row>
    <row r="120" spans="2:12" ht="15.75" x14ac:dyDescent="0.25">
      <c r="B120" s="167">
        <v>9829</v>
      </c>
      <c r="C120" s="134" t="s">
        <v>178</v>
      </c>
      <c r="D120" s="134">
        <v>5</v>
      </c>
      <c r="E120" s="134">
        <v>0</v>
      </c>
      <c r="F120" s="168">
        <v>6</v>
      </c>
      <c r="G120" s="169">
        <v>0</v>
      </c>
      <c r="H120" s="169">
        <v>82589.651527679991</v>
      </c>
      <c r="I120" s="170">
        <v>15485.559661439998</v>
      </c>
      <c r="J120" s="171">
        <v>98075.211189119989</v>
      </c>
      <c r="K120" s="171">
        <v>0</v>
      </c>
      <c r="L120" s="171">
        <v>98000</v>
      </c>
    </row>
    <row r="121" spans="2:12" ht="15.75" x14ac:dyDescent="0.25">
      <c r="B121" s="167">
        <v>9648</v>
      </c>
      <c r="C121" s="134" t="s">
        <v>108</v>
      </c>
      <c r="D121" s="134">
        <v>4</v>
      </c>
      <c r="E121" s="134">
        <v>0</v>
      </c>
      <c r="F121" s="168">
        <v>3</v>
      </c>
      <c r="G121" s="169">
        <v>0</v>
      </c>
      <c r="H121" s="169">
        <v>159798.60721465023</v>
      </c>
      <c r="I121" s="170">
        <v>21678.777840059996</v>
      </c>
      <c r="J121" s="171">
        <v>181477.38505471023</v>
      </c>
      <c r="K121" s="171">
        <v>28199.75421435004</v>
      </c>
      <c r="L121" s="171">
        <v>181000</v>
      </c>
    </row>
    <row r="122" spans="2:12" ht="15.75" x14ac:dyDescent="0.25">
      <c r="B122" s="167">
        <v>9679</v>
      </c>
      <c r="C122" s="134" t="s">
        <v>125</v>
      </c>
      <c r="D122" s="134">
        <v>0</v>
      </c>
      <c r="E122" s="134">
        <v>0</v>
      </c>
      <c r="F122" s="168">
        <v>0</v>
      </c>
      <c r="G122" s="169">
        <v>0</v>
      </c>
      <c r="H122" s="169">
        <v>681407.34506876569</v>
      </c>
      <c r="I122" s="170">
        <v>411896.77896113991</v>
      </c>
      <c r="J122" s="171">
        <v>1093304.1240299055</v>
      </c>
      <c r="K122" s="171">
        <v>0</v>
      </c>
      <c r="L122" s="171">
        <v>1093000</v>
      </c>
    </row>
    <row r="123" spans="2:12" ht="15.75" x14ac:dyDescent="0.25">
      <c r="B123" s="167">
        <v>9859</v>
      </c>
      <c r="C123" s="134" t="s">
        <v>191</v>
      </c>
      <c r="D123" s="134">
        <v>5</v>
      </c>
      <c r="E123" s="134">
        <v>0</v>
      </c>
      <c r="F123" s="168">
        <v>15</v>
      </c>
      <c r="G123" s="169">
        <v>1.125</v>
      </c>
      <c r="H123" s="169">
        <v>520290.66816143994</v>
      </c>
      <c r="I123" s="170">
        <v>260145.33408071997</v>
      </c>
      <c r="J123" s="171">
        <v>780436.00224215991</v>
      </c>
      <c r="K123" s="171">
        <v>0</v>
      </c>
      <c r="L123" s="171">
        <v>780000</v>
      </c>
    </row>
    <row r="124" spans="2:12" ht="15.75" x14ac:dyDescent="0.25">
      <c r="B124" s="167">
        <v>9683</v>
      </c>
      <c r="C124" s="134" t="s">
        <v>127</v>
      </c>
      <c r="D124" s="134">
        <v>25</v>
      </c>
      <c r="E124" s="134">
        <v>0</v>
      </c>
      <c r="F124" s="168">
        <v>0</v>
      </c>
      <c r="G124" s="169">
        <v>0</v>
      </c>
      <c r="H124" s="169">
        <v>562497.14810601214</v>
      </c>
      <c r="I124" s="170">
        <v>0</v>
      </c>
      <c r="J124" s="171">
        <v>562497.14810601214</v>
      </c>
      <c r="K124" s="171">
        <v>140624.28702650304</v>
      </c>
      <c r="L124" s="171">
        <v>562000</v>
      </c>
    </row>
    <row r="125" spans="2:12" ht="15.75" x14ac:dyDescent="0.25">
      <c r="B125" s="167">
        <v>9751</v>
      </c>
      <c r="C125" s="134" t="s">
        <v>166</v>
      </c>
      <c r="D125" s="134">
        <v>12</v>
      </c>
      <c r="E125" s="134">
        <v>1</v>
      </c>
      <c r="F125" s="168">
        <v>15</v>
      </c>
      <c r="G125" s="169">
        <v>2.9375</v>
      </c>
      <c r="H125" s="169">
        <v>618773.67429875711</v>
      </c>
      <c r="I125" s="170">
        <v>371387.72607551998</v>
      </c>
      <c r="J125" s="171">
        <v>990161.40037427703</v>
      </c>
      <c r="K125" s="171">
        <v>0</v>
      </c>
      <c r="L125" s="171">
        <v>990000</v>
      </c>
    </row>
    <row r="126" spans="2:12" ht="15.75" x14ac:dyDescent="0.25">
      <c r="B126" s="167">
        <v>9827</v>
      </c>
      <c r="C126" s="134" t="s">
        <v>177</v>
      </c>
      <c r="D126" s="134">
        <v>8.5</v>
      </c>
      <c r="E126" s="134">
        <v>1</v>
      </c>
      <c r="F126" s="168">
        <v>0</v>
      </c>
      <c r="G126" s="169">
        <v>0</v>
      </c>
      <c r="H126" s="169">
        <v>578127.56069375994</v>
      </c>
      <c r="I126" s="170">
        <v>650393.50578047999</v>
      </c>
      <c r="J126" s="171">
        <v>1228521.0664742398</v>
      </c>
      <c r="K126" s="171">
        <v>0</v>
      </c>
      <c r="L126" s="171">
        <v>1229000</v>
      </c>
    </row>
    <row r="127" spans="2:12" ht="15.75" x14ac:dyDescent="0.25">
      <c r="B127" s="167">
        <v>9697</v>
      </c>
      <c r="C127" s="134" t="s">
        <v>136</v>
      </c>
      <c r="D127" s="134">
        <v>14</v>
      </c>
      <c r="E127" s="134">
        <v>1</v>
      </c>
      <c r="F127" s="168">
        <v>15</v>
      </c>
      <c r="G127" s="169">
        <v>7.625</v>
      </c>
      <c r="H127" s="169">
        <v>539714.85310613352</v>
      </c>
      <c r="I127" s="170">
        <v>411896.77896113991</v>
      </c>
      <c r="J127" s="171">
        <v>951611.63206727337</v>
      </c>
      <c r="K127" s="171">
        <v>144640.80574888029</v>
      </c>
      <c r="L127" s="171">
        <v>952000</v>
      </c>
    </row>
    <row r="128" spans="2:12" ht="15.75" x14ac:dyDescent="0.25">
      <c r="B128" s="181">
        <v>9741</v>
      </c>
      <c r="C128" s="180" t="s">
        <v>157</v>
      </c>
      <c r="D128" s="180">
        <v>0</v>
      </c>
      <c r="E128" s="180">
        <v>0</v>
      </c>
      <c r="F128" s="182">
        <v>0</v>
      </c>
      <c r="G128" s="175">
        <v>0</v>
      </c>
      <c r="H128" s="169">
        <v>128344.31847401471</v>
      </c>
      <c r="I128" s="170">
        <v>20647.412881919998</v>
      </c>
      <c r="J128" s="176">
        <v>148991.73135593469</v>
      </c>
      <c r="K128" s="171">
        <v>0</v>
      </c>
      <c r="L128" s="176">
        <v>149000</v>
      </c>
    </row>
    <row r="129" spans="2:12" ht="15.75" x14ac:dyDescent="0.25">
      <c r="B129" s="167">
        <v>9699</v>
      </c>
      <c r="C129" s="134" t="s">
        <v>138</v>
      </c>
      <c r="D129" s="134">
        <v>13</v>
      </c>
      <c r="E129" s="134">
        <v>1</v>
      </c>
      <c r="F129" s="168">
        <v>15</v>
      </c>
      <c r="G129" s="169">
        <v>1.1299999999999999</v>
      </c>
      <c r="H129" s="169">
        <v>675909.33460503549</v>
      </c>
      <c r="I129" s="170">
        <v>0</v>
      </c>
      <c r="J129" s="171">
        <v>675909.33460503549</v>
      </c>
      <c r="K129" s="171">
        <v>0</v>
      </c>
      <c r="L129" s="171">
        <v>676000</v>
      </c>
    </row>
    <row r="130" spans="2:12" ht="15.75" x14ac:dyDescent="0.25">
      <c r="B130" s="167">
        <v>9847</v>
      </c>
      <c r="C130" s="174" t="s">
        <v>183</v>
      </c>
      <c r="D130" s="174">
        <v>0</v>
      </c>
      <c r="E130" s="174">
        <v>1</v>
      </c>
      <c r="F130" s="168">
        <v>0</v>
      </c>
      <c r="G130" s="169">
        <v>0</v>
      </c>
      <c r="H130" s="169">
        <v>330358.60611071996</v>
      </c>
      <c r="I130" s="170">
        <v>227121.54170112</v>
      </c>
      <c r="J130" s="176">
        <v>557480.14781183994</v>
      </c>
      <c r="K130" s="171">
        <v>0</v>
      </c>
      <c r="L130" s="177">
        <v>557000</v>
      </c>
    </row>
    <row r="131" spans="2:12" ht="15.75" x14ac:dyDescent="0.25">
      <c r="B131" s="167">
        <v>9702</v>
      </c>
      <c r="C131" s="134" t="s">
        <v>139</v>
      </c>
      <c r="D131" s="134">
        <v>7</v>
      </c>
      <c r="E131" s="134">
        <v>1</v>
      </c>
      <c r="F131" s="168">
        <v>15</v>
      </c>
      <c r="G131" s="169">
        <v>1.25</v>
      </c>
      <c r="H131" s="169">
        <v>537633.69043348788</v>
      </c>
      <c r="I131" s="170">
        <v>200528.69502055497</v>
      </c>
      <c r="J131" s="171">
        <v>738162.38545404281</v>
      </c>
      <c r="K131" s="171">
        <v>0</v>
      </c>
      <c r="L131" s="171">
        <v>738000</v>
      </c>
    </row>
    <row r="132" spans="2:12" ht="15.75" x14ac:dyDescent="0.25">
      <c r="B132" s="167">
        <v>9848</v>
      </c>
      <c r="C132" s="134" t="s">
        <v>184</v>
      </c>
      <c r="D132" s="134">
        <v>7</v>
      </c>
      <c r="E132" s="134">
        <v>0</v>
      </c>
      <c r="F132" s="168">
        <v>15</v>
      </c>
      <c r="G132" s="169">
        <v>2.75</v>
      </c>
      <c r="H132" s="169">
        <v>421207.22279116797</v>
      </c>
      <c r="I132" s="170">
        <v>273578.22068543994</v>
      </c>
      <c r="J132" s="171">
        <v>694785.44347660791</v>
      </c>
      <c r="K132" s="171">
        <v>43359.567052031991</v>
      </c>
      <c r="L132" s="171">
        <v>695000</v>
      </c>
    </row>
    <row r="133" spans="2:12" ht="15.75" x14ac:dyDescent="0.25">
      <c r="B133" s="167">
        <v>9647</v>
      </c>
      <c r="C133" s="134" t="s">
        <v>107</v>
      </c>
      <c r="D133" s="134">
        <v>4</v>
      </c>
      <c r="E133" s="134">
        <v>0</v>
      </c>
      <c r="F133" s="168">
        <v>3</v>
      </c>
      <c r="G133" s="169">
        <v>0</v>
      </c>
      <c r="H133" s="169">
        <v>315163.830847367</v>
      </c>
      <c r="I133" s="170">
        <v>20539.874273159996</v>
      </c>
      <c r="J133" s="171">
        <v>335703.70512052701</v>
      </c>
      <c r="K133" s="171">
        <v>0</v>
      </c>
      <c r="L133" s="171">
        <v>336000</v>
      </c>
    </row>
    <row r="134" spans="2:12" ht="15.75" x14ac:dyDescent="0.25">
      <c r="B134" s="167">
        <v>9637</v>
      </c>
      <c r="C134" s="134" t="s">
        <v>101</v>
      </c>
      <c r="D134" s="134">
        <v>0</v>
      </c>
      <c r="E134" s="134">
        <v>0</v>
      </c>
      <c r="F134" s="168">
        <v>0</v>
      </c>
      <c r="G134" s="169">
        <v>0</v>
      </c>
      <c r="H134" s="169">
        <v>266972.78805200633</v>
      </c>
      <c r="I134" s="170">
        <v>21678.777840059996</v>
      </c>
      <c r="J134" s="171">
        <v>288651.56589206634</v>
      </c>
      <c r="K134" s="171">
        <v>0</v>
      </c>
      <c r="L134" s="171">
        <v>289000</v>
      </c>
    </row>
    <row r="135" spans="2:12" ht="15.75" x14ac:dyDescent="0.25">
      <c r="B135" s="167">
        <v>9636</v>
      </c>
      <c r="C135" s="134" t="s">
        <v>100</v>
      </c>
      <c r="D135" s="134">
        <v>4</v>
      </c>
      <c r="E135" s="134">
        <v>0</v>
      </c>
      <c r="F135" s="168">
        <v>3</v>
      </c>
      <c r="G135" s="169">
        <v>0</v>
      </c>
      <c r="H135" s="169">
        <v>336281.2018550107</v>
      </c>
      <c r="I135" s="170">
        <v>21678.777840059996</v>
      </c>
      <c r="J135" s="171">
        <v>357959.97969507071</v>
      </c>
      <c r="K135" s="171">
        <v>0</v>
      </c>
      <c r="L135" s="171">
        <v>358000</v>
      </c>
    </row>
    <row r="136" spans="2:12" ht="15.75" x14ac:dyDescent="0.25">
      <c r="B136" s="167">
        <v>9873</v>
      </c>
      <c r="C136" s="134" t="s">
        <v>194</v>
      </c>
      <c r="D136" s="134">
        <v>4</v>
      </c>
      <c r="E136" s="134">
        <v>0</v>
      </c>
      <c r="F136" s="168">
        <v>3</v>
      </c>
      <c r="G136" s="169">
        <v>0</v>
      </c>
      <c r="H136" s="169">
        <v>303502.88976083993</v>
      </c>
      <c r="I136" s="170">
        <v>21678.777840059996</v>
      </c>
      <c r="J136" s="171">
        <v>325181.66760089993</v>
      </c>
      <c r="K136" s="171">
        <v>0</v>
      </c>
      <c r="L136" s="171">
        <v>325000</v>
      </c>
    </row>
    <row r="137" spans="2:12" ht="15.75" x14ac:dyDescent="0.25">
      <c r="B137" s="167">
        <v>9796</v>
      </c>
      <c r="C137" s="134" t="s">
        <v>174</v>
      </c>
      <c r="D137" s="134">
        <v>0</v>
      </c>
      <c r="E137" s="134">
        <v>0</v>
      </c>
      <c r="F137" s="168">
        <v>0</v>
      </c>
      <c r="G137" s="169">
        <v>0</v>
      </c>
      <c r="H137" s="169">
        <v>256688.63694802942</v>
      </c>
      <c r="I137" s="170">
        <v>20647.412881919998</v>
      </c>
      <c r="J137" s="171">
        <v>277336.04982994939</v>
      </c>
      <c r="K137" s="171">
        <v>0</v>
      </c>
      <c r="L137" s="171">
        <v>277000</v>
      </c>
    </row>
    <row r="138" spans="2:12" ht="15.75" x14ac:dyDescent="0.25">
      <c r="B138" s="167">
        <v>9715</v>
      </c>
      <c r="C138" s="134" t="s">
        <v>145</v>
      </c>
      <c r="D138" s="134">
        <v>4</v>
      </c>
      <c r="E138" s="134">
        <v>0</v>
      </c>
      <c r="F138" s="168">
        <v>3</v>
      </c>
      <c r="G138" s="169">
        <v>0</v>
      </c>
      <c r="H138" s="169">
        <v>380159.04820329207</v>
      </c>
      <c r="I138" s="170">
        <v>238466.55624065999</v>
      </c>
      <c r="J138" s="171">
        <v>618625.60444395209</v>
      </c>
      <c r="K138" s="171">
        <v>0</v>
      </c>
      <c r="L138" s="171">
        <v>619000</v>
      </c>
    </row>
    <row r="139" spans="2:12" ht="15.75" x14ac:dyDescent="0.25">
      <c r="B139" s="167">
        <v>9716</v>
      </c>
      <c r="C139" s="134" t="s">
        <v>146</v>
      </c>
      <c r="D139" s="134">
        <v>11</v>
      </c>
      <c r="E139" s="134">
        <v>1</v>
      </c>
      <c r="F139" s="168">
        <v>0</v>
      </c>
      <c r="G139" s="169">
        <v>0</v>
      </c>
      <c r="H139" s="169">
        <v>520290.66816143994</v>
      </c>
      <c r="I139" s="170">
        <v>0</v>
      </c>
      <c r="J139" s="171">
        <v>520290.66816143994</v>
      </c>
      <c r="K139" s="171">
        <v>0</v>
      </c>
      <c r="L139" s="171">
        <v>520000</v>
      </c>
    </row>
    <row r="140" spans="2:12" ht="15.75" x14ac:dyDescent="0.25">
      <c r="B140" s="167">
        <v>9722</v>
      </c>
      <c r="C140" s="134" t="s">
        <v>148</v>
      </c>
      <c r="D140" s="134">
        <v>7</v>
      </c>
      <c r="E140" s="134">
        <v>1</v>
      </c>
      <c r="F140" s="168">
        <v>15</v>
      </c>
      <c r="G140" s="169">
        <v>0.5</v>
      </c>
      <c r="H140" s="169">
        <v>156607.49111659342</v>
      </c>
      <c r="I140" s="170">
        <v>130072.66704035999</v>
      </c>
      <c r="J140" s="171">
        <v>286680.1581569534</v>
      </c>
      <c r="K140" s="171">
        <v>0</v>
      </c>
      <c r="L140" s="171">
        <v>287000</v>
      </c>
    </row>
    <row r="141" spans="2:12" ht="15.75" x14ac:dyDescent="0.25">
      <c r="B141" s="167">
        <v>9640</v>
      </c>
      <c r="C141" s="134" t="s">
        <v>103</v>
      </c>
      <c r="D141" s="134">
        <v>0</v>
      </c>
      <c r="E141" s="134">
        <v>1</v>
      </c>
      <c r="F141" s="168">
        <v>0</v>
      </c>
      <c r="G141" s="169">
        <v>0</v>
      </c>
      <c r="H141" s="169">
        <v>291362.77417040634</v>
      </c>
      <c r="I141" s="170">
        <v>21678.777840059996</v>
      </c>
      <c r="J141" s="171">
        <v>313041.55201046634</v>
      </c>
      <c r="K141" s="171">
        <v>0</v>
      </c>
      <c r="L141" s="171">
        <v>313000</v>
      </c>
    </row>
    <row r="142" spans="2:12" ht="15.75" x14ac:dyDescent="0.25">
      <c r="B142" s="181">
        <v>9852</v>
      </c>
      <c r="C142" s="180" t="s">
        <v>186</v>
      </c>
      <c r="D142" s="180">
        <v>0</v>
      </c>
      <c r="E142" s="180">
        <v>0</v>
      </c>
      <c r="F142" s="182">
        <v>0</v>
      </c>
      <c r="G142" s="175">
        <v>0</v>
      </c>
      <c r="H142" s="169">
        <v>165179.30305535998</v>
      </c>
      <c r="I142" s="170">
        <v>103237.06440959999</v>
      </c>
      <c r="J142" s="176">
        <v>268416.36746495997</v>
      </c>
      <c r="K142" s="171">
        <v>0</v>
      </c>
      <c r="L142" s="176">
        <v>268000</v>
      </c>
    </row>
    <row r="143" spans="2:12" ht="15.75" x14ac:dyDescent="0.25">
      <c r="B143" s="167">
        <v>9756</v>
      </c>
      <c r="C143" s="134" t="s">
        <v>170</v>
      </c>
      <c r="D143" s="134">
        <v>10</v>
      </c>
      <c r="E143" s="134">
        <v>1</v>
      </c>
      <c r="F143" s="168">
        <v>15</v>
      </c>
      <c r="G143" s="169">
        <v>0.5625</v>
      </c>
      <c r="H143" s="169">
        <v>513377.27389605873</v>
      </c>
      <c r="I143" s="170">
        <v>234864.32153183999</v>
      </c>
      <c r="J143" s="171">
        <v>748241.59542789869</v>
      </c>
      <c r="K143" s="171">
        <v>0</v>
      </c>
      <c r="L143" s="171">
        <v>748000</v>
      </c>
    </row>
    <row r="144" spans="2:12" ht="15.75" x14ac:dyDescent="0.25">
      <c r="B144" s="167">
        <v>9730</v>
      </c>
      <c r="C144" s="134" t="s">
        <v>154</v>
      </c>
      <c r="D144" s="134">
        <v>7</v>
      </c>
      <c r="E144" s="134">
        <v>0</v>
      </c>
      <c r="F144" s="168">
        <v>15</v>
      </c>
      <c r="G144" s="169">
        <v>1.375</v>
      </c>
      <c r="H144" s="169">
        <v>484741.03284657595</v>
      </c>
      <c r="I144" s="170">
        <v>82159.497092639984</v>
      </c>
      <c r="J144" s="171">
        <v>566900.52993921598</v>
      </c>
      <c r="K144" s="171">
        <v>0</v>
      </c>
      <c r="L144" s="171">
        <v>567000</v>
      </c>
    </row>
    <row r="145" spans="2:12" ht="15.75" x14ac:dyDescent="0.25">
      <c r="B145" s="167">
        <v>9644</v>
      </c>
      <c r="C145" s="134" t="s">
        <v>105</v>
      </c>
      <c r="D145" s="134">
        <v>3</v>
      </c>
      <c r="E145" s="134">
        <v>0</v>
      </c>
      <c r="F145" s="168">
        <v>3</v>
      </c>
      <c r="G145" s="169">
        <v>0</v>
      </c>
      <c r="H145" s="169">
        <v>350849.34056353103</v>
      </c>
      <c r="I145" s="170">
        <v>21678.777840059996</v>
      </c>
      <c r="J145" s="171">
        <v>372528.11840359104</v>
      </c>
      <c r="K145" s="171">
        <v>0</v>
      </c>
      <c r="L145" s="171">
        <v>373000</v>
      </c>
    </row>
  </sheetData>
  <autoFilter ref="A6:N103" xr:uid="{9B02099A-2CA5-480D-8097-E2351F90E74B}">
    <filterColumn colId="11">
      <filters blank="1">
        <filter val="1.093.000,00"/>
        <filter val="1.229.000,00"/>
        <filter val="149.000,00"/>
        <filter val="181.000,00"/>
        <filter val="268.000,00"/>
        <filter val="277.000,00"/>
        <filter val="287.000,00"/>
        <filter val="289.000,00"/>
        <filter val="293.000,00"/>
        <filter val="313.000,00"/>
        <filter val="325.000,00"/>
        <filter val="336.000,00"/>
        <filter val="358.000,00"/>
        <filter val="373.000,00"/>
        <filter val="392.000,00"/>
        <filter val="459.000,00"/>
        <filter val="52.000,00"/>
        <filter val="520.000,00"/>
        <filter val="530.000,00"/>
        <filter val="557.000,00"/>
        <filter val="562.000,00"/>
        <filter val="567.000,00"/>
        <filter val="619.000,00"/>
        <filter val="676.000,00"/>
        <filter val="695.000,00"/>
        <filter val="717.000,00"/>
        <filter val="738.000,00"/>
        <filter val="748.000,00"/>
        <filter val="780.000,00"/>
        <filter val="790.000,00"/>
        <filter val="794.000,00"/>
        <filter val="803.000,00"/>
        <filter val="898.000,00"/>
        <filter val="952.000,00"/>
        <filter val="98.000,00"/>
        <filter val="990.000,00"/>
      </filters>
    </filterColumn>
  </autoFilter>
  <mergeCells count="1">
    <mergeCell ref="K4:L4"/>
  </mergeCells>
  <conditionalFormatting sqref="B7:B65">
    <cfRule type="duplicateValues" dxfId="5" priority="3" stopIfTrue="1"/>
    <cfRule type="duplicateValues" dxfId="4" priority="4" stopIfTrue="1"/>
  </conditionalFormatting>
  <conditionalFormatting sqref="B108:B130">
    <cfRule type="duplicateValues" dxfId="3" priority="1" stopIfTrue="1"/>
    <cfRule type="duplicateValues" dxfId="2" priority="2" stopIfTrue="1"/>
  </conditionalFormatting>
  <pageMargins left="0.25" right="0.25" top="0.75" bottom="0.75" header="0.3" footer="0.3"/>
  <pageSetup paperSize="9" scale="67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C14F6-0BE6-49FF-AFA2-DAF7440D6B57}">
  <sheetPr>
    <pageSetUpPr fitToPage="1"/>
  </sheetPr>
  <dimension ref="A1:I78"/>
  <sheetViews>
    <sheetView tabSelected="1" topLeftCell="A18" workbookViewId="0">
      <selection sqref="A1:I19"/>
    </sheetView>
  </sheetViews>
  <sheetFormatPr baseColWidth="10" defaultRowHeight="15" x14ac:dyDescent="0.25"/>
  <cols>
    <col min="1" max="1" width="5.28515625" customWidth="1"/>
    <col min="2" max="2" width="10.28515625" style="131" customWidth="1"/>
    <col min="3" max="3" width="24.7109375" style="132" customWidth="1"/>
    <col min="4" max="4" width="15.28515625" style="133" bestFit="1" customWidth="1"/>
    <col min="5" max="6" width="5.28515625" customWidth="1"/>
    <col min="7" max="7" width="10.28515625" style="131" customWidth="1"/>
    <col min="8" max="8" width="24.7109375" style="132" customWidth="1"/>
    <col min="9" max="9" width="15.28515625" style="133" bestFit="1" customWidth="1"/>
  </cols>
  <sheetData>
    <row r="1" spans="1:9" s="123" customFormat="1" ht="107.25" customHeight="1" x14ac:dyDescent="0.25">
      <c r="A1" s="118">
        <v>1</v>
      </c>
      <c r="B1" s="119">
        <f>+'Planilla de pago'!B108</f>
        <v>9831</v>
      </c>
      <c r="C1" s="120" t="str">
        <f>+'Planilla de pago'!C108</f>
        <v>ABREGU CRISTIAN ARIEL</v>
      </c>
      <c r="D1" s="121">
        <f>+'Planilla de pago'!L108</f>
        <v>52000</v>
      </c>
      <c r="E1" s="122"/>
      <c r="F1" s="118">
        <v>20</v>
      </c>
      <c r="G1" s="119">
        <f>+'Planilla de pago'!B127</f>
        <v>9697</v>
      </c>
      <c r="H1" s="120" t="str">
        <f>+'Planilla de pago'!C127</f>
        <v>LUCENA JUAN MARCELO</v>
      </c>
      <c r="I1" s="121">
        <f>+'Planilla de pago'!L127</f>
        <v>952000</v>
      </c>
    </row>
    <row r="2" spans="1:9" s="123" customFormat="1" ht="107.25" customHeight="1" x14ac:dyDescent="0.25">
      <c r="A2" s="118">
        <v>2</v>
      </c>
      <c r="B2" s="119">
        <f>+'Planilla de pago'!B109</f>
        <v>9759</v>
      </c>
      <c r="C2" s="120" t="str">
        <f>+'Planilla de pago'!C109</f>
        <v>ARAGON ADRIAN ALEJANDRO</v>
      </c>
      <c r="D2" s="121">
        <f>+'Planilla de pago'!L109</f>
        <v>293000</v>
      </c>
      <c r="E2" s="122"/>
      <c r="F2" s="118">
        <v>21</v>
      </c>
      <c r="G2" s="119">
        <f>+'Planilla de pago'!B128</f>
        <v>9741</v>
      </c>
      <c r="H2" s="120" t="str">
        <f>+'Planilla de pago'!C128</f>
        <v>LUNA JORGE MIGUEL</v>
      </c>
      <c r="I2" s="121">
        <f>+'Planilla de pago'!L128</f>
        <v>149000</v>
      </c>
    </row>
    <row r="3" spans="1:9" s="123" customFormat="1" ht="107.25" customHeight="1" x14ac:dyDescent="0.25">
      <c r="A3" s="118">
        <v>3</v>
      </c>
      <c r="B3" s="119">
        <f>+'Planilla de pago'!B110</f>
        <v>9746</v>
      </c>
      <c r="C3" s="120" t="str">
        <f>+'Planilla de pago'!C110</f>
        <v>ARAGON JOSE ADRIAN</v>
      </c>
      <c r="D3" s="121">
        <f>+'Planilla de pago'!L110</f>
        <v>530000</v>
      </c>
      <c r="E3" s="122"/>
      <c r="F3" s="118">
        <v>22</v>
      </c>
      <c r="G3" s="119">
        <f>+'Planilla de pago'!B129</f>
        <v>9699</v>
      </c>
      <c r="H3" s="120" t="str">
        <f>+'Planilla de pago'!C129</f>
        <v>LUNA JULIO CESAR</v>
      </c>
      <c r="I3" s="121">
        <f>+'Planilla de pago'!L129</f>
        <v>676000</v>
      </c>
    </row>
    <row r="4" spans="1:9" s="123" customFormat="1" ht="107.25" customHeight="1" x14ac:dyDescent="0.25">
      <c r="A4" s="118">
        <v>4</v>
      </c>
      <c r="B4" s="119">
        <f>+'Planilla de pago'!B111</f>
        <v>9652</v>
      </c>
      <c r="C4" s="120" t="str">
        <f>+'Planilla de pago'!C111</f>
        <v>ARAUJO RODRIGO SEBASTIAN</v>
      </c>
      <c r="D4" s="121">
        <f>+'Planilla de pago'!L111</f>
        <v>459000</v>
      </c>
      <c r="E4" s="122"/>
      <c r="F4" s="118">
        <v>23</v>
      </c>
      <c r="G4" s="119">
        <f>+'Planilla de pago'!B130</f>
        <v>9847</v>
      </c>
      <c r="H4" s="120" t="str">
        <f>+'Planilla de pago'!C130</f>
        <v>MEDINA JOSE FELIX</v>
      </c>
      <c r="I4" s="121">
        <f>+'Planilla de pago'!L130</f>
        <v>557000</v>
      </c>
    </row>
    <row r="5" spans="1:9" s="123" customFormat="1" ht="107.25" customHeight="1" x14ac:dyDescent="0.25">
      <c r="A5" s="118">
        <v>5</v>
      </c>
      <c r="B5" s="119">
        <f>+'Planilla de pago'!B112</f>
        <v>9833</v>
      </c>
      <c r="C5" s="120" t="str">
        <f>+'Planilla de pago'!C112</f>
        <v>ARCE MARIO ALBERTO</v>
      </c>
      <c r="D5" s="121">
        <f>+'Planilla de pago'!L112</f>
        <v>748000</v>
      </c>
      <c r="E5" s="122"/>
      <c r="F5" s="118">
        <v>24</v>
      </c>
      <c r="G5" s="119">
        <f>+'Planilla de pago'!B131</f>
        <v>9702</v>
      </c>
      <c r="H5" s="120" t="str">
        <f>+'Planilla de pago'!C131</f>
        <v>MEDINA JUAN ALBERTO</v>
      </c>
      <c r="I5" s="121">
        <f>+'Planilla de pago'!L131</f>
        <v>738000</v>
      </c>
    </row>
    <row r="6" spans="1:9" s="123" customFormat="1" ht="107.25" customHeight="1" x14ac:dyDescent="0.25">
      <c r="A6" s="118">
        <v>6</v>
      </c>
      <c r="B6" s="119">
        <f>+'Planilla de pago'!B113</f>
        <v>9812</v>
      </c>
      <c r="C6" s="120" t="str">
        <f>+'Planilla de pago'!C113</f>
        <v>ARGAÑARAZ FRANCO IVAN</v>
      </c>
      <c r="D6" s="121">
        <f>+'Planilla de pago'!L113</f>
        <v>392000</v>
      </c>
      <c r="E6" s="122"/>
      <c r="F6" s="118">
        <v>25</v>
      </c>
      <c r="G6" s="119">
        <f>+'Planilla de pago'!B132</f>
        <v>9848</v>
      </c>
      <c r="H6" s="120" t="str">
        <f>+'Planilla de pago'!C132</f>
        <v>MUÑOZ FERNANDO FEDERICO</v>
      </c>
      <c r="I6" s="121">
        <f>+'Planilla de pago'!L132</f>
        <v>695000</v>
      </c>
    </row>
    <row r="7" spans="1:9" s="123" customFormat="1" ht="107.25" customHeight="1" x14ac:dyDescent="0.25">
      <c r="A7" s="118">
        <v>7</v>
      </c>
      <c r="B7" s="119">
        <f>+'Planilla de pago'!B114</f>
        <v>9832</v>
      </c>
      <c r="C7" s="120" t="str">
        <f>+'Planilla de pago'!C114</f>
        <v>ARGAÑARAZ RODRIGO ALBERTO</v>
      </c>
      <c r="D7" s="121">
        <f>+'Planilla de pago'!L114</f>
        <v>717000</v>
      </c>
      <c r="E7" s="122"/>
      <c r="F7" s="118">
        <v>26</v>
      </c>
      <c r="G7" s="119">
        <f>+'Planilla de pago'!B133</f>
        <v>9647</v>
      </c>
      <c r="H7" s="120" t="str">
        <f>+'Planilla de pago'!C133</f>
        <v>NUÑEZ HECTOR JAVIER</v>
      </c>
      <c r="I7" s="121">
        <f>+'Planilla de pago'!L133</f>
        <v>336000</v>
      </c>
    </row>
    <row r="8" spans="1:9" s="123" customFormat="1" ht="107.25" customHeight="1" x14ac:dyDescent="0.25">
      <c r="A8" s="118">
        <v>8</v>
      </c>
      <c r="B8" s="119">
        <f>+'Planilla de pago'!B115</f>
        <v>9645</v>
      </c>
      <c r="C8" s="120" t="str">
        <f>+'Planilla de pago'!C115</f>
        <v>BELMONTE CESAR ANTONIO</v>
      </c>
      <c r="D8" s="121">
        <f>+'Planilla de pago'!L115</f>
        <v>794000</v>
      </c>
      <c r="E8" s="122"/>
      <c r="F8" s="118">
        <v>27</v>
      </c>
      <c r="G8" s="119">
        <f>+'Planilla de pago'!B134</f>
        <v>9637</v>
      </c>
      <c r="H8" s="120" t="str">
        <f>+'Planilla de pago'!C134</f>
        <v>NUÑEZ JUAN PABLO</v>
      </c>
      <c r="I8" s="121">
        <f>+'Planilla de pago'!L134</f>
        <v>289000</v>
      </c>
    </row>
    <row r="9" spans="1:9" s="123" customFormat="1" ht="107.25" customHeight="1" x14ac:dyDescent="0.25">
      <c r="A9" s="118">
        <v>9</v>
      </c>
      <c r="B9" s="119">
        <f>+'Planilla de pago'!B116</f>
        <v>9856</v>
      </c>
      <c r="C9" s="120" t="str">
        <f>+'Planilla de pago'!C116</f>
        <v>BULACIO MIGUEL ALBERTO</v>
      </c>
      <c r="D9" s="121">
        <f>+'Planilla de pago'!L116</f>
        <v>520000</v>
      </c>
      <c r="E9" s="122"/>
      <c r="F9" s="118">
        <v>28</v>
      </c>
      <c r="G9" s="119">
        <f>+'Planilla de pago'!B135</f>
        <v>9636</v>
      </c>
      <c r="H9" s="120" t="str">
        <f>+'Planilla de pago'!C135</f>
        <v>OGAS JULIO ISIDRO</v>
      </c>
      <c r="I9" s="121">
        <f>+'Planilla de pago'!L135</f>
        <v>358000</v>
      </c>
    </row>
    <row r="10" spans="1:9" s="123" customFormat="1" ht="107.25" customHeight="1" x14ac:dyDescent="0.25">
      <c r="A10" s="118">
        <v>10</v>
      </c>
      <c r="B10" s="119">
        <f>+'Planilla de pago'!B117</f>
        <v>9748</v>
      </c>
      <c r="C10" s="120" t="str">
        <f>+'Planilla de pago'!C117</f>
        <v>COSTILLA CARLOS DAMIAN</v>
      </c>
      <c r="D10" s="121">
        <f>+'Planilla de pago'!L117</f>
        <v>803000</v>
      </c>
      <c r="E10" s="122"/>
      <c r="F10" s="118">
        <v>29</v>
      </c>
      <c r="G10" s="119">
        <f>+'Planilla de pago'!B136</f>
        <v>9873</v>
      </c>
      <c r="H10" s="120" t="str">
        <f>+'Planilla de pago'!C136</f>
        <v>OGAS LUIS</v>
      </c>
      <c r="I10" s="121">
        <f>+'Planilla de pago'!L136</f>
        <v>325000</v>
      </c>
    </row>
    <row r="11" spans="1:9" s="123" customFormat="1" ht="107.25" customHeight="1" x14ac:dyDescent="0.25">
      <c r="A11" s="118">
        <v>11</v>
      </c>
      <c r="B11" s="119">
        <f>+'Planilla de pago'!B118</f>
        <v>9749</v>
      </c>
      <c r="C11" s="120" t="str">
        <f>+'Planilla de pago'!C118</f>
        <v>COSTILLA DANIEL ANTONIO</v>
      </c>
      <c r="D11" s="121">
        <f>+'Planilla de pago'!L118</f>
        <v>790000</v>
      </c>
      <c r="E11" s="122"/>
      <c r="F11" s="118">
        <v>30</v>
      </c>
      <c r="G11" s="119">
        <f>+'Planilla de pago'!B137</f>
        <v>9796</v>
      </c>
      <c r="H11" s="120" t="str">
        <f>+'Planilla de pago'!C137</f>
        <v>OLIVERA ANDRES MAXIMILIANO</v>
      </c>
      <c r="I11" s="121">
        <f>+'Planilla de pago'!L137</f>
        <v>277000</v>
      </c>
    </row>
    <row r="12" spans="1:9" s="123" customFormat="1" ht="107.25" customHeight="1" x14ac:dyDescent="0.25">
      <c r="A12" s="118">
        <v>12</v>
      </c>
      <c r="B12" s="119">
        <f>+'Planilla de pago'!B119</f>
        <v>9750</v>
      </c>
      <c r="C12" s="120" t="str">
        <f>+'Planilla de pago'!C119</f>
        <v>ESCOBAR JUAN EDUARDO</v>
      </c>
      <c r="D12" s="121">
        <f>+'Planilla de pago'!L119</f>
        <v>898000</v>
      </c>
      <c r="E12" s="122"/>
      <c r="F12" s="118">
        <v>31</v>
      </c>
      <c r="G12" s="119">
        <f>+'Planilla de pago'!B138</f>
        <v>9715</v>
      </c>
      <c r="H12" s="120" t="str">
        <f>+'Planilla de pago'!C138</f>
        <v>ROMERO ARIEL DAVID</v>
      </c>
      <c r="I12" s="121">
        <f>+'Planilla de pago'!L138</f>
        <v>619000</v>
      </c>
    </row>
    <row r="13" spans="1:9" s="123" customFormat="1" ht="107.25" customHeight="1" x14ac:dyDescent="0.25">
      <c r="A13" s="118">
        <v>13</v>
      </c>
      <c r="B13" s="119">
        <f>+'Planilla de pago'!B120</f>
        <v>9829</v>
      </c>
      <c r="C13" s="120" t="str">
        <f>+'Planilla de pago'!C120</f>
        <v>FERRATO MIGUEL ALBERTO</v>
      </c>
      <c r="D13" s="121">
        <f>+'Planilla de pago'!L120</f>
        <v>98000</v>
      </c>
      <c r="E13" s="122"/>
      <c r="F13" s="118">
        <v>32</v>
      </c>
      <c r="G13" s="119">
        <f>+'Planilla de pago'!B139</f>
        <v>9716</v>
      </c>
      <c r="H13" s="120" t="str">
        <f>+'Planilla de pago'!C139</f>
        <v>RUIZ DANIEL EVARISTO</v>
      </c>
      <c r="I13" s="121">
        <f>+'Planilla de pago'!L139</f>
        <v>520000</v>
      </c>
    </row>
    <row r="14" spans="1:9" s="123" customFormat="1" ht="107.25" customHeight="1" x14ac:dyDescent="0.25">
      <c r="A14" s="118">
        <v>14</v>
      </c>
      <c r="B14" s="119">
        <f>+'Planilla de pago'!B121</f>
        <v>9648</v>
      </c>
      <c r="C14" s="120" t="str">
        <f>+'Planilla de pago'!C121</f>
        <v>GALVAN ANTONIO ROBERTO</v>
      </c>
      <c r="D14" s="121">
        <f>+'Planilla de pago'!L121</f>
        <v>181000</v>
      </c>
      <c r="E14" s="122"/>
      <c r="F14" s="118">
        <v>33</v>
      </c>
      <c r="G14" s="119">
        <f>+'Planilla de pago'!B140</f>
        <v>9722</v>
      </c>
      <c r="H14" s="120" t="str">
        <f>+'Planilla de pago'!C140</f>
        <v>SERRANO FABIAN EDUARDO</v>
      </c>
      <c r="I14" s="121">
        <f>+'Planilla de pago'!L140</f>
        <v>287000</v>
      </c>
    </row>
    <row r="15" spans="1:9" s="123" customFormat="1" ht="107.25" customHeight="1" x14ac:dyDescent="0.25">
      <c r="A15" s="118">
        <v>15</v>
      </c>
      <c r="B15" s="119">
        <f>+'Planilla de pago'!B122</f>
        <v>9679</v>
      </c>
      <c r="C15" s="120" t="str">
        <f>+'Planilla de pago'!C122</f>
        <v>GOMEZ DANIEL ALEJANDRO</v>
      </c>
      <c r="D15" s="121">
        <f>+'Planilla de pago'!L122</f>
        <v>1093000</v>
      </c>
      <c r="E15" s="122"/>
      <c r="F15" s="118">
        <v>34</v>
      </c>
      <c r="G15" s="119">
        <f>+'Planilla de pago'!B141</f>
        <v>9640</v>
      </c>
      <c r="H15" s="120" t="str">
        <f>+'Planilla de pago'!C141</f>
        <v>SORIA LUIS OSCAR</v>
      </c>
      <c r="I15" s="121">
        <f>+'Planilla de pago'!L141</f>
        <v>313000</v>
      </c>
    </row>
    <row r="16" spans="1:9" s="123" customFormat="1" ht="107.25" customHeight="1" x14ac:dyDescent="0.25">
      <c r="A16" s="118">
        <v>16</v>
      </c>
      <c r="B16" s="119">
        <f>+'Planilla de pago'!B123</f>
        <v>9859</v>
      </c>
      <c r="C16" s="120" t="str">
        <f>+'Planilla de pago'!C123</f>
        <v>GONZALEZ JOSE LUIS</v>
      </c>
      <c r="D16" s="121">
        <f>+'Planilla de pago'!L123</f>
        <v>780000</v>
      </c>
      <c r="E16" s="122"/>
      <c r="F16" s="118">
        <v>35</v>
      </c>
      <c r="G16" s="119">
        <f>+'Planilla de pago'!B142</f>
        <v>9852</v>
      </c>
      <c r="H16" s="120" t="str">
        <f>+'Planilla de pago'!C142</f>
        <v>TARTALO CRISTIAN IVAN</v>
      </c>
      <c r="I16" s="121">
        <f>+'Planilla de pago'!L142</f>
        <v>268000</v>
      </c>
    </row>
    <row r="17" spans="1:9" s="123" customFormat="1" ht="107.25" customHeight="1" x14ac:dyDescent="0.25">
      <c r="A17" s="118">
        <v>17</v>
      </c>
      <c r="B17" s="119">
        <f>+'Planilla de pago'!B124</f>
        <v>9683</v>
      </c>
      <c r="C17" s="120" t="str">
        <f>+'Planilla de pago'!C124</f>
        <v>GONZALEZ JUAN IGNACIO</v>
      </c>
      <c r="D17" s="121">
        <f>+'Planilla de pago'!L124</f>
        <v>562000</v>
      </c>
      <c r="E17" s="122"/>
      <c r="F17" s="118">
        <v>36</v>
      </c>
      <c r="G17" s="119">
        <f>+'Planilla de pago'!B143</f>
        <v>9756</v>
      </c>
      <c r="H17" s="120" t="str">
        <f>+'Planilla de pago'!C143</f>
        <v>TORRES DANIEL ALBERTO</v>
      </c>
      <c r="I17" s="121">
        <f>+'Planilla de pago'!L143</f>
        <v>748000</v>
      </c>
    </row>
    <row r="18" spans="1:9" s="123" customFormat="1" ht="107.25" customHeight="1" x14ac:dyDescent="0.25">
      <c r="A18" s="118">
        <v>18</v>
      </c>
      <c r="B18" s="119">
        <f>+'Planilla de pago'!B125</f>
        <v>9751</v>
      </c>
      <c r="C18" s="120" t="str">
        <f>+'Planilla de pago'!C125</f>
        <v>GRAMAJO JUAN JESUS ISAIAS</v>
      </c>
      <c r="D18" s="121">
        <f>+'Planilla de pago'!L125</f>
        <v>990000</v>
      </c>
      <c r="E18" s="122"/>
      <c r="F18" s="118">
        <v>37</v>
      </c>
      <c r="G18" s="119">
        <f>+'Planilla de pago'!B144</f>
        <v>9730</v>
      </c>
      <c r="H18" s="120" t="str">
        <f>+'Planilla de pago'!C144</f>
        <v>VALDEZ FLORINDO ARNALDO</v>
      </c>
      <c r="I18" s="121">
        <f>+'Planilla de pago'!L144</f>
        <v>567000</v>
      </c>
    </row>
    <row r="19" spans="1:9" s="123" customFormat="1" ht="107.25" customHeight="1" x14ac:dyDescent="0.25">
      <c r="A19" s="118">
        <v>19</v>
      </c>
      <c r="B19" s="119">
        <f>+'Planilla de pago'!B126</f>
        <v>9827</v>
      </c>
      <c r="C19" s="120" t="str">
        <f>+'Planilla de pago'!C126</f>
        <v>HERRERA NELSON JESUS</v>
      </c>
      <c r="D19" s="121">
        <f>+'Planilla de pago'!L126</f>
        <v>1229000</v>
      </c>
      <c r="E19" s="122"/>
      <c r="F19" s="118">
        <v>38</v>
      </c>
      <c r="G19" s="119">
        <f>+'Planilla de pago'!B145</f>
        <v>9644</v>
      </c>
      <c r="H19" s="120" t="str">
        <f>+'Planilla de pago'!C145</f>
        <v>VARGAS LUIS MARIANO</v>
      </c>
      <c r="I19" s="121">
        <f>+'Planilla de pago'!L145</f>
        <v>373000</v>
      </c>
    </row>
    <row r="20" spans="1:9" s="123" customFormat="1" ht="107.25" customHeight="1" x14ac:dyDescent="0.25">
      <c r="A20" s="118"/>
      <c r="B20" s="119"/>
      <c r="C20" s="120"/>
      <c r="D20" s="121"/>
      <c r="E20" s="122"/>
      <c r="F20" s="118"/>
      <c r="G20" s="119"/>
      <c r="H20" s="120"/>
      <c r="I20" s="121"/>
    </row>
    <row r="21" spans="1:9" s="123" customFormat="1" ht="107.25" customHeight="1" x14ac:dyDescent="0.25">
      <c r="A21" s="118"/>
      <c r="B21" s="119"/>
      <c r="C21" s="120"/>
      <c r="D21" s="121"/>
      <c r="E21" s="122"/>
      <c r="F21" s="118"/>
      <c r="G21" s="119"/>
      <c r="H21" s="120"/>
      <c r="I21" s="121"/>
    </row>
    <row r="22" spans="1:9" s="123" customFormat="1" ht="107.25" customHeight="1" x14ac:dyDescent="0.25">
      <c r="A22" s="118"/>
      <c r="B22" s="119"/>
      <c r="C22" s="120"/>
      <c r="D22" s="121"/>
      <c r="E22" s="122"/>
      <c r="F22" s="118"/>
      <c r="G22" s="119"/>
      <c r="H22" s="120"/>
      <c r="I22" s="121"/>
    </row>
    <row r="23" spans="1:9" s="123" customFormat="1" ht="107.25" customHeight="1" x14ac:dyDescent="0.25">
      <c r="A23" s="118"/>
      <c r="B23" s="119"/>
      <c r="C23" s="120"/>
      <c r="D23" s="121"/>
      <c r="E23" s="122"/>
      <c r="F23" s="118"/>
      <c r="G23" s="119"/>
      <c r="H23" s="120"/>
      <c r="I23" s="121"/>
    </row>
    <row r="24" spans="1:9" s="123" customFormat="1" ht="107.25" customHeight="1" x14ac:dyDescent="0.25">
      <c r="A24" s="118"/>
      <c r="B24" s="119"/>
      <c r="C24" s="120"/>
      <c r="D24" s="121"/>
      <c r="E24" s="122"/>
      <c r="F24" s="118"/>
      <c r="G24" s="119"/>
      <c r="H24" s="120"/>
      <c r="I24" s="121"/>
    </row>
    <row r="25" spans="1:9" s="123" customFormat="1" ht="107.25" customHeight="1" x14ac:dyDescent="0.25">
      <c r="A25" s="118"/>
      <c r="B25" s="119"/>
      <c r="C25" s="120"/>
      <c r="D25" s="121"/>
      <c r="E25" s="122"/>
      <c r="F25" s="118"/>
      <c r="G25" s="119"/>
      <c r="H25" s="120"/>
      <c r="I25" s="121"/>
    </row>
    <row r="26" spans="1:9" s="123" customFormat="1" ht="107.25" customHeight="1" x14ac:dyDescent="0.25">
      <c r="A26" s="118"/>
      <c r="B26" s="124"/>
      <c r="C26" s="125"/>
      <c r="D26" s="126"/>
      <c r="E26" s="122"/>
      <c r="F26" s="118"/>
      <c r="G26" s="124"/>
      <c r="H26" s="125"/>
      <c r="I26" s="126"/>
    </row>
    <row r="27" spans="1:9" s="123" customFormat="1" ht="107.25" customHeight="1" x14ac:dyDescent="0.25">
      <c r="A27" s="118"/>
      <c r="B27" s="124"/>
      <c r="C27" s="125"/>
      <c r="D27" s="126"/>
      <c r="E27" s="122"/>
      <c r="F27" s="118"/>
      <c r="G27" s="124"/>
      <c r="H27" s="125"/>
      <c r="I27" s="126"/>
    </row>
    <row r="28" spans="1:9" s="123" customFormat="1" ht="107.25" customHeight="1" x14ac:dyDescent="0.25">
      <c r="A28" s="118"/>
      <c r="B28" s="124"/>
      <c r="C28" s="125"/>
      <c r="D28" s="126"/>
      <c r="E28" s="122"/>
      <c r="F28" s="118"/>
      <c r="G28" s="124"/>
      <c r="H28" s="125"/>
      <c r="I28" s="126"/>
    </row>
    <row r="29" spans="1:9" s="123" customFormat="1" ht="107.25" customHeight="1" x14ac:dyDescent="0.25">
      <c r="A29" s="118"/>
      <c r="B29" s="124"/>
      <c r="C29" s="125"/>
      <c r="D29" s="126"/>
      <c r="E29" s="122"/>
      <c r="F29" s="118"/>
      <c r="G29" s="124"/>
      <c r="H29" s="125"/>
      <c r="I29" s="126"/>
    </row>
    <row r="30" spans="1:9" s="123" customFormat="1" ht="107.25" customHeight="1" x14ac:dyDescent="0.25">
      <c r="A30" s="118"/>
      <c r="B30" s="124"/>
      <c r="C30" s="125"/>
      <c r="D30" s="126"/>
      <c r="E30" s="122"/>
      <c r="F30" s="118"/>
      <c r="G30" s="124"/>
      <c r="H30" s="125"/>
      <c r="I30" s="126"/>
    </row>
    <row r="31" spans="1:9" s="123" customFormat="1" ht="107.25" customHeight="1" x14ac:dyDescent="0.25">
      <c r="A31" s="118"/>
      <c r="B31" s="124"/>
      <c r="C31" s="125"/>
      <c r="D31" s="126"/>
      <c r="E31" s="122"/>
      <c r="F31" s="118"/>
      <c r="G31" s="124"/>
      <c r="H31" s="125"/>
      <c r="I31" s="126"/>
    </row>
    <row r="32" spans="1:9" s="123" customFormat="1" ht="107.25" customHeight="1" x14ac:dyDescent="0.25">
      <c r="A32" s="118"/>
      <c r="B32" s="124"/>
      <c r="C32" s="125"/>
      <c r="D32" s="126"/>
      <c r="E32" s="122"/>
      <c r="F32" s="118"/>
      <c r="G32" s="124"/>
      <c r="H32" s="125"/>
      <c r="I32" s="126"/>
    </row>
    <row r="33" spans="1:9" s="123" customFormat="1" ht="107.25" customHeight="1" x14ac:dyDescent="0.25">
      <c r="A33" s="118"/>
      <c r="B33" s="124"/>
      <c r="C33" s="125"/>
      <c r="D33" s="126"/>
      <c r="E33" s="122"/>
      <c r="F33" s="118"/>
      <c r="G33" s="124"/>
      <c r="H33" s="125"/>
      <c r="I33" s="126"/>
    </row>
    <row r="34" spans="1:9" s="123" customFormat="1" ht="107.25" customHeight="1" x14ac:dyDescent="0.25">
      <c r="A34" s="118"/>
      <c r="B34" s="124"/>
      <c r="C34" s="125"/>
      <c r="D34" s="126"/>
      <c r="E34" s="122"/>
      <c r="F34" s="118"/>
      <c r="G34" s="124"/>
      <c r="H34" s="125"/>
      <c r="I34" s="126"/>
    </row>
    <row r="35" spans="1:9" s="123" customFormat="1" ht="107.25" customHeight="1" x14ac:dyDescent="0.25">
      <c r="A35" s="118"/>
      <c r="B35" s="124"/>
      <c r="C35" s="125"/>
      <c r="D35" s="126"/>
      <c r="E35" s="122"/>
      <c r="F35" s="118"/>
      <c r="G35" s="124"/>
      <c r="H35" s="125"/>
      <c r="I35" s="126"/>
    </row>
    <row r="36" spans="1:9" s="123" customFormat="1" ht="107.25" customHeight="1" x14ac:dyDescent="0.25">
      <c r="A36" s="118"/>
      <c r="B36" s="124"/>
      <c r="C36" s="125"/>
      <c r="D36" s="126"/>
      <c r="E36" s="122"/>
      <c r="F36" s="118"/>
      <c r="G36" s="124"/>
      <c r="H36" s="125"/>
      <c r="I36" s="126"/>
    </row>
    <row r="37" spans="1:9" s="123" customFormat="1" ht="107.25" customHeight="1" x14ac:dyDescent="0.25">
      <c r="A37" s="118"/>
      <c r="B37" s="124"/>
      <c r="C37" s="125"/>
      <c r="D37" s="126"/>
      <c r="E37" s="122"/>
      <c r="F37" s="118"/>
      <c r="G37" s="124"/>
      <c r="H37" s="125"/>
      <c r="I37" s="126"/>
    </row>
    <row r="38" spans="1:9" s="123" customFormat="1" ht="107.25" customHeight="1" x14ac:dyDescent="0.25">
      <c r="A38" s="118"/>
      <c r="B38" s="124"/>
      <c r="C38" s="125"/>
      <c r="D38" s="126"/>
      <c r="E38" s="122"/>
      <c r="F38" s="118"/>
      <c r="G38" s="124"/>
      <c r="H38" s="125"/>
      <c r="I38" s="126"/>
    </row>
    <row r="39" spans="1:9" s="123" customFormat="1" ht="107.25" customHeight="1" x14ac:dyDescent="0.25">
      <c r="A39" s="118"/>
      <c r="B39" s="124"/>
      <c r="C39" s="125"/>
      <c r="D39" s="126"/>
      <c r="E39" s="122"/>
      <c r="F39" s="118"/>
      <c r="G39" s="124"/>
      <c r="H39" s="125"/>
      <c r="I39" s="126"/>
    </row>
    <row r="40" spans="1:9" s="130" customFormat="1" ht="27.75" customHeight="1" x14ac:dyDescent="0.25">
      <c r="A40"/>
      <c r="B40" s="127"/>
      <c r="C40" s="128"/>
      <c r="D40" s="129"/>
      <c r="F40"/>
      <c r="G40" s="127"/>
      <c r="H40" s="128"/>
      <c r="I40" s="129"/>
    </row>
    <row r="41" spans="1:9" s="130" customFormat="1" ht="27.75" customHeight="1" x14ac:dyDescent="0.25">
      <c r="A41"/>
      <c r="B41" s="127"/>
      <c r="C41" s="128"/>
      <c r="D41" s="129"/>
      <c r="F41"/>
      <c r="G41" s="127"/>
      <c r="H41" s="128"/>
      <c r="I41" s="129"/>
    </row>
    <row r="42" spans="1:9" s="130" customFormat="1" ht="27.75" customHeight="1" x14ac:dyDescent="0.25">
      <c r="A42"/>
      <c r="B42" s="127"/>
      <c r="C42" s="128"/>
      <c r="D42" s="129"/>
      <c r="F42"/>
      <c r="G42" s="127"/>
      <c r="H42" s="128"/>
      <c r="I42" s="129"/>
    </row>
    <row r="43" spans="1:9" s="130" customFormat="1" ht="27.75" customHeight="1" x14ac:dyDescent="0.25">
      <c r="A43"/>
      <c r="B43" s="127"/>
      <c r="C43" s="128"/>
      <c r="D43" s="129"/>
      <c r="F43"/>
      <c r="G43" s="127"/>
      <c r="H43" s="128"/>
      <c r="I43" s="129"/>
    </row>
    <row r="44" spans="1:9" s="130" customFormat="1" ht="27.75" customHeight="1" x14ac:dyDescent="0.25">
      <c r="A44"/>
      <c r="B44" s="127"/>
      <c r="C44" s="128"/>
      <c r="D44" s="129"/>
      <c r="F44"/>
      <c r="G44" s="127"/>
      <c r="H44" s="128"/>
      <c r="I44" s="129"/>
    </row>
    <row r="45" spans="1:9" s="130" customFormat="1" ht="27.75" customHeight="1" x14ac:dyDescent="0.25">
      <c r="A45"/>
      <c r="B45" s="127"/>
      <c r="C45" s="128"/>
      <c r="D45" s="129"/>
      <c r="F45"/>
      <c r="G45" s="127"/>
      <c r="H45" s="128"/>
      <c r="I45" s="129"/>
    </row>
    <row r="46" spans="1:9" s="130" customFormat="1" ht="27.75" customHeight="1" x14ac:dyDescent="0.25">
      <c r="A46"/>
      <c r="B46" s="127"/>
      <c r="C46" s="128"/>
      <c r="D46" s="129"/>
      <c r="F46"/>
      <c r="G46" s="127"/>
      <c r="H46" s="128"/>
      <c r="I46" s="129"/>
    </row>
    <row r="47" spans="1:9" s="130" customFormat="1" ht="27.75" customHeight="1" x14ac:dyDescent="0.25">
      <c r="A47"/>
      <c r="B47" s="127"/>
      <c r="C47" s="128"/>
      <c r="D47" s="129"/>
      <c r="F47"/>
      <c r="G47" s="127"/>
      <c r="H47" s="128"/>
      <c r="I47" s="129"/>
    </row>
    <row r="48" spans="1:9" s="130" customFormat="1" ht="27.75" customHeight="1" x14ac:dyDescent="0.25">
      <c r="A48"/>
      <c r="B48" s="127"/>
      <c r="C48" s="128"/>
      <c r="D48" s="129"/>
      <c r="F48"/>
      <c r="G48" s="127"/>
      <c r="H48" s="128"/>
      <c r="I48" s="129"/>
    </row>
    <row r="49" spans="1:9" s="130" customFormat="1" ht="27.75" customHeight="1" x14ac:dyDescent="0.25">
      <c r="A49"/>
      <c r="B49" s="127"/>
      <c r="C49" s="128"/>
      <c r="D49" s="129"/>
      <c r="F49"/>
      <c r="G49" s="127"/>
      <c r="H49" s="128"/>
      <c r="I49" s="129"/>
    </row>
    <row r="50" spans="1:9" s="130" customFormat="1" ht="27.75" customHeight="1" x14ac:dyDescent="0.25">
      <c r="A50"/>
      <c r="B50" s="127"/>
      <c r="C50" s="128"/>
      <c r="D50" s="129"/>
      <c r="F50"/>
      <c r="G50" s="127"/>
      <c r="H50" s="128"/>
      <c r="I50" s="129"/>
    </row>
    <row r="51" spans="1:9" s="130" customFormat="1" ht="27.75" customHeight="1" x14ac:dyDescent="0.25">
      <c r="A51"/>
      <c r="B51" s="127"/>
      <c r="C51" s="128"/>
      <c r="D51" s="129"/>
      <c r="F51"/>
      <c r="G51" s="127"/>
      <c r="H51" s="128"/>
      <c r="I51" s="129"/>
    </row>
    <row r="52" spans="1:9" s="130" customFormat="1" ht="27.75" customHeight="1" x14ac:dyDescent="0.25">
      <c r="A52"/>
      <c r="B52" s="127"/>
      <c r="C52" s="128"/>
      <c r="D52" s="129"/>
      <c r="F52"/>
      <c r="G52" s="127"/>
      <c r="H52" s="128"/>
      <c r="I52" s="129"/>
    </row>
    <row r="53" spans="1:9" s="130" customFormat="1" ht="27.75" customHeight="1" x14ac:dyDescent="0.25">
      <c r="A53"/>
      <c r="B53" s="127"/>
      <c r="C53" s="128"/>
      <c r="D53" s="129"/>
      <c r="F53"/>
      <c r="G53" s="127"/>
      <c r="H53" s="128"/>
      <c r="I53" s="129"/>
    </row>
    <row r="54" spans="1:9" s="130" customFormat="1" ht="27.75" customHeight="1" x14ac:dyDescent="0.25">
      <c r="A54"/>
      <c r="B54" s="127"/>
      <c r="C54" s="128"/>
      <c r="D54" s="129"/>
      <c r="F54"/>
      <c r="G54" s="127"/>
      <c r="H54" s="128"/>
      <c r="I54" s="129"/>
    </row>
    <row r="55" spans="1:9" s="130" customFormat="1" ht="27.75" customHeight="1" x14ac:dyDescent="0.25">
      <c r="A55"/>
      <c r="B55" s="127"/>
      <c r="C55" s="128"/>
      <c r="D55" s="129"/>
      <c r="F55"/>
      <c r="G55" s="127"/>
      <c r="H55" s="128"/>
      <c r="I55" s="129"/>
    </row>
    <row r="56" spans="1:9" s="130" customFormat="1" ht="27.75" customHeight="1" x14ac:dyDescent="0.25">
      <c r="A56"/>
      <c r="B56" s="127"/>
      <c r="C56" s="128"/>
      <c r="D56" s="129"/>
      <c r="F56"/>
      <c r="G56" s="127"/>
      <c r="H56" s="128"/>
      <c r="I56" s="129"/>
    </row>
    <row r="57" spans="1:9" s="130" customFormat="1" ht="27.75" customHeight="1" x14ac:dyDescent="0.25">
      <c r="A57"/>
      <c r="B57" s="127"/>
      <c r="C57" s="128"/>
      <c r="D57" s="129"/>
      <c r="F57"/>
      <c r="G57" s="127"/>
      <c r="H57" s="128"/>
      <c r="I57" s="129"/>
    </row>
    <row r="58" spans="1:9" s="130" customFormat="1" ht="27.75" customHeight="1" x14ac:dyDescent="0.25">
      <c r="A58"/>
      <c r="B58" s="127"/>
      <c r="C58" s="128"/>
      <c r="D58" s="129"/>
      <c r="F58"/>
      <c r="G58" s="127"/>
      <c r="H58" s="128"/>
      <c r="I58" s="129"/>
    </row>
    <row r="59" spans="1:9" s="130" customFormat="1" ht="27.75" customHeight="1" x14ac:dyDescent="0.25">
      <c r="A59"/>
      <c r="B59" s="127"/>
      <c r="C59" s="128"/>
      <c r="D59" s="129"/>
      <c r="F59"/>
      <c r="G59" s="127"/>
      <c r="H59" s="128"/>
      <c r="I59" s="129"/>
    </row>
    <row r="60" spans="1:9" s="130" customFormat="1" ht="27.75" customHeight="1" x14ac:dyDescent="0.25">
      <c r="A60"/>
      <c r="B60" s="127"/>
      <c r="C60" s="128"/>
      <c r="D60" s="129"/>
      <c r="F60"/>
      <c r="G60" s="127"/>
      <c r="H60" s="128"/>
      <c r="I60" s="129"/>
    </row>
    <row r="61" spans="1:9" s="130" customFormat="1" ht="27.75" customHeight="1" x14ac:dyDescent="0.25">
      <c r="A61"/>
      <c r="B61" s="127"/>
      <c r="C61" s="128"/>
      <c r="D61" s="129"/>
      <c r="F61"/>
      <c r="G61" s="127"/>
      <c r="H61" s="128"/>
      <c r="I61" s="129"/>
    </row>
    <row r="62" spans="1:9" s="130" customFormat="1" ht="27.75" customHeight="1" x14ac:dyDescent="0.25">
      <c r="A62"/>
      <c r="B62" s="127"/>
      <c r="C62" s="128"/>
      <c r="D62" s="129"/>
      <c r="F62"/>
      <c r="G62" s="127"/>
      <c r="H62" s="128"/>
      <c r="I62" s="129"/>
    </row>
    <row r="63" spans="1:9" s="130" customFormat="1" ht="27.75" customHeight="1" x14ac:dyDescent="0.25">
      <c r="A63"/>
      <c r="B63" s="127"/>
      <c r="C63" s="128"/>
      <c r="D63" s="129"/>
      <c r="F63"/>
      <c r="G63" s="127"/>
      <c r="H63" s="128"/>
      <c r="I63" s="129"/>
    </row>
    <row r="64" spans="1:9" s="130" customFormat="1" ht="27.75" customHeight="1" x14ac:dyDescent="0.25">
      <c r="A64"/>
      <c r="B64" s="127"/>
      <c r="C64" s="128"/>
      <c r="D64" s="129"/>
      <c r="F64"/>
      <c r="G64" s="127"/>
      <c r="H64" s="128"/>
      <c r="I64" s="129"/>
    </row>
    <row r="65" spans="1:9" s="130" customFormat="1" ht="27.75" customHeight="1" x14ac:dyDescent="0.25">
      <c r="A65"/>
      <c r="B65" s="127"/>
      <c r="C65" s="128"/>
      <c r="D65" s="129"/>
      <c r="F65"/>
      <c r="G65" s="127"/>
      <c r="H65" s="128"/>
      <c r="I65" s="129"/>
    </row>
    <row r="66" spans="1:9" s="130" customFormat="1" ht="27.75" customHeight="1" x14ac:dyDescent="0.25">
      <c r="A66"/>
      <c r="B66" s="127"/>
      <c r="C66" s="128"/>
      <c r="D66" s="129"/>
      <c r="F66"/>
      <c r="G66" s="127"/>
      <c r="H66" s="128"/>
      <c r="I66" s="129"/>
    </row>
    <row r="67" spans="1:9" s="130" customFormat="1" ht="27.75" customHeight="1" x14ac:dyDescent="0.25">
      <c r="A67"/>
      <c r="B67" s="127"/>
      <c r="C67" s="128"/>
      <c r="D67" s="129"/>
      <c r="F67"/>
      <c r="G67" s="127"/>
      <c r="H67" s="128"/>
      <c r="I67" s="129"/>
    </row>
    <row r="68" spans="1:9" s="130" customFormat="1" ht="27.75" customHeight="1" x14ac:dyDescent="0.25">
      <c r="A68"/>
      <c r="B68" s="127"/>
      <c r="C68" s="128"/>
      <c r="D68" s="129"/>
      <c r="F68"/>
      <c r="G68" s="127"/>
      <c r="H68" s="128"/>
      <c r="I68" s="129"/>
    </row>
    <row r="69" spans="1:9" s="130" customFormat="1" ht="27.75" customHeight="1" x14ac:dyDescent="0.25">
      <c r="A69"/>
      <c r="B69" s="127"/>
      <c r="C69" s="128"/>
      <c r="D69" s="129"/>
      <c r="F69"/>
      <c r="G69" s="127"/>
      <c r="H69" s="128"/>
      <c r="I69" s="129"/>
    </row>
    <row r="70" spans="1:9" s="130" customFormat="1" ht="27.75" customHeight="1" x14ac:dyDescent="0.25">
      <c r="A70"/>
      <c r="B70" s="127"/>
      <c r="C70" s="128"/>
      <c r="D70" s="129"/>
      <c r="F70"/>
      <c r="G70" s="127"/>
      <c r="H70" s="128"/>
      <c r="I70" s="129"/>
    </row>
    <row r="71" spans="1:9" s="130" customFormat="1" ht="27.75" customHeight="1" x14ac:dyDescent="0.25">
      <c r="A71"/>
      <c r="B71" s="127"/>
      <c r="C71" s="128"/>
      <c r="D71" s="129"/>
      <c r="F71"/>
      <c r="G71" s="127"/>
      <c r="H71" s="128"/>
      <c r="I71" s="129"/>
    </row>
    <row r="72" spans="1:9" s="130" customFormat="1" ht="27.75" customHeight="1" x14ac:dyDescent="0.25">
      <c r="A72"/>
      <c r="B72" s="127"/>
      <c r="C72" s="128"/>
      <c r="D72" s="129"/>
      <c r="F72"/>
      <c r="G72" s="127"/>
      <c r="H72" s="128"/>
      <c r="I72" s="129"/>
    </row>
    <row r="73" spans="1:9" s="130" customFormat="1" ht="27.75" customHeight="1" x14ac:dyDescent="0.25">
      <c r="A73"/>
      <c r="B73" s="127"/>
      <c r="C73" s="128"/>
      <c r="D73" s="129"/>
      <c r="F73"/>
      <c r="G73" s="127"/>
      <c r="H73" s="128"/>
      <c r="I73" s="129"/>
    </row>
    <row r="74" spans="1:9" s="130" customFormat="1" ht="27.75" customHeight="1" x14ac:dyDescent="0.25">
      <c r="A74"/>
      <c r="B74" s="127"/>
      <c r="C74" s="128"/>
      <c r="D74" s="129"/>
      <c r="F74"/>
      <c r="G74" s="127"/>
      <c r="H74" s="128"/>
      <c r="I74" s="129"/>
    </row>
    <row r="75" spans="1:9" s="130" customFormat="1" ht="27.75" customHeight="1" x14ac:dyDescent="0.25">
      <c r="A75"/>
      <c r="B75" s="127"/>
      <c r="C75" s="128"/>
      <c r="D75" s="129"/>
      <c r="F75"/>
      <c r="G75" s="127"/>
      <c r="H75" s="128"/>
      <c r="I75" s="129"/>
    </row>
    <row r="76" spans="1:9" s="130" customFormat="1" ht="27.75" customHeight="1" x14ac:dyDescent="0.25">
      <c r="A76"/>
      <c r="B76" s="127"/>
      <c r="C76" s="128"/>
      <c r="D76" s="129"/>
      <c r="F76"/>
      <c r="G76" s="127"/>
      <c r="H76" s="128"/>
      <c r="I76" s="129"/>
    </row>
    <row r="77" spans="1:9" s="130" customFormat="1" ht="27.75" customHeight="1" x14ac:dyDescent="0.25">
      <c r="A77"/>
      <c r="B77" s="127"/>
      <c r="C77" s="128"/>
      <c r="D77" s="129"/>
      <c r="F77"/>
      <c r="G77" s="127"/>
      <c r="H77" s="128"/>
      <c r="I77" s="129"/>
    </row>
    <row r="78" spans="1:9" s="130" customFormat="1" ht="27.75" customHeight="1" x14ac:dyDescent="0.25">
      <c r="A78"/>
      <c r="B78" s="127"/>
      <c r="C78" s="128"/>
      <c r="D78" s="129"/>
      <c r="F78"/>
      <c r="G78" s="127"/>
      <c r="H78" s="128"/>
      <c r="I78" s="129"/>
    </row>
  </sheetData>
  <conditionalFormatting sqref="B1:B25">
    <cfRule type="duplicateValues" dxfId="9" priority="3" stopIfTrue="1"/>
    <cfRule type="duplicateValues" dxfId="8" priority="4" stopIfTrue="1"/>
  </conditionalFormatting>
  <conditionalFormatting sqref="G20:G25">
    <cfRule type="duplicateValues" dxfId="7" priority="5" stopIfTrue="1"/>
    <cfRule type="duplicateValues" dxfId="6" priority="6" stopIfTrue="1"/>
  </conditionalFormatting>
  <conditionalFormatting sqref="G1:G19">
    <cfRule type="duplicateValues" dxfId="1" priority="1" stopIfTrue="1"/>
    <cfRule type="duplicateValues" dxfId="0" priority="2" stopIfTrue="1"/>
  </conditionalFormatting>
  <pageMargins left="0.7" right="0.7" top="0.75" bottom="0.75" header="0.3" footer="0.3"/>
  <pageSetup paperSize="9" scale="75" fitToHeight="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0"/>
  <sheetViews>
    <sheetView workbookViewId="0">
      <selection activeCell="D6" sqref="D6:D9"/>
    </sheetView>
  </sheetViews>
  <sheetFormatPr baseColWidth="10" defaultRowHeight="15" x14ac:dyDescent="0.25"/>
  <cols>
    <col min="1" max="2" width="31" customWidth="1"/>
    <col min="3" max="3" width="14.28515625" customWidth="1"/>
    <col min="4" max="4" width="14.42578125" bestFit="1" customWidth="1"/>
    <col min="5" max="5" width="13" customWidth="1"/>
    <col min="6" max="6" width="22.85546875" customWidth="1"/>
    <col min="8" max="8" width="11.7109375" bestFit="1" customWidth="1"/>
  </cols>
  <sheetData>
    <row r="1" spans="1:8" s="130" customFormat="1" ht="15.75" x14ac:dyDescent="0.25">
      <c r="A1" s="152" t="s">
        <v>208</v>
      </c>
      <c r="B1" s="152"/>
      <c r="C1" s="152"/>
      <c r="D1" s="152"/>
      <c r="E1" s="152"/>
      <c r="F1" s="138">
        <v>46043</v>
      </c>
    </row>
    <row r="3" spans="1:8" s="137" customFormat="1" ht="31.5" x14ac:dyDescent="0.25">
      <c r="A3" s="120" t="s">
        <v>20</v>
      </c>
      <c r="B3" s="120" t="s">
        <v>203</v>
      </c>
      <c r="C3" s="120" t="s">
        <v>204</v>
      </c>
      <c r="D3" s="120" t="s">
        <v>205</v>
      </c>
      <c r="E3" s="120" t="s">
        <v>206</v>
      </c>
      <c r="F3" s="120" t="s">
        <v>207</v>
      </c>
    </row>
    <row r="4" spans="1:8" ht="22.5" customHeight="1" x14ac:dyDescent="0.25">
      <c r="A4" s="135" t="s">
        <v>180</v>
      </c>
      <c r="B4" s="134"/>
      <c r="C4" s="134"/>
      <c r="D4" s="136"/>
      <c r="E4" s="117"/>
      <c r="F4" s="117"/>
    </row>
    <row r="5" spans="1:8" ht="22.5" customHeight="1" x14ac:dyDescent="0.25">
      <c r="A5" s="135" t="s">
        <v>104</v>
      </c>
      <c r="B5" s="134"/>
      <c r="C5" s="134"/>
      <c r="D5" s="136"/>
      <c r="E5" s="117"/>
      <c r="F5" s="117"/>
    </row>
    <row r="6" spans="1:8" ht="22.5" customHeight="1" x14ac:dyDescent="0.25">
      <c r="A6" s="135" t="s">
        <v>108</v>
      </c>
      <c r="B6" s="134"/>
      <c r="C6" s="134"/>
      <c r="D6" s="136">
        <v>28199.75421435</v>
      </c>
      <c r="E6" s="117"/>
      <c r="F6" s="117"/>
      <c r="H6" s="139"/>
    </row>
    <row r="7" spans="1:8" ht="22.5" customHeight="1" x14ac:dyDescent="0.25">
      <c r="A7" s="135" t="s">
        <v>127</v>
      </c>
      <c r="B7" s="134"/>
      <c r="C7" s="134"/>
      <c r="D7" s="136">
        <v>140624.28702650304</v>
      </c>
      <c r="E7" s="117"/>
      <c r="F7" s="117"/>
      <c r="H7" s="139"/>
    </row>
    <row r="8" spans="1:8" ht="22.5" customHeight="1" x14ac:dyDescent="0.25">
      <c r="A8" s="135" t="s">
        <v>136</v>
      </c>
      <c r="B8" s="134"/>
      <c r="C8" s="134"/>
      <c r="D8" s="136">
        <v>144640.80574888029</v>
      </c>
      <c r="E8" s="117"/>
      <c r="F8" s="117"/>
      <c r="H8" s="139"/>
    </row>
    <row r="9" spans="1:8" ht="22.5" customHeight="1" x14ac:dyDescent="0.25">
      <c r="A9" s="135" t="s">
        <v>184</v>
      </c>
      <c r="B9" s="134"/>
      <c r="C9" s="134"/>
      <c r="D9" s="136">
        <v>43359.567052031991</v>
      </c>
      <c r="E9" s="117"/>
      <c r="F9" s="117"/>
      <c r="H9" s="139"/>
    </row>
    <row r="10" spans="1:8" ht="22.5" customHeight="1" x14ac:dyDescent="0.25">
      <c r="A10" s="135" t="s">
        <v>101</v>
      </c>
      <c r="B10" s="134"/>
      <c r="C10" s="134"/>
      <c r="D10" s="136"/>
      <c r="E10" s="117"/>
      <c r="F10" s="117"/>
    </row>
  </sheetData>
  <mergeCells count="1">
    <mergeCell ref="A1:E1"/>
  </mergeCells>
  <pageMargins left="0.25" right="0.25" top="0.75" bottom="0.75" header="0.3" footer="0.3"/>
  <pageSetup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78"/>
  <sheetViews>
    <sheetView topLeftCell="A19" workbookViewId="0">
      <selection activeCell="D22" sqref="D22"/>
    </sheetView>
  </sheetViews>
  <sheetFormatPr baseColWidth="10" defaultRowHeight="15" x14ac:dyDescent="0.25"/>
  <cols>
    <col min="1" max="1" width="5.28515625" customWidth="1"/>
    <col min="2" max="2" width="10.28515625" style="131" customWidth="1"/>
    <col min="3" max="3" width="24.7109375" style="132" customWidth="1"/>
    <col min="4" max="4" width="15.28515625" style="133" bestFit="1" customWidth="1"/>
    <col min="5" max="6" width="5.28515625" customWidth="1"/>
    <col min="7" max="7" width="10.28515625" style="131" customWidth="1"/>
    <col min="8" max="8" width="24.7109375" style="132" customWidth="1"/>
    <col min="9" max="9" width="15.28515625" style="133" bestFit="1" customWidth="1"/>
  </cols>
  <sheetData>
    <row r="1" spans="1:9" s="123" customFormat="1" ht="107.25" customHeight="1" x14ac:dyDescent="0.25">
      <c r="A1" s="118">
        <v>1</v>
      </c>
      <c r="B1" s="119">
        <v>9831</v>
      </c>
      <c r="C1" s="120" t="s">
        <v>180</v>
      </c>
      <c r="D1" s="121">
        <v>392000</v>
      </c>
      <c r="E1" s="122"/>
      <c r="F1" s="118">
        <v>26</v>
      </c>
      <c r="G1" s="119">
        <v>9697</v>
      </c>
      <c r="H1" s="120" t="s">
        <v>136</v>
      </c>
      <c r="I1" s="121">
        <v>1059000</v>
      </c>
    </row>
    <row r="2" spans="1:9" s="123" customFormat="1" ht="107.25" customHeight="1" x14ac:dyDescent="0.25">
      <c r="A2" s="118">
        <v>2</v>
      </c>
      <c r="B2" s="119">
        <v>9759</v>
      </c>
      <c r="C2" s="120" t="s">
        <v>173</v>
      </c>
      <c r="D2" s="121">
        <v>546000</v>
      </c>
      <c r="E2" s="122"/>
      <c r="F2" s="118">
        <v>27</v>
      </c>
      <c r="G2" s="119">
        <v>9699</v>
      </c>
      <c r="H2" s="120" t="s">
        <v>138</v>
      </c>
      <c r="I2" s="121">
        <v>625000</v>
      </c>
    </row>
    <row r="3" spans="1:9" s="123" customFormat="1" ht="107.25" customHeight="1" x14ac:dyDescent="0.25">
      <c r="A3" s="118">
        <v>3</v>
      </c>
      <c r="B3" s="119">
        <v>9746</v>
      </c>
      <c r="C3" s="120" t="s">
        <v>162</v>
      </c>
      <c r="D3" s="121">
        <v>708000</v>
      </c>
      <c r="E3" s="122"/>
      <c r="F3" s="118">
        <v>28</v>
      </c>
      <c r="G3" s="119">
        <v>9702</v>
      </c>
      <c r="H3" s="120" t="s">
        <v>139</v>
      </c>
      <c r="I3" s="121">
        <v>755000</v>
      </c>
    </row>
    <row r="4" spans="1:9" s="123" customFormat="1" ht="107.25" customHeight="1" x14ac:dyDescent="0.25">
      <c r="A4" s="118">
        <v>4</v>
      </c>
      <c r="B4" s="119">
        <v>9639</v>
      </c>
      <c r="C4" s="120" t="s">
        <v>102</v>
      </c>
      <c r="D4" s="121">
        <v>627000</v>
      </c>
      <c r="E4" s="122"/>
      <c r="F4" s="118">
        <v>29</v>
      </c>
      <c r="G4" s="119">
        <v>9848</v>
      </c>
      <c r="H4" s="120" t="s">
        <v>184</v>
      </c>
      <c r="I4" s="121">
        <v>707000</v>
      </c>
    </row>
    <row r="5" spans="1:9" s="123" customFormat="1" ht="107.25" customHeight="1" x14ac:dyDescent="0.25">
      <c r="A5" s="118">
        <v>5</v>
      </c>
      <c r="B5" s="119">
        <v>9833</v>
      </c>
      <c r="C5" s="120" t="s">
        <v>182</v>
      </c>
      <c r="D5" s="121">
        <v>661000</v>
      </c>
      <c r="E5" s="122"/>
      <c r="F5" s="118">
        <v>30</v>
      </c>
      <c r="G5" s="119">
        <v>9704</v>
      </c>
      <c r="H5" s="120" t="s">
        <v>140</v>
      </c>
      <c r="I5" s="121">
        <v>577000</v>
      </c>
    </row>
    <row r="6" spans="1:9" s="123" customFormat="1" ht="107.25" customHeight="1" x14ac:dyDescent="0.25">
      <c r="A6" s="118">
        <v>6</v>
      </c>
      <c r="B6" s="119">
        <v>9812</v>
      </c>
      <c r="C6" s="120" t="s">
        <v>175</v>
      </c>
      <c r="D6" s="121">
        <v>542000</v>
      </c>
      <c r="E6" s="122"/>
      <c r="F6" s="118">
        <v>31</v>
      </c>
      <c r="G6" s="119">
        <v>9647</v>
      </c>
      <c r="H6" s="120" t="s">
        <v>107</v>
      </c>
      <c r="I6" s="121">
        <v>541000</v>
      </c>
    </row>
    <row r="7" spans="1:9" s="123" customFormat="1" ht="107.25" customHeight="1" x14ac:dyDescent="0.25">
      <c r="A7" s="118">
        <v>7</v>
      </c>
      <c r="B7" s="119">
        <v>9832</v>
      </c>
      <c r="C7" s="120" t="s">
        <v>181</v>
      </c>
      <c r="D7" s="121">
        <v>712000</v>
      </c>
      <c r="E7" s="122"/>
      <c r="F7" s="118">
        <v>32</v>
      </c>
      <c r="G7" s="119">
        <v>9637</v>
      </c>
      <c r="H7" s="120" t="s">
        <v>101</v>
      </c>
      <c r="I7" s="121">
        <v>524000</v>
      </c>
    </row>
    <row r="8" spans="1:9" s="123" customFormat="1" ht="107.25" customHeight="1" x14ac:dyDescent="0.25">
      <c r="A8" s="118">
        <v>8</v>
      </c>
      <c r="B8" s="119">
        <v>9643</v>
      </c>
      <c r="C8" s="120" t="s">
        <v>104</v>
      </c>
      <c r="D8" s="121">
        <v>572000</v>
      </c>
      <c r="E8" s="122"/>
      <c r="F8" s="118">
        <v>33</v>
      </c>
      <c r="G8" s="119">
        <v>9636</v>
      </c>
      <c r="H8" s="120" t="s">
        <v>100</v>
      </c>
      <c r="I8" s="121">
        <v>577000</v>
      </c>
    </row>
    <row r="9" spans="1:9" s="123" customFormat="1" ht="107.25" customHeight="1" x14ac:dyDescent="0.25">
      <c r="A9" s="118">
        <v>9</v>
      </c>
      <c r="B9" s="119">
        <v>9645</v>
      </c>
      <c r="C9" s="120" t="s">
        <v>106</v>
      </c>
      <c r="D9" s="121">
        <v>540000</v>
      </c>
      <c r="E9" s="122"/>
      <c r="F9" s="118">
        <v>34</v>
      </c>
      <c r="G9" s="119">
        <v>9873</v>
      </c>
      <c r="H9" s="120" t="s">
        <v>194</v>
      </c>
      <c r="I9" s="121">
        <v>526000</v>
      </c>
    </row>
    <row r="10" spans="1:9" s="123" customFormat="1" ht="107.25" customHeight="1" x14ac:dyDescent="0.25">
      <c r="A10" s="118">
        <v>10</v>
      </c>
      <c r="B10" s="119">
        <v>9659</v>
      </c>
      <c r="C10" s="120" t="s">
        <v>115</v>
      </c>
      <c r="D10" s="121">
        <v>383000</v>
      </c>
      <c r="E10" s="122"/>
      <c r="F10" s="118">
        <v>35</v>
      </c>
      <c r="G10" s="119">
        <v>9796</v>
      </c>
      <c r="H10" s="120" t="s">
        <v>174</v>
      </c>
      <c r="I10" s="121">
        <v>512000</v>
      </c>
    </row>
    <row r="11" spans="1:9" s="123" customFormat="1" ht="107.25" customHeight="1" x14ac:dyDescent="0.25">
      <c r="A11" s="118">
        <v>11</v>
      </c>
      <c r="B11" s="119">
        <v>9856</v>
      </c>
      <c r="C11" s="120" t="s">
        <v>188</v>
      </c>
      <c r="D11" s="121">
        <v>770000</v>
      </c>
      <c r="E11" s="122"/>
      <c r="F11" s="118">
        <v>36</v>
      </c>
      <c r="G11" s="119">
        <v>9742</v>
      </c>
      <c r="H11" s="120" t="s">
        <v>158</v>
      </c>
      <c r="I11" s="121">
        <v>548000</v>
      </c>
    </row>
    <row r="12" spans="1:9" s="123" customFormat="1" ht="107.25" customHeight="1" x14ac:dyDescent="0.25">
      <c r="A12" s="118">
        <v>12</v>
      </c>
      <c r="B12" s="119">
        <v>9665</v>
      </c>
      <c r="C12" s="120" t="s">
        <v>119</v>
      </c>
      <c r="D12" s="121">
        <v>571000</v>
      </c>
      <c r="E12" s="122"/>
      <c r="F12" s="118">
        <v>37</v>
      </c>
      <c r="G12" s="119">
        <v>9712</v>
      </c>
      <c r="H12" s="120" t="s">
        <v>143</v>
      </c>
      <c r="I12" s="121">
        <v>585000</v>
      </c>
    </row>
    <row r="13" spans="1:9" s="123" customFormat="1" ht="107.25" customHeight="1" x14ac:dyDescent="0.25">
      <c r="A13" s="118">
        <v>13</v>
      </c>
      <c r="B13" s="119">
        <v>9649</v>
      </c>
      <c r="C13" s="120" t="s">
        <v>109</v>
      </c>
      <c r="D13" s="121">
        <v>611000</v>
      </c>
      <c r="E13" s="122"/>
      <c r="F13" s="118">
        <v>38</v>
      </c>
      <c r="G13" s="119">
        <v>9715</v>
      </c>
      <c r="H13" s="120" t="s">
        <v>145</v>
      </c>
      <c r="I13" s="121">
        <v>571000</v>
      </c>
    </row>
    <row r="14" spans="1:9" s="123" customFormat="1" ht="107.25" customHeight="1" x14ac:dyDescent="0.25">
      <c r="A14" s="118">
        <v>14</v>
      </c>
      <c r="B14" s="119">
        <v>9748</v>
      </c>
      <c r="C14" s="120" t="s">
        <v>163</v>
      </c>
      <c r="D14" s="121">
        <v>575000</v>
      </c>
      <c r="E14" s="122"/>
      <c r="F14" s="118">
        <v>39</v>
      </c>
      <c r="G14" s="119">
        <v>9716</v>
      </c>
      <c r="H14" s="120" t="s">
        <v>146</v>
      </c>
      <c r="I14" s="121">
        <v>520000</v>
      </c>
    </row>
    <row r="15" spans="1:9" s="123" customFormat="1" ht="107.25" customHeight="1" x14ac:dyDescent="0.25">
      <c r="A15" s="118">
        <v>15</v>
      </c>
      <c r="B15" s="119">
        <v>9749</v>
      </c>
      <c r="C15" s="120" t="s">
        <v>164</v>
      </c>
      <c r="D15" s="121">
        <v>567000</v>
      </c>
      <c r="E15" s="122"/>
      <c r="F15" s="118">
        <v>40</v>
      </c>
      <c r="G15" s="119">
        <v>9722</v>
      </c>
      <c r="H15" s="120" t="s">
        <v>148</v>
      </c>
      <c r="I15" s="121">
        <v>588000</v>
      </c>
    </row>
    <row r="16" spans="1:9" s="123" customFormat="1" ht="107.25" customHeight="1" x14ac:dyDescent="0.25">
      <c r="A16" s="118">
        <v>16</v>
      </c>
      <c r="B16" s="119">
        <v>9750</v>
      </c>
      <c r="C16" s="120" t="s">
        <v>165</v>
      </c>
      <c r="D16" s="121">
        <v>553000</v>
      </c>
      <c r="E16" s="122"/>
      <c r="F16" s="118">
        <v>41</v>
      </c>
      <c r="G16" s="119">
        <v>9723</v>
      </c>
      <c r="H16" s="120" t="s">
        <v>149</v>
      </c>
      <c r="I16" s="121">
        <v>424000</v>
      </c>
    </row>
    <row r="17" spans="1:9" s="123" customFormat="1" ht="107.25" customHeight="1" x14ac:dyDescent="0.25">
      <c r="A17" s="118">
        <v>17</v>
      </c>
      <c r="B17" s="119">
        <v>9829</v>
      </c>
      <c r="C17" s="120" t="s">
        <v>178</v>
      </c>
      <c r="D17" s="121">
        <v>619000</v>
      </c>
      <c r="E17" s="122"/>
      <c r="F17" s="118">
        <v>42</v>
      </c>
      <c r="G17" s="119">
        <v>9640</v>
      </c>
      <c r="H17" s="120" t="s">
        <v>103</v>
      </c>
      <c r="I17" s="121">
        <v>691000</v>
      </c>
    </row>
    <row r="18" spans="1:9" s="123" customFormat="1" ht="107.25" customHeight="1" x14ac:dyDescent="0.25">
      <c r="A18" s="118">
        <v>18</v>
      </c>
      <c r="B18" s="119">
        <v>9648</v>
      </c>
      <c r="C18" s="120" t="s">
        <v>108</v>
      </c>
      <c r="D18" s="121">
        <v>497000</v>
      </c>
      <c r="E18" s="122"/>
      <c r="F18" s="118">
        <v>43</v>
      </c>
      <c r="G18" s="119">
        <v>9728</v>
      </c>
      <c r="H18" s="120" t="s">
        <v>152</v>
      </c>
      <c r="I18" s="121">
        <v>593000</v>
      </c>
    </row>
    <row r="19" spans="1:9" s="123" customFormat="1" ht="107.25" customHeight="1" x14ac:dyDescent="0.25">
      <c r="A19" s="118">
        <v>19</v>
      </c>
      <c r="B19" s="119">
        <v>9679</v>
      </c>
      <c r="C19" s="120" t="s">
        <v>125</v>
      </c>
      <c r="D19" s="121">
        <v>1093000</v>
      </c>
      <c r="E19" s="122"/>
      <c r="F19" s="118">
        <v>44</v>
      </c>
      <c r="G19" s="119">
        <v>9729</v>
      </c>
      <c r="H19" s="120" t="s">
        <v>153</v>
      </c>
      <c r="I19" s="121">
        <v>553000</v>
      </c>
    </row>
    <row r="20" spans="1:9" s="123" customFormat="1" ht="107.25" customHeight="1" x14ac:dyDescent="0.25">
      <c r="A20" s="118">
        <v>20</v>
      </c>
      <c r="B20" s="119">
        <v>9859</v>
      </c>
      <c r="C20" s="120" t="s">
        <v>191</v>
      </c>
      <c r="D20" s="121">
        <v>509000</v>
      </c>
      <c r="E20" s="122"/>
      <c r="F20" s="118">
        <v>45</v>
      </c>
      <c r="G20" s="119">
        <v>9756</v>
      </c>
      <c r="H20" s="120" t="s">
        <v>170</v>
      </c>
      <c r="I20" s="121">
        <v>517000</v>
      </c>
    </row>
    <row r="21" spans="1:9" s="123" customFormat="1" ht="107.25" customHeight="1" x14ac:dyDescent="0.25">
      <c r="A21" s="118">
        <v>21</v>
      </c>
      <c r="B21" s="119">
        <v>9683</v>
      </c>
      <c r="C21" s="120" t="s">
        <v>127</v>
      </c>
      <c r="D21" s="121">
        <v>703000</v>
      </c>
      <c r="E21" s="122"/>
      <c r="F21" s="118">
        <v>46</v>
      </c>
      <c r="G21" s="119">
        <v>9730</v>
      </c>
      <c r="H21" s="120" t="s">
        <v>154</v>
      </c>
      <c r="I21" s="121">
        <v>693000</v>
      </c>
    </row>
    <row r="22" spans="1:9" s="123" customFormat="1" ht="107.25" customHeight="1" x14ac:dyDescent="0.25">
      <c r="A22" s="118">
        <v>22</v>
      </c>
      <c r="B22" s="119">
        <v>9751</v>
      </c>
      <c r="C22" s="120" t="s">
        <v>166</v>
      </c>
      <c r="D22" s="121">
        <v>622000</v>
      </c>
      <c r="E22" s="122"/>
      <c r="F22" s="118">
        <v>47</v>
      </c>
      <c r="G22" s="119">
        <v>9740</v>
      </c>
      <c r="H22" s="120" t="s">
        <v>156</v>
      </c>
      <c r="I22" s="121">
        <v>487000</v>
      </c>
    </row>
    <row r="23" spans="1:9" s="123" customFormat="1" ht="107.25" customHeight="1" x14ac:dyDescent="0.25">
      <c r="A23" s="118">
        <v>23</v>
      </c>
      <c r="B23" s="119">
        <v>9814</v>
      </c>
      <c r="C23" s="120" t="s">
        <v>176</v>
      </c>
      <c r="D23" s="121">
        <v>361000</v>
      </c>
      <c r="E23" s="122"/>
      <c r="F23" s="118">
        <v>48</v>
      </c>
      <c r="G23" s="119">
        <v>9758</v>
      </c>
      <c r="H23" s="120" t="s">
        <v>172</v>
      </c>
      <c r="I23" s="121">
        <v>464000</v>
      </c>
    </row>
    <row r="24" spans="1:9" s="123" customFormat="1" ht="107.25" customHeight="1" x14ac:dyDescent="0.25">
      <c r="A24" s="118">
        <v>24</v>
      </c>
      <c r="B24" s="119">
        <v>9827</v>
      </c>
      <c r="C24" s="120" t="s">
        <v>177</v>
      </c>
      <c r="D24" s="121">
        <v>480000</v>
      </c>
      <c r="E24" s="122"/>
      <c r="F24" s="118">
        <v>49</v>
      </c>
      <c r="G24" s="119">
        <v>9644</v>
      </c>
      <c r="H24" s="120" t="s">
        <v>105</v>
      </c>
      <c r="I24" s="121">
        <v>595000</v>
      </c>
    </row>
    <row r="25" spans="1:9" s="123" customFormat="1" ht="107.25" customHeight="1" x14ac:dyDescent="0.25">
      <c r="A25" s="118"/>
      <c r="B25" s="119"/>
      <c r="C25" s="120"/>
      <c r="D25" s="121"/>
      <c r="E25" s="122"/>
      <c r="F25" s="118"/>
      <c r="G25" s="119"/>
      <c r="H25" s="120"/>
      <c r="I25" s="121"/>
    </row>
    <row r="26" spans="1:9" s="123" customFormat="1" ht="107.25" customHeight="1" x14ac:dyDescent="0.25">
      <c r="A26" s="118"/>
      <c r="B26" s="124"/>
      <c r="C26" s="125"/>
      <c r="D26" s="126"/>
      <c r="E26" s="122"/>
      <c r="F26" s="118"/>
      <c r="G26" s="124"/>
      <c r="H26" s="125"/>
      <c r="I26" s="126"/>
    </row>
    <row r="27" spans="1:9" s="123" customFormat="1" ht="107.25" customHeight="1" x14ac:dyDescent="0.25">
      <c r="A27" s="118"/>
      <c r="B27" s="124"/>
      <c r="C27" s="125"/>
      <c r="D27" s="126"/>
      <c r="E27" s="122"/>
      <c r="F27" s="118"/>
      <c r="G27" s="124"/>
      <c r="H27" s="125"/>
      <c r="I27" s="126"/>
    </row>
    <row r="28" spans="1:9" s="123" customFormat="1" ht="107.25" customHeight="1" x14ac:dyDescent="0.25">
      <c r="A28" s="118"/>
      <c r="B28" s="124"/>
      <c r="C28" s="125"/>
      <c r="D28" s="126"/>
      <c r="E28" s="122"/>
      <c r="F28" s="118"/>
      <c r="G28" s="124"/>
      <c r="H28" s="125"/>
      <c r="I28" s="126"/>
    </row>
    <row r="29" spans="1:9" s="123" customFormat="1" ht="107.25" customHeight="1" x14ac:dyDescent="0.25">
      <c r="A29" s="118"/>
      <c r="B29" s="124"/>
      <c r="C29" s="125"/>
      <c r="D29" s="126">
        <f>SUM(D1:D25)</f>
        <v>14214000</v>
      </c>
      <c r="E29" s="122"/>
      <c r="F29" s="118"/>
      <c r="G29" s="124"/>
      <c r="H29" s="125"/>
      <c r="I29" s="126">
        <f>SUM(I1:I25)</f>
        <v>14232000</v>
      </c>
    </row>
    <row r="30" spans="1:9" s="123" customFormat="1" ht="107.25" customHeight="1" x14ac:dyDescent="0.25">
      <c r="A30" s="118"/>
      <c r="B30" s="124"/>
      <c r="C30" s="125"/>
      <c r="D30" s="126"/>
      <c r="E30" s="122"/>
      <c r="F30" s="118"/>
      <c r="G30" s="124"/>
      <c r="H30" s="125"/>
      <c r="I30" s="126"/>
    </row>
    <row r="31" spans="1:9" s="123" customFormat="1" ht="107.25" customHeight="1" x14ac:dyDescent="0.25">
      <c r="A31" s="118"/>
      <c r="B31" s="124"/>
      <c r="C31" s="125"/>
      <c r="D31" s="126"/>
      <c r="E31" s="122"/>
      <c r="F31" s="118"/>
      <c r="G31" s="124"/>
      <c r="H31" s="125"/>
      <c r="I31" s="126"/>
    </row>
    <row r="32" spans="1:9" s="123" customFormat="1" ht="107.25" customHeight="1" x14ac:dyDescent="0.25">
      <c r="A32" s="118"/>
      <c r="B32" s="124"/>
      <c r="C32" s="125"/>
      <c r="D32" s="126"/>
      <c r="E32" s="122"/>
      <c r="F32" s="118"/>
      <c r="G32" s="124"/>
      <c r="H32" s="125"/>
      <c r="I32" s="126"/>
    </row>
    <row r="33" spans="1:9" s="123" customFormat="1" ht="107.25" customHeight="1" x14ac:dyDescent="0.25">
      <c r="A33" s="118"/>
      <c r="B33" s="124"/>
      <c r="C33" s="125"/>
      <c r="D33" s="126"/>
      <c r="E33" s="122"/>
      <c r="F33" s="118"/>
      <c r="G33" s="124"/>
      <c r="H33" s="125"/>
      <c r="I33" s="126"/>
    </row>
    <row r="34" spans="1:9" s="123" customFormat="1" ht="107.25" customHeight="1" x14ac:dyDescent="0.25">
      <c r="A34" s="118"/>
      <c r="B34" s="124"/>
      <c r="C34" s="125"/>
      <c r="D34" s="126"/>
      <c r="E34" s="122"/>
      <c r="F34" s="118"/>
      <c r="G34" s="124"/>
      <c r="H34" s="125"/>
      <c r="I34" s="126"/>
    </row>
    <row r="35" spans="1:9" s="123" customFormat="1" ht="107.25" customHeight="1" x14ac:dyDescent="0.25">
      <c r="A35" s="118"/>
      <c r="B35" s="124"/>
      <c r="C35" s="125"/>
      <c r="D35" s="126"/>
      <c r="E35" s="122"/>
      <c r="F35" s="118"/>
      <c r="G35" s="124"/>
      <c r="H35" s="125"/>
      <c r="I35" s="126"/>
    </row>
    <row r="36" spans="1:9" s="123" customFormat="1" ht="107.25" customHeight="1" x14ac:dyDescent="0.25">
      <c r="A36" s="118"/>
      <c r="B36" s="124"/>
      <c r="C36" s="125"/>
      <c r="D36" s="126"/>
      <c r="E36" s="122"/>
      <c r="F36" s="118"/>
      <c r="G36" s="124"/>
      <c r="H36" s="125"/>
      <c r="I36" s="126"/>
    </row>
    <row r="37" spans="1:9" s="123" customFormat="1" ht="107.25" customHeight="1" x14ac:dyDescent="0.25">
      <c r="A37" s="118"/>
      <c r="B37" s="124"/>
      <c r="C37" s="125"/>
      <c r="D37" s="126"/>
      <c r="E37" s="122"/>
      <c r="F37" s="118"/>
      <c r="G37" s="124"/>
      <c r="H37" s="125"/>
      <c r="I37" s="126"/>
    </row>
    <row r="38" spans="1:9" s="123" customFormat="1" ht="107.25" customHeight="1" x14ac:dyDescent="0.25">
      <c r="A38" s="118"/>
      <c r="B38" s="124"/>
      <c r="C38" s="125"/>
      <c r="D38" s="126"/>
      <c r="E38" s="122"/>
      <c r="F38" s="118"/>
      <c r="G38" s="124"/>
      <c r="H38" s="125"/>
      <c r="I38" s="126"/>
    </row>
    <row r="39" spans="1:9" s="123" customFormat="1" ht="107.25" customHeight="1" x14ac:dyDescent="0.25">
      <c r="A39" s="118"/>
      <c r="B39" s="124"/>
      <c r="C39" s="125"/>
      <c r="D39" s="126"/>
      <c r="E39" s="122"/>
      <c r="F39" s="118"/>
      <c r="G39" s="124"/>
      <c r="H39" s="125"/>
      <c r="I39" s="126"/>
    </row>
    <row r="40" spans="1:9" s="130" customFormat="1" ht="27.75" customHeight="1" x14ac:dyDescent="0.25">
      <c r="A40"/>
      <c r="B40" s="127"/>
      <c r="C40" s="128"/>
      <c r="D40" s="129"/>
      <c r="F40"/>
      <c r="G40" s="127"/>
      <c r="H40" s="128"/>
      <c r="I40" s="129"/>
    </row>
    <row r="41" spans="1:9" s="130" customFormat="1" ht="27.75" customHeight="1" x14ac:dyDescent="0.25">
      <c r="A41"/>
      <c r="B41" s="127"/>
      <c r="C41" s="128"/>
      <c r="D41" s="129"/>
      <c r="F41"/>
      <c r="G41" s="127"/>
      <c r="H41" s="128"/>
      <c r="I41" s="129"/>
    </row>
    <row r="42" spans="1:9" s="130" customFormat="1" ht="27.75" customHeight="1" x14ac:dyDescent="0.25">
      <c r="A42"/>
      <c r="B42" s="127"/>
      <c r="C42" s="128"/>
      <c r="D42" s="129"/>
      <c r="F42"/>
      <c r="G42" s="127"/>
      <c r="H42" s="128"/>
      <c r="I42" s="129"/>
    </row>
    <row r="43" spans="1:9" s="130" customFormat="1" ht="27.75" customHeight="1" x14ac:dyDescent="0.25">
      <c r="A43"/>
      <c r="B43" s="127"/>
      <c r="C43" s="128"/>
      <c r="D43" s="129"/>
      <c r="F43"/>
      <c r="G43" s="127"/>
      <c r="H43" s="128"/>
      <c r="I43" s="129"/>
    </row>
    <row r="44" spans="1:9" s="130" customFormat="1" ht="27.75" customHeight="1" x14ac:dyDescent="0.25">
      <c r="A44"/>
      <c r="B44" s="127"/>
      <c r="C44" s="128"/>
      <c r="D44" s="129"/>
      <c r="F44"/>
      <c r="G44" s="127"/>
      <c r="H44" s="128"/>
      <c r="I44" s="129"/>
    </row>
    <row r="45" spans="1:9" s="130" customFormat="1" ht="27.75" customHeight="1" x14ac:dyDescent="0.25">
      <c r="A45"/>
      <c r="B45" s="127"/>
      <c r="C45" s="128"/>
      <c r="D45" s="129"/>
      <c r="F45"/>
      <c r="G45" s="127"/>
      <c r="H45" s="128"/>
      <c r="I45" s="129"/>
    </row>
    <row r="46" spans="1:9" s="130" customFormat="1" ht="27.75" customHeight="1" x14ac:dyDescent="0.25">
      <c r="A46"/>
      <c r="B46" s="127"/>
      <c r="C46" s="128"/>
      <c r="D46" s="129"/>
      <c r="F46"/>
      <c r="G46" s="127"/>
      <c r="H46" s="128"/>
      <c r="I46" s="129"/>
    </row>
    <row r="47" spans="1:9" s="130" customFormat="1" ht="27.75" customHeight="1" x14ac:dyDescent="0.25">
      <c r="A47"/>
      <c r="B47" s="127"/>
      <c r="C47" s="128"/>
      <c r="D47" s="129"/>
      <c r="F47"/>
      <c r="G47" s="127"/>
      <c r="H47" s="128"/>
      <c r="I47" s="129"/>
    </row>
    <row r="48" spans="1:9" s="130" customFormat="1" ht="27.75" customHeight="1" x14ac:dyDescent="0.25">
      <c r="A48"/>
      <c r="B48" s="127"/>
      <c r="C48" s="128"/>
      <c r="D48" s="129"/>
      <c r="F48"/>
      <c r="G48" s="127"/>
      <c r="H48" s="128"/>
      <c r="I48" s="129"/>
    </row>
    <row r="49" spans="1:9" s="130" customFormat="1" ht="27.75" customHeight="1" x14ac:dyDescent="0.25">
      <c r="A49"/>
      <c r="B49" s="127"/>
      <c r="C49" s="128"/>
      <c r="D49" s="129"/>
      <c r="F49"/>
      <c r="G49" s="127"/>
      <c r="H49" s="128"/>
      <c r="I49" s="129"/>
    </row>
    <row r="50" spans="1:9" s="130" customFormat="1" ht="27.75" customHeight="1" x14ac:dyDescent="0.25">
      <c r="A50"/>
      <c r="B50" s="127"/>
      <c r="C50" s="128"/>
      <c r="D50" s="129"/>
      <c r="F50"/>
      <c r="G50" s="127"/>
      <c r="H50" s="128"/>
      <c r="I50" s="129"/>
    </row>
    <row r="51" spans="1:9" s="130" customFormat="1" ht="27.75" customHeight="1" x14ac:dyDescent="0.25">
      <c r="A51"/>
      <c r="B51" s="127"/>
      <c r="C51" s="128"/>
      <c r="D51" s="129"/>
      <c r="F51"/>
      <c r="G51" s="127"/>
      <c r="H51" s="128"/>
      <c r="I51" s="129"/>
    </row>
    <row r="52" spans="1:9" s="130" customFormat="1" ht="27.75" customHeight="1" x14ac:dyDescent="0.25">
      <c r="A52"/>
      <c r="B52" s="127"/>
      <c r="C52" s="128"/>
      <c r="D52" s="129"/>
      <c r="F52"/>
      <c r="G52" s="127"/>
      <c r="H52" s="128"/>
      <c r="I52" s="129"/>
    </row>
    <row r="53" spans="1:9" s="130" customFormat="1" ht="27.75" customHeight="1" x14ac:dyDescent="0.25">
      <c r="A53"/>
      <c r="B53" s="127"/>
      <c r="C53" s="128"/>
      <c r="D53" s="129"/>
      <c r="F53"/>
      <c r="G53" s="127"/>
      <c r="H53" s="128"/>
      <c r="I53" s="129"/>
    </row>
    <row r="54" spans="1:9" s="130" customFormat="1" ht="27.75" customHeight="1" x14ac:dyDescent="0.25">
      <c r="A54"/>
      <c r="B54" s="127"/>
      <c r="C54" s="128"/>
      <c r="D54" s="129"/>
      <c r="F54"/>
      <c r="G54" s="127"/>
      <c r="H54" s="128"/>
      <c r="I54" s="129"/>
    </row>
    <row r="55" spans="1:9" s="130" customFormat="1" ht="27.75" customHeight="1" x14ac:dyDescent="0.25">
      <c r="A55"/>
      <c r="B55" s="127"/>
      <c r="C55" s="128"/>
      <c r="D55" s="129"/>
      <c r="F55"/>
      <c r="G55" s="127"/>
      <c r="H55" s="128"/>
      <c r="I55" s="129"/>
    </row>
    <row r="56" spans="1:9" s="130" customFormat="1" ht="27.75" customHeight="1" x14ac:dyDescent="0.25">
      <c r="A56"/>
      <c r="B56" s="127"/>
      <c r="C56" s="128"/>
      <c r="D56" s="129"/>
      <c r="F56"/>
      <c r="G56" s="127"/>
      <c r="H56" s="128"/>
      <c r="I56" s="129"/>
    </row>
    <row r="57" spans="1:9" s="130" customFormat="1" ht="27.75" customHeight="1" x14ac:dyDescent="0.25">
      <c r="A57"/>
      <c r="B57" s="127"/>
      <c r="C57" s="128"/>
      <c r="D57" s="129"/>
      <c r="F57"/>
      <c r="G57" s="127"/>
      <c r="H57" s="128"/>
      <c r="I57" s="129"/>
    </row>
    <row r="58" spans="1:9" s="130" customFormat="1" ht="27.75" customHeight="1" x14ac:dyDescent="0.25">
      <c r="A58"/>
      <c r="B58" s="127"/>
      <c r="C58" s="128"/>
      <c r="D58" s="129"/>
      <c r="F58"/>
      <c r="G58" s="127"/>
      <c r="H58" s="128"/>
      <c r="I58" s="129"/>
    </row>
    <row r="59" spans="1:9" s="130" customFormat="1" ht="27.75" customHeight="1" x14ac:dyDescent="0.25">
      <c r="A59"/>
      <c r="B59" s="127"/>
      <c r="C59" s="128"/>
      <c r="D59" s="129"/>
      <c r="F59"/>
      <c r="G59" s="127"/>
      <c r="H59" s="128"/>
      <c r="I59" s="129"/>
    </row>
    <row r="60" spans="1:9" s="130" customFormat="1" ht="27.75" customHeight="1" x14ac:dyDescent="0.25">
      <c r="A60"/>
      <c r="B60" s="127"/>
      <c r="C60" s="128"/>
      <c r="D60" s="129"/>
      <c r="F60"/>
      <c r="G60" s="127"/>
      <c r="H60" s="128"/>
      <c r="I60" s="129"/>
    </row>
    <row r="61" spans="1:9" s="130" customFormat="1" ht="27.75" customHeight="1" x14ac:dyDescent="0.25">
      <c r="A61"/>
      <c r="B61" s="127"/>
      <c r="C61" s="128"/>
      <c r="D61" s="129"/>
      <c r="F61"/>
      <c r="G61" s="127"/>
      <c r="H61" s="128"/>
      <c r="I61" s="129"/>
    </row>
    <row r="62" spans="1:9" s="130" customFormat="1" ht="27.75" customHeight="1" x14ac:dyDescent="0.25">
      <c r="A62"/>
      <c r="B62" s="127"/>
      <c r="C62" s="128"/>
      <c r="D62" s="129"/>
      <c r="F62"/>
      <c r="G62" s="127"/>
      <c r="H62" s="128"/>
      <c r="I62" s="129"/>
    </row>
    <row r="63" spans="1:9" s="130" customFormat="1" ht="27.75" customHeight="1" x14ac:dyDescent="0.25">
      <c r="A63"/>
      <c r="B63" s="127"/>
      <c r="C63" s="128"/>
      <c r="D63" s="129"/>
      <c r="F63"/>
      <c r="G63" s="127"/>
      <c r="H63" s="128"/>
      <c r="I63" s="129"/>
    </row>
    <row r="64" spans="1:9" s="130" customFormat="1" ht="27.75" customHeight="1" x14ac:dyDescent="0.25">
      <c r="A64"/>
      <c r="B64" s="127"/>
      <c r="C64" s="128"/>
      <c r="D64" s="129"/>
      <c r="F64"/>
      <c r="G64" s="127"/>
      <c r="H64" s="128"/>
      <c r="I64" s="129"/>
    </row>
    <row r="65" spans="1:9" s="130" customFormat="1" ht="27.75" customHeight="1" x14ac:dyDescent="0.25">
      <c r="A65"/>
      <c r="B65" s="127"/>
      <c r="C65" s="128"/>
      <c r="D65" s="129"/>
      <c r="F65"/>
      <c r="G65" s="127"/>
      <c r="H65" s="128"/>
      <c r="I65" s="129"/>
    </row>
    <row r="66" spans="1:9" s="130" customFormat="1" ht="27.75" customHeight="1" x14ac:dyDescent="0.25">
      <c r="A66"/>
      <c r="B66" s="127"/>
      <c r="C66" s="128"/>
      <c r="D66" s="129"/>
      <c r="F66"/>
      <c r="G66" s="127"/>
      <c r="H66" s="128"/>
      <c r="I66" s="129"/>
    </row>
    <row r="67" spans="1:9" s="130" customFormat="1" ht="27.75" customHeight="1" x14ac:dyDescent="0.25">
      <c r="A67"/>
      <c r="B67" s="127"/>
      <c r="C67" s="128"/>
      <c r="D67" s="129"/>
      <c r="F67"/>
      <c r="G67" s="127"/>
      <c r="H67" s="128"/>
      <c r="I67" s="129"/>
    </row>
    <row r="68" spans="1:9" s="130" customFormat="1" ht="27.75" customHeight="1" x14ac:dyDescent="0.25">
      <c r="A68"/>
      <c r="B68" s="127"/>
      <c r="C68" s="128"/>
      <c r="D68" s="129"/>
      <c r="F68"/>
      <c r="G68" s="127"/>
      <c r="H68" s="128"/>
      <c r="I68" s="129"/>
    </row>
    <row r="69" spans="1:9" s="130" customFormat="1" ht="27.75" customHeight="1" x14ac:dyDescent="0.25">
      <c r="A69"/>
      <c r="B69" s="127"/>
      <c r="C69" s="128"/>
      <c r="D69" s="129"/>
      <c r="F69"/>
      <c r="G69" s="127"/>
      <c r="H69" s="128"/>
      <c r="I69" s="129"/>
    </row>
    <row r="70" spans="1:9" s="130" customFormat="1" ht="27.75" customHeight="1" x14ac:dyDescent="0.25">
      <c r="A70"/>
      <c r="B70" s="127"/>
      <c r="C70" s="128"/>
      <c r="D70" s="129"/>
      <c r="F70"/>
      <c r="G70" s="127"/>
      <c r="H70" s="128"/>
      <c r="I70" s="129"/>
    </row>
    <row r="71" spans="1:9" s="130" customFormat="1" ht="27.75" customHeight="1" x14ac:dyDescent="0.25">
      <c r="A71"/>
      <c r="B71" s="127"/>
      <c r="C71" s="128"/>
      <c r="D71" s="129"/>
      <c r="F71"/>
      <c r="G71" s="127"/>
      <c r="H71" s="128"/>
      <c r="I71" s="129"/>
    </row>
    <row r="72" spans="1:9" s="130" customFormat="1" ht="27.75" customHeight="1" x14ac:dyDescent="0.25">
      <c r="A72"/>
      <c r="B72" s="127"/>
      <c r="C72" s="128"/>
      <c r="D72" s="129"/>
      <c r="F72"/>
      <c r="G72" s="127"/>
      <c r="H72" s="128"/>
      <c r="I72" s="129"/>
    </row>
    <row r="73" spans="1:9" s="130" customFormat="1" ht="27.75" customHeight="1" x14ac:dyDescent="0.25">
      <c r="A73"/>
      <c r="B73" s="127"/>
      <c r="C73" s="128"/>
      <c r="D73" s="129"/>
      <c r="F73"/>
      <c r="G73" s="127"/>
      <c r="H73" s="128"/>
      <c r="I73" s="129"/>
    </row>
    <row r="74" spans="1:9" s="130" customFormat="1" ht="27.75" customHeight="1" x14ac:dyDescent="0.25">
      <c r="A74"/>
      <c r="B74" s="127"/>
      <c r="C74" s="128"/>
      <c r="D74" s="129"/>
      <c r="F74"/>
      <c r="G74" s="127"/>
      <c r="H74" s="128"/>
      <c r="I74" s="129"/>
    </row>
    <row r="75" spans="1:9" s="130" customFormat="1" ht="27.75" customHeight="1" x14ac:dyDescent="0.25">
      <c r="A75"/>
      <c r="B75" s="127"/>
      <c r="C75" s="128"/>
      <c r="D75" s="129"/>
      <c r="F75"/>
      <c r="G75" s="127"/>
      <c r="H75" s="128"/>
      <c r="I75" s="129"/>
    </row>
    <row r="76" spans="1:9" s="130" customFormat="1" ht="27.75" customHeight="1" x14ac:dyDescent="0.25">
      <c r="A76"/>
      <c r="B76" s="127"/>
      <c r="C76" s="128"/>
      <c r="D76" s="129"/>
      <c r="F76"/>
      <c r="G76" s="127"/>
      <c r="H76" s="128"/>
      <c r="I76" s="129"/>
    </row>
    <row r="77" spans="1:9" s="130" customFormat="1" ht="27.75" customHeight="1" x14ac:dyDescent="0.25">
      <c r="A77"/>
      <c r="B77" s="127"/>
      <c r="C77" s="128"/>
      <c r="D77" s="129"/>
      <c r="F77"/>
      <c r="G77" s="127"/>
      <c r="H77" s="128"/>
      <c r="I77" s="129"/>
    </row>
    <row r="78" spans="1:9" s="130" customFormat="1" ht="27.75" customHeight="1" x14ac:dyDescent="0.25">
      <c r="A78"/>
      <c r="B78" s="127"/>
      <c r="C78" s="128"/>
      <c r="D78" s="129"/>
      <c r="F78"/>
      <c r="G78" s="127"/>
      <c r="H78" s="128"/>
      <c r="I78" s="129"/>
    </row>
  </sheetData>
  <conditionalFormatting sqref="B1:B25">
    <cfRule type="duplicateValues" dxfId="13" priority="1" stopIfTrue="1"/>
    <cfRule type="duplicateValues" dxfId="12" priority="2" stopIfTrue="1"/>
  </conditionalFormatting>
  <conditionalFormatting sqref="G1:G25">
    <cfRule type="duplicateValues" dxfId="11" priority="3" stopIfTrue="1"/>
    <cfRule type="duplicateValues" dxfId="10" priority="4" stopIfTrue="1"/>
  </conditionalFormatting>
  <pageMargins left="0.7" right="0.7" top="0.75" bottom="0.75" header="0.3" footer="0.3"/>
  <pageSetup scale="77" fitToHeight="0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4A73C6-0275-4195-8DBF-9F80FBD0A1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1°Q 01 V1 CAMPO</vt:lpstr>
      <vt:lpstr>1°Q 01 V2 CAMPO</vt:lpstr>
      <vt:lpstr>Planilla de pago</vt:lpstr>
      <vt:lpstr>Etiquetas (2)</vt:lpstr>
      <vt:lpstr>Pensiones</vt:lpstr>
      <vt:lpstr>Etiquetas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DE LOURDES MAMANI</dc:creator>
  <cp:lastModifiedBy>usuario</cp:lastModifiedBy>
  <cp:lastPrinted>2026-01-21T12:06:04Z</cp:lastPrinted>
  <dcterms:created xsi:type="dcterms:W3CDTF">2025-08-20T18:09:04Z</dcterms:created>
  <dcterms:modified xsi:type="dcterms:W3CDTF">2026-01-21T12:23:16Z</dcterms:modified>
</cp:coreProperties>
</file>